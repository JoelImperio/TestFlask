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8425" windowHeight="13320" activeTab="2"/>
  </bookViews>
  <sheets>
    <sheet name="Resumo" sheetId="5" r:id="rId1"/>
    <sheet name="Portfolio" sheetId="1" r:id="rId2"/>
    <sheet name="Proj Cash Flows" sheetId="2" r:id="rId3"/>
    <sheet name="Mortality Table" sheetId="3" r:id="rId4"/>
    <sheet name="Assumptions" sheetId="4" r:id="rId5"/>
  </sheets>
  <definedNames>
    <definedName name="_xlnm._FilterDatabase" localSheetId="1" hidden="1">Portfolio!$A$5:$AL$5</definedName>
  </definedNames>
  <calcPr calcId="145621"/>
</workbook>
</file>

<file path=xl/calcChain.xml><?xml version="1.0" encoding="utf-8"?>
<calcChain xmlns="http://schemas.openxmlformats.org/spreadsheetml/2006/main"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D11" i="2" l="1"/>
  <c r="AJ7" i="1"/>
  <c r="AK7" i="1" s="1"/>
  <c r="AL7" i="1" s="1"/>
  <c r="AJ8" i="1"/>
  <c r="AK8" i="1" s="1"/>
  <c r="AL8" i="1" s="1"/>
  <c r="AJ9" i="1"/>
  <c r="AK9" i="1" s="1"/>
  <c r="AL9" i="1" s="1"/>
  <c r="AJ10" i="1"/>
  <c r="AK10" i="1" s="1"/>
  <c r="AL10" i="1" s="1"/>
  <c r="AJ11" i="1"/>
  <c r="AK11" i="1" s="1"/>
  <c r="AL11" i="1" s="1"/>
  <c r="AJ12" i="1"/>
  <c r="AK12" i="1" s="1"/>
  <c r="AL12" i="1" s="1"/>
  <c r="AJ13" i="1"/>
  <c r="AK13" i="1" s="1"/>
  <c r="AL13" i="1" s="1"/>
  <c r="AJ14" i="1"/>
  <c r="AK14" i="1" s="1"/>
  <c r="AL14" i="1" s="1"/>
  <c r="AJ15" i="1"/>
  <c r="AK15" i="1" s="1"/>
  <c r="AL15" i="1" s="1"/>
  <c r="AJ16" i="1"/>
  <c r="AK16" i="1" s="1"/>
  <c r="AL16" i="1" s="1"/>
  <c r="AJ17" i="1"/>
  <c r="AK17" i="1" s="1"/>
  <c r="AL17" i="1" s="1"/>
  <c r="AJ18" i="1"/>
  <c r="AK18" i="1" s="1"/>
  <c r="AL18" i="1" s="1"/>
  <c r="AJ19" i="1"/>
  <c r="AK19" i="1" s="1"/>
  <c r="AL19" i="1" s="1"/>
  <c r="AJ20" i="1"/>
  <c r="AK20" i="1" s="1"/>
  <c r="AL20" i="1" s="1"/>
  <c r="AJ21" i="1"/>
  <c r="AK21" i="1" s="1"/>
  <c r="AL21" i="1" s="1"/>
  <c r="AJ22" i="1"/>
  <c r="AK22" i="1" s="1"/>
  <c r="AL22" i="1" s="1"/>
  <c r="AJ23" i="1"/>
  <c r="AK23" i="1" s="1"/>
  <c r="AL23" i="1" s="1"/>
  <c r="AJ24" i="1"/>
  <c r="AK24" i="1" s="1"/>
  <c r="AL24" i="1" s="1"/>
  <c r="AJ25" i="1"/>
  <c r="AK25" i="1" s="1"/>
  <c r="AL25" i="1" s="1"/>
  <c r="AJ26" i="1"/>
  <c r="AK26" i="1" s="1"/>
  <c r="AL26" i="1" s="1"/>
  <c r="AJ27" i="1"/>
  <c r="AK27" i="1" s="1"/>
  <c r="AL27" i="1" s="1"/>
  <c r="AJ28" i="1"/>
  <c r="AK28" i="1" s="1"/>
  <c r="AL28" i="1" s="1"/>
  <c r="AJ29" i="1"/>
  <c r="AK29" i="1" s="1"/>
  <c r="AL29" i="1" s="1"/>
  <c r="AJ30" i="1"/>
  <c r="AK30" i="1" s="1"/>
  <c r="AL30" i="1" s="1"/>
  <c r="AJ31" i="1"/>
  <c r="AK31" i="1" s="1"/>
  <c r="AL31" i="1" s="1"/>
  <c r="AJ32" i="1"/>
  <c r="AK32" i="1" s="1"/>
  <c r="AL32" i="1" s="1"/>
  <c r="AJ33" i="1"/>
  <c r="AK33" i="1" s="1"/>
  <c r="AL33" i="1" s="1"/>
  <c r="AJ34" i="1"/>
  <c r="AK34" i="1" s="1"/>
  <c r="AL34" i="1" s="1"/>
  <c r="AJ35" i="1"/>
  <c r="AK35" i="1" s="1"/>
  <c r="AL35" i="1" s="1"/>
  <c r="AJ36" i="1"/>
  <c r="AK36" i="1" s="1"/>
  <c r="AL36" i="1" s="1"/>
  <c r="AJ37" i="1"/>
  <c r="AK37" i="1" s="1"/>
  <c r="AL37" i="1" s="1"/>
  <c r="AJ38" i="1"/>
  <c r="AK38" i="1" s="1"/>
  <c r="AL38" i="1" s="1"/>
  <c r="AJ39" i="1"/>
  <c r="AK39" i="1" s="1"/>
  <c r="AL39" i="1" s="1"/>
  <c r="AJ40" i="1"/>
  <c r="AK40" i="1" s="1"/>
  <c r="AL40" i="1" s="1"/>
  <c r="AJ41" i="1"/>
  <c r="AK41" i="1" s="1"/>
  <c r="AL41" i="1" s="1"/>
  <c r="AJ42" i="1"/>
  <c r="AK42" i="1" s="1"/>
  <c r="AL42" i="1" s="1"/>
  <c r="AJ43" i="1"/>
  <c r="AK43" i="1" s="1"/>
  <c r="AL43" i="1" s="1"/>
  <c r="AJ44" i="1"/>
  <c r="AK44" i="1" s="1"/>
  <c r="AL44" i="1" s="1"/>
  <c r="AJ45" i="1"/>
  <c r="AK45" i="1" s="1"/>
  <c r="AL45" i="1" s="1"/>
  <c r="AJ46" i="1"/>
  <c r="AK46" i="1" s="1"/>
  <c r="AL46" i="1" s="1"/>
  <c r="AJ47" i="1"/>
  <c r="AK47" i="1" s="1"/>
  <c r="AL47" i="1" s="1"/>
  <c r="AJ48" i="1"/>
  <c r="AK48" i="1" s="1"/>
  <c r="AL48" i="1" s="1"/>
  <c r="AJ49" i="1"/>
  <c r="AK49" i="1" s="1"/>
  <c r="AL49" i="1" s="1"/>
  <c r="AJ50" i="1"/>
  <c r="AK50" i="1" s="1"/>
  <c r="AL50" i="1" s="1"/>
  <c r="AJ51" i="1"/>
  <c r="AK51" i="1" s="1"/>
  <c r="AL51" i="1" s="1"/>
  <c r="AJ52" i="1"/>
  <c r="AK52" i="1" s="1"/>
  <c r="AL52" i="1" s="1"/>
  <c r="AJ53" i="1"/>
  <c r="AK53" i="1" s="1"/>
  <c r="AL53" i="1" s="1"/>
  <c r="AJ54" i="1"/>
  <c r="AK54" i="1" s="1"/>
  <c r="AL54" i="1" s="1"/>
  <c r="AJ55" i="1"/>
  <c r="AK55" i="1" s="1"/>
  <c r="AL55" i="1" s="1"/>
  <c r="AJ56" i="1"/>
  <c r="AK56" i="1" s="1"/>
  <c r="AL56" i="1" s="1"/>
  <c r="AJ57" i="1"/>
  <c r="AK57" i="1" s="1"/>
  <c r="AL57" i="1" s="1"/>
  <c r="AJ58" i="1"/>
  <c r="AK58" i="1" s="1"/>
  <c r="AL58" i="1" s="1"/>
  <c r="AJ59" i="1"/>
  <c r="AK59" i="1" s="1"/>
  <c r="AL59" i="1" s="1"/>
  <c r="AJ60" i="1"/>
  <c r="AK60" i="1" s="1"/>
  <c r="AL60" i="1" s="1"/>
  <c r="AJ61" i="1"/>
  <c r="AK61" i="1" s="1"/>
  <c r="AL61" i="1" s="1"/>
  <c r="AJ62" i="1"/>
  <c r="AK62" i="1" s="1"/>
  <c r="AL62" i="1" s="1"/>
  <c r="AJ63" i="1"/>
  <c r="AK63" i="1" s="1"/>
  <c r="AL63" i="1" s="1"/>
  <c r="AJ64" i="1"/>
  <c r="AK64" i="1" s="1"/>
  <c r="AL64" i="1" s="1"/>
  <c r="AJ65" i="1"/>
  <c r="AK65" i="1" s="1"/>
  <c r="AL65" i="1" s="1"/>
  <c r="AJ66" i="1"/>
  <c r="AK66" i="1" s="1"/>
  <c r="AL66" i="1" s="1"/>
  <c r="AJ67" i="1"/>
  <c r="AK67" i="1" s="1"/>
  <c r="AL67" i="1" s="1"/>
  <c r="AJ68" i="1"/>
  <c r="AK68" i="1" s="1"/>
  <c r="AL68" i="1" s="1"/>
  <c r="AJ69" i="1"/>
  <c r="AK69" i="1" s="1"/>
  <c r="AL69" i="1" s="1"/>
  <c r="AJ70" i="1"/>
  <c r="AK70" i="1" s="1"/>
  <c r="AL70" i="1" s="1"/>
  <c r="AJ71" i="1"/>
  <c r="AK71" i="1" s="1"/>
  <c r="AL71" i="1" s="1"/>
  <c r="AJ72" i="1"/>
  <c r="AK72" i="1" s="1"/>
  <c r="AL72" i="1" s="1"/>
  <c r="AJ73" i="1"/>
  <c r="AK73" i="1" s="1"/>
  <c r="AL73" i="1" s="1"/>
  <c r="AJ74" i="1"/>
  <c r="AK74" i="1" s="1"/>
  <c r="AL74" i="1" s="1"/>
  <c r="AJ75" i="1"/>
  <c r="AK75" i="1" s="1"/>
  <c r="AL75" i="1" s="1"/>
  <c r="AJ76" i="1"/>
  <c r="AK76" i="1" s="1"/>
  <c r="AL76" i="1" s="1"/>
  <c r="AJ77" i="1"/>
  <c r="AK77" i="1" s="1"/>
  <c r="AL77" i="1" s="1"/>
  <c r="AJ78" i="1"/>
  <c r="AK78" i="1" s="1"/>
  <c r="AL78" i="1" s="1"/>
  <c r="AJ79" i="1"/>
  <c r="AK79" i="1" s="1"/>
  <c r="AL79" i="1" s="1"/>
  <c r="AJ80" i="1"/>
  <c r="AK80" i="1" s="1"/>
  <c r="AL80" i="1" s="1"/>
  <c r="AJ81" i="1"/>
  <c r="AK81" i="1" s="1"/>
  <c r="AL81" i="1" s="1"/>
  <c r="AJ82" i="1"/>
  <c r="AK82" i="1" s="1"/>
  <c r="AL82" i="1" s="1"/>
  <c r="AJ83" i="1"/>
  <c r="AK83" i="1" s="1"/>
  <c r="AL83" i="1" s="1"/>
  <c r="AJ84" i="1"/>
  <c r="AK84" i="1" s="1"/>
  <c r="AL84" i="1" s="1"/>
  <c r="AJ85" i="1"/>
  <c r="AK85" i="1" s="1"/>
  <c r="AL85" i="1" s="1"/>
  <c r="AJ86" i="1"/>
  <c r="AK86" i="1" s="1"/>
  <c r="AL86" i="1" s="1"/>
  <c r="AJ87" i="1"/>
  <c r="AK87" i="1" s="1"/>
  <c r="AL87" i="1" s="1"/>
  <c r="AJ88" i="1"/>
  <c r="AK88" i="1" s="1"/>
  <c r="AL88" i="1" s="1"/>
  <c r="AJ89" i="1"/>
  <c r="AK89" i="1" s="1"/>
  <c r="AL89" i="1" s="1"/>
  <c r="AJ90" i="1"/>
  <c r="AK90" i="1" s="1"/>
  <c r="AL90" i="1" s="1"/>
  <c r="AJ91" i="1"/>
  <c r="AK91" i="1" s="1"/>
  <c r="AL91" i="1" s="1"/>
  <c r="AJ92" i="1"/>
  <c r="AK92" i="1" s="1"/>
  <c r="AL92" i="1" s="1"/>
  <c r="AJ93" i="1"/>
  <c r="AK93" i="1" s="1"/>
  <c r="AL93" i="1" s="1"/>
  <c r="AJ94" i="1"/>
  <c r="AK94" i="1" s="1"/>
  <c r="AL94" i="1" s="1"/>
  <c r="AJ95" i="1"/>
  <c r="AK95" i="1" s="1"/>
  <c r="AL95" i="1" s="1"/>
  <c r="AJ96" i="1"/>
  <c r="AK96" i="1" s="1"/>
  <c r="AL96" i="1" s="1"/>
  <c r="AJ97" i="1"/>
  <c r="AK97" i="1" s="1"/>
  <c r="AL97" i="1" s="1"/>
  <c r="AJ98" i="1"/>
  <c r="AK98" i="1" s="1"/>
  <c r="AL98" i="1" s="1"/>
  <c r="AJ99" i="1"/>
  <c r="AK99" i="1" s="1"/>
  <c r="AL99" i="1" s="1"/>
  <c r="AJ100" i="1"/>
  <c r="AK100" i="1" s="1"/>
  <c r="AL100" i="1" s="1"/>
  <c r="AJ101" i="1"/>
  <c r="AK101" i="1" s="1"/>
  <c r="AL101" i="1" s="1"/>
  <c r="AJ102" i="1"/>
  <c r="AK102" i="1" s="1"/>
  <c r="AL102" i="1" s="1"/>
  <c r="AJ103" i="1"/>
  <c r="AK103" i="1" s="1"/>
  <c r="AL103" i="1" s="1"/>
  <c r="AJ104" i="1"/>
  <c r="AK104" i="1" s="1"/>
  <c r="AL104" i="1" s="1"/>
  <c r="AJ105" i="1"/>
  <c r="AK105" i="1" s="1"/>
  <c r="AL105" i="1" s="1"/>
  <c r="AJ106" i="1"/>
  <c r="AK106" i="1" s="1"/>
  <c r="AL106" i="1" s="1"/>
  <c r="AJ107" i="1"/>
  <c r="AK107" i="1" s="1"/>
  <c r="AL107" i="1" s="1"/>
  <c r="AJ108" i="1"/>
  <c r="AK108" i="1" s="1"/>
  <c r="AL108" i="1" s="1"/>
  <c r="AJ109" i="1"/>
  <c r="AK109" i="1" s="1"/>
  <c r="AL109" i="1" s="1"/>
  <c r="AJ110" i="1"/>
  <c r="AK110" i="1" s="1"/>
  <c r="AL110" i="1" s="1"/>
  <c r="AJ111" i="1"/>
  <c r="AK111" i="1" s="1"/>
  <c r="AL111" i="1" s="1"/>
  <c r="AJ112" i="1"/>
  <c r="AK112" i="1" s="1"/>
  <c r="AL112" i="1" s="1"/>
  <c r="AJ113" i="1"/>
  <c r="AK113" i="1" s="1"/>
  <c r="AL113" i="1" s="1"/>
  <c r="AJ114" i="1"/>
  <c r="AK114" i="1" s="1"/>
  <c r="AL114" i="1" s="1"/>
  <c r="AJ115" i="1"/>
  <c r="AK115" i="1" s="1"/>
  <c r="AL115" i="1" s="1"/>
  <c r="AJ116" i="1"/>
  <c r="AK116" i="1" s="1"/>
  <c r="AL116" i="1" s="1"/>
  <c r="AJ117" i="1"/>
  <c r="AK117" i="1" s="1"/>
  <c r="AL117" i="1" s="1"/>
  <c r="AJ118" i="1"/>
  <c r="AK118" i="1" s="1"/>
  <c r="AL118" i="1" s="1"/>
  <c r="AJ119" i="1"/>
  <c r="AK119" i="1" s="1"/>
  <c r="AL119" i="1" s="1"/>
  <c r="AJ120" i="1"/>
  <c r="AK120" i="1" s="1"/>
  <c r="AL120" i="1" s="1"/>
  <c r="AJ121" i="1"/>
  <c r="AK121" i="1" s="1"/>
  <c r="AL121" i="1" s="1"/>
  <c r="AJ122" i="1"/>
  <c r="AK122" i="1" s="1"/>
  <c r="AL122" i="1" s="1"/>
  <c r="AJ123" i="1"/>
  <c r="AK123" i="1" s="1"/>
  <c r="AL123" i="1" s="1"/>
  <c r="AJ124" i="1"/>
  <c r="AK124" i="1" s="1"/>
  <c r="AL124" i="1" s="1"/>
  <c r="AJ125" i="1"/>
  <c r="AK125" i="1" s="1"/>
  <c r="AL125" i="1" s="1"/>
  <c r="AJ126" i="1"/>
  <c r="AK126" i="1" s="1"/>
  <c r="AL126" i="1" s="1"/>
  <c r="AJ127" i="1"/>
  <c r="AK127" i="1" s="1"/>
  <c r="AL127" i="1" s="1"/>
  <c r="AJ128" i="1"/>
  <c r="AK128" i="1" s="1"/>
  <c r="AL128" i="1" s="1"/>
  <c r="AJ129" i="1"/>
  <c r="AK129" i="1" s="1"/>
  <c r="AL129" i="1" s="1"/>
  <c r="AJ130" i="1"/>
  <c r="AK130" i="1" s="1"/>
  <c r="AL130" i="1" s="1"/>
  <c r="AJ131" i="1"/>
  <c r="AK131" i="1" s="1"/>
  <c r="AL131" i="1" s="1"/>
  <c r="AJ132" i="1"/>
  <c r="AK132" i="1" s="1"/>
  <c r="AL132" i="1" s="1"/>
  <c r="AJ133" i="1"/>
  <c r="AK133" i="1" s="1"/>
  <c r="AL133" i="1" s="1"/>
  <c r="AJ134" i="1"/>
  <c r="AK134" i="1" s="1"/>
  <c r="AL134" i="1" s="1"/>
  <c r="AJ135" i="1"/>
  <c r="AK135" i="1" s="1"/>
  <c r="AL135" i="1" s="1"/>
  <c r="AJ136" i="1"/>
  <c r="AK136" i="1" s="1"/>
  <c r="AL136" i="1" s="1"/>
  <c r="AJ137" i="1"/>
  <c r="AK137" i="1" s="1"/>
  <c r="AL137" i="1" s="1"/>
  <c r="AJ138" i="1"/>
  <c r="AK138" i="1" s="1"/>
  <c r="AL138" i="1" s="1"/>
  <c r="AJ139" i="1"/>
  <c r="AK139" i="1" s="1"/>
  <c r="AL139" i="1" s="1"/>
  <c r="AJ140" i="1"/>
  <c r="AK140" i="1" s="1"/>
  <c r="AL140" i="1" s="1"/>
  <c r="AJ141" i="1"/>
  <c r="AK141" i="1" s="1"/>
  <c r="AL141" i="1" s="1"/>
  <c r="AJ142" i="1"/>
  <c r="AK142" i="1" s="1"/>
  <c r="AL142" i="1" s="1"/>
  <c r="AJ143" i="1"/>
  <c r="AK143" i="1" s="1"/>
  <c r="AL143" i="1" s="1"/>
  <c r="AJ144" i="1"/>
  <c r="AK144" i="1" s="1"/>
  <c r="AL144" i="1" s="1"/>
  <c r="AJ145" i="1"/>
  <c r="AK145" i="1" s="1"/>
  <c r="AL145" i="1" s="1"/>
  <c r="AJ146" i="1"/>
  <c r="AK146" i="1" s="1"/>
  <c r="AL146" i="1" s="1"/>
  <c r="AJ147" i="1"/>
  <c r="AK147" i="1" s="1"/>
  <c r="AL147" i="1" s="1"/>
  <c r="AJ148" i="1"/>
  <c r="AK148" i="1" s="1"/>
  <c r="AL148" i="1" s="1"/>
  <c r="AJ149" i="1"/>
  <c r="AK149" i="1" s="1"/>
  <c r="AL149" i="1" s="1"/>
  <c r="AJ150" i="1"/>
  <c r="AK150" i="1" s="1"/>
  <c r="AL150" i="1" s="1"/>
  <c r="AJ151" i="1"/>
  <c r="AK151" i="1" s="1"/>
  <c r="AL151" i="1" s="1"/>
  <c r="AJ152" i="1"/>
  <c r="AK152" i="1" s="1"/>
  <c r="AL152" i="1" s="1"/>
  <c r="AJ153" i="1"/>
  <c r="AK153" i="1" s="1"/>
  <c r="AL153" i="1" s="1"/>
  <c r="AJ6" i="1"/>
  <c r="AK6" i="1" s="1"/>
  <c r="AZ624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170" i="2"/>
  <c r="AX171" i="2"/>
  <c r="AX172" i="2"/>
  <c r="AX173" i="2"/>
  <c r="AX174" i="2"/>
  <c r="AX175" i="2"/>
  <c r="AX176" i="2"/>
  <c r="AX177" i="2"/>
  <c r="AX178" i="2"/>
  <c r="AX179" i="2"/>
  <c r="AX180" i="2"/>
  <c r="AX181" i="2"/>
  <c r="AX182" i="2"/>
  <c r="AX183" i="2"/>
  <c r="AX184" i="2"/>
  <c r="AX185" i="2"/>
  <c r="AX186" i="2"/>
  <c r="AX187" i="2"/>
  <c r="AX188" i="2"/>
  <c r="AX189" i="2"/>
  <c r="AX190" i="2"/>
  <c r="AX191" i="2"/>
  <c r="AX192" i="2"/>
  <c r="AX193" i="2"/>
  <c r="AX194" i="2"/>
  <c r="AX195" i="2"/>
  <c r="AX196" i="2"/>
  <c r="AX197" i="2"/>
  <c r="AX198" i="2"/>
  <c r="AX199" i="2"/>
  <c r="AX200" i="2"/>
  <c r="AX201" i="2"/>
  <c r="AX202" i="2"/>
  <c r="AX203" i="2"/>
  <c r="AX204" i="2"/>
  <c r="AX205" i="2"/>
  <c r="AX206" i="2"/>
  <c r="AX207" i="2"/>
  <c r="AX208" i="2"/>
  <c r="AX209" i="2"/>
  <c r="AX210" i="2"/>
  <c r="AX211" i="2"/>
  <c r="AX212" i="2"/>
  <c r="AX213" i="2"/>
  <c r="AX214" i="2"/>
  <c r="AX215" i="2"/>
  <c r="AX216" i="2"/>
  <c r="AX217" i="2"/>
  <c r="AX218" i="2"/>
  <c r="AX219" i="2"/>
  <c r="AX220" i="2"/>
  <c r="AX221" i="2"/>
  <c r="AX222" i="2"/>
  <c r="AX223" i="2"/>
  <c r="AX224" i="2"/>
  <c r="AX225" i="2"/>
  <c r="AX226" i="2"/>
  <c r="AX227" i="2"/>
  <c r="AX228" i="2"/>
  <c r="AX229" i="2"/>
  <c r="AX230" i="2"/>
  <c r="AX231" i="2"/>
  <c r="AX232" i="2"/>
  <c r="AX233" i="2"/>
  <c r="AX234" i="2"/>
  <c r="AX235" i="2"/>
  <c r="AX236" i="2"/>
  <c r="AX237" i="2"/>
  <c r="AX238" i="2"/>
  <c r="AX239" i="2"/>
  <c r="AX240" i="2"/>
  <c r="AX241" i="2"/>
  <c r="AX242" i="2"/>
  <c r="AX243" i="2"/>
  <c r="AX244" i="2"/>
  <c r="AX245" i="2"/>
  <c r="AX246" i="2"/>
  <c r="AX247" i="2"/>
  <c r="AX248" i="2"/>
  <c r="AX249" i="2"/>
  <c r="AX250" i="2"/>
  <c r="AX251" i="2"/>
  <c r="AX252" i="2"/>
  <c r="AX253" i="2"/>
  <c r="AX254" i="2"/>
  <c r="AX255" i="2"/>
  <c r="AX256" i="2"/>
  <c r="AX257" i="2"/>
  <c r="AX258" i="2"/>
  <c r="AX259" i="2"/>
  <c r="AX260" i="2"/>
  <c r="AX261" i="2"/>
  <c r="AX262" i="2"/>
  <c r="AX263" i="2"/>
  <c r="AX264" i="2"/>
  <c r="AX265" i="2"/>
  <c r="AX266" i="2"/>
  <c r="AX267" i="2"/>
  <c r="AX268" i="2"/>
  <c r="AX269" i="2"/>
  <c r="AX270" i="2"/>
  <c r="AX271" i="2"/>
  <c r="AX272" i="2"/>
  <c r="AX273" i="2"/>
  <c r="AX274" i="2"/>
  <c r="AX275" i="2"/>
  <c r="AX276" i="2"/>
  <c r="AX277" i="2"/>
  <c r="AX278" i="2"/>
  <c r="AX279" i="2"/>
  <c r="AX280" i="2"/>
  <c r="AX281" i="2"/>
  <c r="AX282" i="2"/>
  <c r="AX283" i="2"/>
  <c r="AX284" i="2"/>
  <c r="AX285" i="2"/>
  <c r="AX286" i="2"/>
  <c r="AX287" i="2"/>
  <c r="AX288" i="2"/>
  <c r="AX289" i="2"/>
  <c r="AX290" i="2"/>
  <c r="AX291" i="2"/>
  <c r="AX292" i="2"/>
  <c r="AX293" i="2"/>
  <c r="AX294" i="2"/>
  <c r="AX295" i="2"/>
  <c r="AX296" i="2"/>
  <c r="AX297" i="2"/>
  <c r="AX298" i="2"/>
  <c r="AX299" i="2"/>
  <c r="AX300" i="2"/>
  <c r="AX301" i="2"/>
  <c r="AX302" i="2"/>
  <c r="AX303" i="2"/>
  <c r="AX304" i="2"/>
  <c r="AX305" i="2"/>
  <c r="AX306" i="2"/>
  <c r="AX307" i="2"/>
  <c r="AX308" i="2"/>
  <c r="AX309" i="2"/>
  <c r="AX310" i="2"/>
  <c r="AX311" i="2"/>
  <c r="AX312" i="2"/>
  <c r="AX313" i="2"/>
  <c r="AX314" i="2"/>
  <c r="AX315" i="2"/>
  <c r="AX316" i="2"/>
  <c r="AX317" i="2"/>
  <c r="AX318" i="2"/>
  <c r="AX319" i="2"/>
  <c r="AX320" i="2"/>
  <c r="AX321" i="2"/>
  <c r="AX322" i="2"/>
  <c r="AX323" i="2"/>
  <c r="AX324" i="2"/>
  <c r="AX325" i="2"/>
  <c r="AX326" i="2"/>
  <c r="AX327" i="2"/>
  <c r="AX328" i="2"/>
  <c r="AX329" i="2"/>
  <c r="AX330" i="2"/>
  <c r="AX331" i="2"/>
  <c r="AX332" i="2"/>
  <c r="AX333" i="2"/>
  <c r="AX334" i="2"/>
  <c r="AX335" i="2"/>
  <c r="AX336" i="2"/>
  <c r="AX337" i="2"/>
  <c r="AX338" i="2"/>
  <c r="AX339" i="2"/>
  <c r="AX340" i="2"/>
  <c r="AX341" i="2"/>
  <c r="AX342" i="2"/>
  <c r="AX343" i="2"/>
  <c r="AX344" i="2"/>
  <c r="AX345" i="2"/>
  <c r="AX346" i="2"/>
  <c r="AX347" i="2"/>
  <c r="AX348" i="2"/>
  <c r="AX349" i="2"/>
  <c r="AX350" i="2"/>
  <c r="AX351" i="2"/>
  <c r="AX352" i="2"/>
  <c r="AX353" i="2"/>
  <c r="AX354" i="2"/>
  <c r="AX355" i="2"/>
  <c r="AX356" i="2"/>
  <c r="AX357" i="2"/>
  <c r="AX358" i="2"/>
  <c r="AX359" i="2"/>
  <c r="AX360" i="2"/>
  <c r="AX361" i="2"/>
  <c r="AX362" i="2"/>
  <c r="AX363" i="2"/>
  <c r="AX364" i="2"/>
  <c r="AX365" i="2"/>
  <c r="AX366" i="2"/>
  <c r="AX367" i="2"/>
  <c r="AX368" i="2"/>
  <c r="AX369" i="2"/>
  <c r="AX370" i="2"/>
  <c r="AX371" i="2"/>
  <c r="AX372" i="2"/>
  <c r="AX373" i="2"/>
  <c r="AX374" i="2"/>
  <c r="AX375" i="2"/>
  <c r="AX376" i="2"/>
  <c r="AX377" i="2"/>
  <c r="AX378" i="2"/>
  <c r="AX379" i="2"/>
  <c r="AX380" i="2"/>
  <c r="AX381" i="2"/>
  <c r="AX382" i="2"/>
  <c r="AX383" i="2"/>
  <c r="AX384" i="2"/>
  <c r="AX385" i="2"/>
  <c r="AX386" i="2"/>
  <c r="AX387" i="2"/>
  <c r="AX388" i="2"/>
  <c r="AX389" i="2"/>
  <c r="AX390" i="2"/>
  <c r="AX391" i="2"/>
  <c r="AX392" i="2"/>
  <c r="AX393" i="2"/>
  <c r="AX394" i="2"/>
  <c r="AX395" i="2"/>
  <c r="AX396" i="2"/>
  <c r="AX397" i="2"/>
  <c r="AX398" i="2"/>
  <c r="AX399" i="2"/>
  <c r="AX400" i="2"/>
  <c r="AX401" i="2"/>
  <c r="AX402" i="2"/>
  <c r="AX403" i="2"/>
  <c r="AX404" i="2"/>
  <c r="AX405" i="2"/>
  <c r="AX406" i="2"/>
  <c r="AX407" i="2"/>
  <c r="AX408" i="2"/>
  <c r="AX409" i="2"/>
  <c r="AX410" i="2"/>
  <c r="AX411" i="2"/>
  <c r="AX412" i="2"/>
  <c r="AX413" i="2"/>
  <c r="AX414" i="2"/>
  <c r="AX415" i="2"/>
  <c r="AX416" i="2"/>
  <c r="AX417" i="2"/>
  <c r="AX418" i="2"/>
  <c r="AX419" i="2"/>
  <c r="AX420" i="2"/>
  <c r="AX421" i="2"/>
  <c r="AX422" i="2"/>
  <c r="AX423" i="2"/>
  <c r="AX424" i="2"/>
  <c r="AX425" i="2"/>
  <c r="AX426" i="2"/>
  <c r="AX427" i="2"/>
  <c r="AX428" i="2"/>
  <c r="AX429" i="2"/>
  <c r="AX430" i="2"/>
  <c r="AX431" i="2"/>
  <c r="AX432" i="2"/>
  <c r="AX433" i="2"/>
  <c r="AX434" i="2"/>
  <c r="AX435" i="2"/>
  <c r="AX436" i="2"/>
  <c r="AX437" i="2"/>
  <c r="AX438" i="2"/>
  <c r="AX439" i="2"/>
  <c r="AX440" i="2"/>
  <c r="AX441" i="2"/>
  <c r="AX442" i="2"/>
  <c r="AX443" i="2"/>
  <c r="AX444" i="2"/>
  <c r="AX445" i="2"/>
  <c r="AX446" i="2"/>
  <c r="AX447" i="2"/>
  <c r="AX448" i="2"/>
  <c r="AX449" i="2"/>
  <c r="AX450" i="2"/>
  <c r="AX451" i="2"/>
  <c r="AX452" i="2"/>
  <c r="AX453" i="2"/>
  <c r="AX454" i="2"/>
  <c r="AX455" i="2"/>
  <c r="AX456" i="2"/>
  <c r="AX457" i="2"/>
  <c r="AX458" i="2"/>
  <c r="AX459" i="2"/>
  <c r="AX460" i="2"/>
  <c r="AX461" i="2"/>
  <c r="AX462" i="2"/>
  <c r="AX463" i="2"/>
  <c r="AX464" i="2"/>
  <c r="AX465" i="2"/>
  <c r="AX466" i="2"/>
  <c r="AX467" i="2"/>
  <c r="AX468" i="2"/>
  <c r="AX469" i="2"/>
  <c r="AX470" i="2"/>
  <c r="AX471" i="2"/>
  <c r="AX472" i="2"/>
  <c r="AX473" i="2"/>
  <c r="AX474" i="2"/>
  <c r="AX475" i="2"/>
  <c r="AX476" i="2"/>
  <c r="AX477" i="2"/>
  <c r="AX478" i="2"/>
  <c r="AX479" i="2"/>
  <c r="AX480" i="2"/>
  <c r="AX481" i="2"/>
  <c r="AX482" i="2"/>
  <c r="AX483" i="2"/>
  <c r="AX484" i="2"/>
  <c r="AX485" i="2"/>
  <c r="AX486" i="2"/>
  <c r="AX487" i="2"/>
  <c r="AX488" i="2"/>
  <c r="AX489" i="2"/>
  <c r="AX490" i="2"/>
  <c r="AX491" i="2"/>
  <c r="AX492" i="2"/>
  <c r="AX493" i="2"/>
  <c r="AX494" i="2"/>
  <c r="AX495" i="2"/>
  <c r="AX496" i="2"/>
  <c r="AX497" i="2"/>
  <c r="AX498" i="2"/>
  <c r="AX499" i="2"/>
  <c r="AX500" i="2"/>
  <c r="AX501" i="2"/>
  <c r="AX502" i="2"/>
  <c r="AX503" i="2"/>
  <c r="AX504" i="2"/>
  <c r="AX505" i="2"/>
  <c r="AX506" i="2"/>
  <c r="AX507" i="2"/>
  <c r="AX508" i="2"/>
  <c r="AX509" i="2"/>
  <c r="AX510" i="2"/>
  <c r="AX511" i="2"/>
  <c r="AX512" i="2"/>
  <c r="AX513" i="2"/>
  <c r="AX514" i="2"/>
  <c r="AX515" i="2"/>
  <c r="AX516" i="2"/>
  <c r="AX517" i="2"/>
  <c r="AX518" i="2"/>
  <c r="AX519" i="2"/>
  <c r="AX520" i="2"/>
  <c r="AX521" i="2"/>
  <c r="AX522" i="2"/>
  <c r="AX523" i="2"/>
  <c r="AX524" i="2"/>
  <c r="AX525" i="2"/>
  <c r="AX526" i="2"/>
  <c r="AX527" i="2"/>
  <c r="AX528" i="2"/>
  <c r="AX529" i="2"/>
  <c r="AX530" i="2"/>
  <c r="AX531" i="2"/>
  <c r="AX532" i="2"/>
  <c r="AX533" i="2"/>
  <c r="AX534" i="2"/>
  <c r="AX535" i="2"/>
  <c r="AX536" i="2"/>
  <c r="AX537" i="2"/>
  <c r="AX538" i="2"/>
  <c r="AX539" i="2"/>
  <c r="AX540" i="2"/>
  <c r="AX541" i="2"/>
  <c r="AX542" i="2"/>
  <c r="AX543" i="2"/>
  <c r="AX544" i="2"/>
  <c r="AX545" i="2"/>
  <c r="AX546" i="2"/>
  <c r="AX547" i="2"/>
  <c r="AX548" i="2"/>
  <c r="AX549" i="2"/>
  <c r="AX550" i="2"/>
  <c r="AX551" i="2"/>
  <c r="AX552" i="2"/>
  <c r="AX553" i="2"/>
  <c r="AX554" i="2"/>
  <c r="AX555" i="2"/>
  <c r="AX556" i="2"/>
  <c r="AX557" i="2"/>
  <c r="AX558" i="2"/>
  <c r="AX559" i="2"/>
  <c r="AX560" i="2"/>
  <c r="AX561" i="2"/>
  <c r="AX562" i="2"/>
  <c r="AX563" i="2"/>
  <c r="AX564" i="2"/>
  <c r="AX565" i="2"/>
  <c r="AX566" i="2"/>
  <c r="AX567" i="2"/>
  <c r="AX568" i="2"/>
  <c r="AX569" i="2"/>
  <c r="AX570" i="2"/>
  <c r="AX571" i="2"/>
  <c r="AX572" i="2"/>
  <c r="AX573" i="2"/>
  <c r="AX574" i="2"/>
  <c r="AX575" i="2"/>
  <c r="AX576" i="2"/>
  <c r="AX577" i="2"/>
  <c r="AX578" i="2"/>
  <c r="AX579" i="2"/>
  <c r="AX580" i="2"/>
  <c r="AX581" i="2"/>
  <c r="AX582" i="2"/>
  <c r="AX583" i="2"/>
  <c r="AX584" i="2"/>
  <c r="AX585" i="2"/>
  <c r="AX586" i="2"/>
  <c r="AX587" i="2"/>
  <c r="AX588" i="2"/>
  <c r="AX589" i="2"/>
  <c r="AX590" i="2"/>
  <c r="AX591" i="2"/>
  <c r="AX592" i="2"/>
  <c r="AX593" i="2"/>
  <c r="AX594" i="2"/>
  <c r="AX595" i="2"/>
  <c r="AX596" i="2"/>
  <c r="AX597" i="2"/>
  <c r="AX598" i="2"/>
  <c r="AX599" i="2"/>
  <c r="AX600" i="2"/>
  <c r="AX601" i="2"/>
  <c r="AX602" i="2"/>
  <c r="AX603" i="2"/>
  <c r="AX604" i="2"/>
  <c r="AX605" i="2"/>
  <c r="AX606" i="2"/>
  <c r="AX607" i="2"/>
  <c r="AX608" i="2"/>
  <c r="AX609" i="2"/>
  <c r="AX610" i="2"/>
  <c r="AX611" i="2"/>
  <c r="AX612" i="2"/>
  <c r="AX613" i="2"/>
  <c r="AX614" i="2"/>
  <c r="AX615" i="2"/>
  <c r="AX616" i="2"/>
  <c r="AX617" i="2"/>
  <c r="AX618" i="2"/>
  <c r="AX619" i="2"/>
  <c r="AX620" i="2"/>
  <c r="AX621" i="2"/>
  <c r="AX622" i="2"/>
  <c r="AX623" i="2"/>
  <c r="AX624" i="2"/>
  <c r="AX11" i="2"/>
  <c r="AL6" i="1" l="1"/>
  <c r="AO2" i="1" s="1"/>
  <c r="AO1" i="1"/>
  <c r="AC11" i="2"/>
  <c r="A623" i="2" l="1"/>
  <c r="A624" i="2"/>
  <c r="A620" i="2"/>
  <c r="A621" i="2" s="1"/>
  <c r="A622" i="2" s="1"/>
  <c r="A421" i="2"/>
  <c r="A422" i="2"/>
  <c r="A423" i="2"/>
  <c r="A424" i="2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L20" i="4" l="1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A20" i="4"/>
  <c r="AY151" i="2" l="1"/>
  <c r="AY144" i="2"/>
  <c r="AY152" i="2"/>
  <c r="AY145" i="2"/>
  <c r="AY153" i="2"/>
  <c r="AY147" i="2"/>
  <c r="AY155" i="2"/>
  <c r="AY148" i="2"/>
  <c r="AY154" i="2"/>
  <c r="AY149" i="2"/>
  <c r="AY146" i="2"/>
  <c r="AY150" i="2"/>
  <c r="AY343" i="2"/>
  <c r="AY336" i="2"/>
  <c r="AY344" i="2"/>
  <c r="AY337" i="2"/>
  <c r="AY345" i="2"/>
  <c r="AY339" i="2"/>
  <c r="AY347" i="2"/>
  <c r="AY340" i="2"/>
  <c r="AY346" i="2"/>
  <c r="AY341" i="2"/>
  <c r="AY342" i="2"/>
  <c r="AY338" i="2"/>
  <c r="AY63" i="2"/>
  <c r="AY71" i="2"/>
  <c r="AY64" i="2"/>
  <c r="AY65" i="2"/>
  <c r="AY67" i="2"/>
  <c r="AY60" i="2"/>
  <c r="AY68" i="2"/>
  <c r="AY61" i="2"/>
  <c r="AY62" i="2"/>
  <c r="AY69" i="2"/>
  <c r="AY66" i="2"/>
  <c r="AY70" i="2"/>
  <c r="AY159" i="2"/>
  <c r="AY167" i="2"/>
  <c r="AY160" i="2"/>
  <c r="AY161" i="2"/>
  <c r="AY163" i="2"/>
  <c r="AY164" i="2"/>
  <c r="AY162" i="2"/>
  <c r="AY165" i="2"/>
  <c r="AY166" i="2"/>
  <c r="AY156" i="2"/>
  <c r="AY157" i="2"/>
  <c r="AY158" i="2"/>
  <c r="AY255" i="2"/>
  <c r="AY263" i="2"/>
  <c r="AY256" i="2"/>
  <c r="AY257" i="2"/>
  <c r="AY259" i="2"/>
  <c r="AY260" i="2"/>
  <c r="AY261" i="2"/>
  <c r="AY258" i="2"/>
  <c r="AY262" i="2"/>
  <c r="AY252" i="2"/>
  <c r="AY253" i="2"/>
  <c r="AY254" i="2"/>
  <c r="AY351" i="2"/>
  <c r="AY359" i="2"/>
  <c r="AY352" i="2"/>
  <c r="AY353" i="2"/>
  <c r="AY355" i="2"/>
  <c r="AY356" i="2"/>
  <c r="AY350" i="2"/>
  <c r="AY354" i="2"/>
  <c r="AY357" i="2"/>
  <c r="AY358" i="2"/>
  <c r="AY348" i="2"/>
  <c r="AY349" i="2"/>
  <c r="AY175" i="2"/>
  <c r="AY168" i="2"/>
  <c r="AY176" i="2"/>
  <c r="AY169" i="2"/>
  <c r="AY177" i="2"/>
  <c r="AY171" i="2"/>
  <c r="AY179" i="2"/>
  <c r="AY170" i="2"/>
  <c r="AY172" i="2"/>
  <c r="AY173" i="2"/>
  <c r="AY174" i="2"/>
  <c r="AY178" i="2"/>
  <c r="AY271" i="2"/>
  <c r="AY264" i="2"/>
  <c r="AY272" i="2"/>
  <c r="AY265" i="2"/>
  <c r="AY273" i="2"/>
  <c r="AY267" i="2"/>
  <c r="AY275" i="2"/>
  <c r="AY270" i="2"/>
  <c r="AY266" i="2"/>
  <c r="AY274" i="2"/>
  <c r="AY268" i="2"/>
  <c r="AY269" i="2"/>
  <c r="AY367" i="2"/>
  <c r="AY360" i="2"/>
  <c r="AY368" i="2"/>
  <c r="AY361" i="2"/>
  <c r="AY369" i="2"/>
  <c r="AY363" i="2"/>
  <c r="AY371" i="2"/>
  <c r="AY362" i="2"/>
  <c r="AY366" i="2"/>
  <c r="AY364" i="2"/>
  <c r="AY365" i="2"/>
  <c r="AY370" i="2"/>
  <c r="AY87" i="2"/>
  <c r="AY95" i="2"/>
  <c r="AY88" i="2"/>
  <c r="AY89" i="2"/>
  <c r="AY91" i="2"/>
  <c r="AY84" i="2"/>
  <c r="AY90" i="2"/>
  <c r="AY85" i="2"/>
  <c r="AY86" i="2"/>
  <c r="AY94" i="2"/>
  <c r="AY92" i="2"/>
  <c r="AY93" i="2"/>
  <c r="AY183" i="2"/>
  <c r="AY191" i="2"/>
  <c r="AY184" i="2"/>
  <c r="AY185" i="2"/>
  <c r="AY187" i="2"/>
  <c r="AY180" i="2"/>
  <c r="AY181" i="2"/>
  <c r="AY186" i="2"/>
  <c r="AY182" i="2"/>
  <c r="AY188" i="2"/>
  <c r="AY189" i="2"/>
  <c r="AY190" i="2"/>
  <c r="AY279" i="2"/>
  <c r="AY287" i="2"/>
  <c r="AY280" i="2"/>
  <c r="AY281" i="2"/>
  <c r="AY283" i="2"/>
  <c r="AY276" i="2"/>
  <c r="AY277" i="2"/>
  <c r="AY282" i="2"/>
  <c r="AY286" i="2"/>
  <c r="AY278" i="2"/>
  <c r="AY284" i="2"/>
  <c r="AY285" i="2"/>
  <c r="AY375" i="2"/>
  <c r="AY383" i="2"/>
  <c r="AY376" i="2"/>
  <c r="AY377" i="2"/>
  <c r="AY379" i="2"/>
  <c r="AY372" i="2"/>
  <c r="AY373" i="2"/>
  <c r="AY378" i="2"/>
  <c r="AY374" i="2"/>
  <c r="AY380" i="2"/>
  <c r="AY381" i="2"/>
  <c r="AY382" i="2"/>
  <c r="AY103" i="2"/>
  <c r="AY96" i="2"/>
  <c r="AY104" i="2"/>
  <c r="AY97" i="2"/>
  <c r="AY105" i="2"/>
  <c r="AY99" i="2"/>
  <c r="AY107" i="2"/>
  <c r="AY100" i="2"/>
  <c r="AY98" i="2"/>
  <c r="AY101" i="2"/>
  <c r="AY106" i="2"/>
  <c r="AY102" i="2"/>
  <c r="AY199" i="2"/>
  <c r="AY192" i="2"/>
  <c r="AY200" i="2"/>
  <c r="AY193" i="2"/>
  <c r="AY201" i="2"/>
  <c r="AY195" i="2"/>
  <c r="AY203" i="2"/>
  <c r="AY196" i="2"/>
  <c r="AY202" i="2"/>
  <c r="AY197" i="2"/>
  <c r="AY198" i="2"/>
  <c r="AY194" i="2"/>
  <c r="AY295" i="2"/>
  <c r="AY288" i="2"/>
  <c r="AY296" i="2"/>
  <c r="AY289" i="2"/>
  <c r="AY297" i="2"/>
  <c r="AY291" i="2"/>
  <c r="AY299" i="2"/>
  <c r="AY292" i="2"/>
  <c r="AY298" i="2"/>
  <c r="AY290" i="2"/>
  <c r="AY293" i="2"/>
  <c r="AY294" i="2"/>
  <c r="AY391" i="2"/>
  <c r="AY384" i="2"/>
  <c r="AY392" i="2"/>
  <c r="AY385" i="2"/>
  <c r="AY393" i="2"/>
  <c r="AY387" i="2"/>
  <c r="AY395" i="2"/>
  <c r="AY388" i="2"/>
  <c r="AY394" i="2"/>
  <c r="AY389" i="2"/>
  <c r="AY386" i="2"/>
  <c r="AY390" i="2"/>
  <c r="AY15" i="2"/>
  <c r="AY23" i="2"/>
  <c r="AY16" i="2"/>
  <c r="AY17" i="2"/>
  <c r="AY12" i="2"/>
  <c r="AY19" i="2"/>
  <c r="AY20" i="2"/>
  <c r="AY18" i="2"/>
  <c r="AY21" i="2"/>
  <c r="AY22" i="2"/>
  <c r="AY14" i="2"/>
  <c r="AY13" i="2"/>
  <c r="AY111" i="2"/>
  <c r="AY119" i="2"/>
  <c r="AY112" i="2"/>
  <c r="AY113" i="2"/>
  <c r="AY115" i="2"/>
  <c r="AY116" i="2"/>
  <c r="AY117" i="2"/>
  <c r="AY110" i="2"/>
  <c r="AY118" i="2"/>
  <c r="AY114" i="2"/>
  <c r="AY108" i="2"/>
  <c r="AY109" i="2"/>
  <c r="AY207" i="2"/>
  <c r="AY215" i="2"/>
  <c r="AY208" i="2"/>
  <c r="AY209" i="2"/>
  <c r="AY211" i="2"/>
  <c r="AY212" i="2"/>
  <c r="AY206" i="2"/>
  <c r="AY213" i="2"/>
  <c r="AY210" i="2"/>
  <c r="AY214" i="2"/>
  <c r="AY204" i="2"/>
  <c r="AY205" i="2"/>
  <c r="AY303" i="2"/>
  <c r="AY311" i="2"/>
  <c r="AY304" i="2"/>
  <c r="AY305" i="2"/>
  <c r="AY307" i="2"/>
  <c r="AY308" i="2"/>
  <c r="AY309" i="2"/>
  <c r="AY310" i="2"/>
  <c r="AY302" i="2"/>
  <c r="AY300" i="2"/>
  <c r="AY301" i="2"/>
  <c r="AY306" i="2"/>
  <c r="AY399" i="2"/>
  <c r="AY407" i="2"/>
  <c r="AY400" i="2"/>
  <c r="AY401" i="2"/>
  <c r="AY403" i="2"/>
  <c r="AY404" i="2"/>
  <c r="AY405" i="2"/>
  <c r="AY398" i="2"/>
  <c r="AY406" i="2"/>
  <c r="AY402" i="2"/>
  <c r="AY396" i="2"/>
  <c r="AY397" i="2"/>
  <c r="AY31" i="2"/>
  <c r="AY24" i="2"/>
  <c r="AY32" i="2"/>
  <c r="AY25" i="2"/>
  <c r="AY33" i="2"/>
  <c r="AY27" i="2"/>
  <c r="AY35" i="2"/>
  <c r="AY28" i="2"/>
  <c r="AY26" i="2"/>
  <c r="AY29" i="2"/>
  <c r="AY30" i="2"/>
  <c r="AY34" i="2"/>
  <c r="AY127" i="2"/>
  <c r="AY120" i="2"/>
  <c r="AY128" i="2"/>
  <c r="AY121" i="2"/>
  <c r="AY129" i="2"/>
  <c r="AY123" i="2"/>
  <c r="AY131" i="2"/>
  <c r="AY122" i="2"/>
  <c r="AY124" i="2"/>
  <c r="AY125" i="2"/>
  <c r="AY126" i="2"/>
  <c r="AY130" i="2"/>
  <c r="AY223" i="2"/>
  <c r="AY216" i="2"/>
  <c r="AY224" i="2"/>
  <c r="AY217" i="2"/>
  <c r="AY225" i="2"/>
  <c r="AY219" i="2"/>
  <c r="AY227" i="2"/>
  <c r="AY226" i="2"/>
  <c r="AY222" i="2"/>
  <c r="AY218" i="2"/>
  <c r="AY220" i="2"/>
  <c r="AY221" i="2"/>
  <c r="AY319" i="2"/>
  <c r="AY312" i="2"/>
  <c r="AY320" i="2"/>
  <c r="AY313" i="2"/>
  <c r="AY321" i="2"/>
  <c r="AY315" i="2"/>
  <c r="AY323" i="2"/>
  <c r="AY322" i="2"/>
  <c r="AY314" i="2"/>
  <c r="AY316" i="2"/>
  <c r="AY317" i="2"/>
  <c r="AY318" i="2"/>
  <c r="AY415" i="2"/>
  <c r="AY408" i="2"/>
  <c r="AY416" i="2"/>
  <c r="AY409" i="2"/>
  <c r="AY417" i="2"/>
  <c r="AY411" i="2"/>
  <c r="AY419" i="2"/>
  <c r="AY414" i="2"/>
  <c r="AY410" i="2"/>
  <c r="AY412" i="2"/>
  <c r="AY413" i="2"/>
  <c r="AY418" i="2"/>
  <c r="AY39" i="2"/>
  <c r="AY47" i="2"/>
  <c r="AY40" i="2"/>
  <c r="AY41" i="2"/>
  <c r="AY43" i="2"/>
  <c r="AY36" i="2"/>
  <c r="AY44" i="2"/>
  <c r="AY38" i="2"/>
  <c r="AY37" i="2"/>
  <c r="AY42" i="2"/>
  <c r="AY45" i="2"/>
  <c r="AY46" i="2"/>
  <c r="AY135" i="2"/>
  <c r="AY143" i="2"/>
  <c r="AY136" i="2"/>
  <c r="AY137" i="2"/>
  <c r="AY139" i="2"/>
  <c r="AY132" i="2"/>
  <c r="AY133" i="2"/>
  <c r="AY138" i="2"/>
  <c r="AY134" i="2"/>
  <c r="AY140" i="2"/>
  <c r="AY141" i="2"/>
  <c r="AY142" i="2"/>
  <c r="AY231" i="2"/>
  <c r="AY239" i="2"/>
  <c r="AY232" i="2"/>
  <c r="AY233" i="2"/>
  <c r="AY235" i="2"/>
  <c r="AY228" i="2"/>
  <c r="AY229" i="2"/>
  <c r="AY234" i="2"/>
  <c r="AY230" i="2"/>
  <c r="AY238" i="2"/>
  <c r="AY236" i="2"/>
  <c r="AY237" i="2"/>
  <c r="AY327" i="2"/>
  <c r="AY335" i="2"/>
  <c r="AY328" i="2"/>
  <c r="AY329" i="2"/>
  <c r="AY331" i="2"/>
  <c r="AY324" i="2"/>
  <c r="AY325" i="2"/>
  <c r="AY330" i="2"/>
  <c r="AY334" i="2"/>
  <c r="AY326" i="2"/>
  <c r="AY332" i="2"/>
  <c r="AY333" i="2"/>
  <c r="AY423" i="2"/>
  <c r="AY431" i="2"/>
  <c r="AY424" i="2"/>
  <c r="AY425" i="2"/>
  <c r="AY427" i="2"/>
  <c r="AY420" i="2"/>
  <c r="AY421" i="2"/>
  <c r="AY426" i="2"/>
  <c r="AY422" i="2"/>
  <c r="AY430" i="2"/>
  <c r="AY428" i="2"/>
  <c r="AY429" i="2"/>
  <c r="AY247" i="2"/>
  <c r="AY240" i="2"/>
  <c r="AY248" i="2"/>
  <c r="AY241" i="2"/>
  <c r="AY249" i="2"/>
  <c r="AY243" i="2"/>
  <c r="AY251" i="2"/>
  <c r="AY244" i="2"/>
  <c r="AY250" i="2"/>
  <c r="AY245" i="2"/>
  <c r="AY246" i="2"/>
  <c r="AY242" i="2"/>
  <c r="AY55" i="2"/>
  <c r="AY48" i="2"/>
  <c r="AY56" i="2"/>
  <c r="AY49" i="2"/>
  <c r="AY57" i="2"/>
  <c r="AY51" i="2"/>
  <c r="AY59" i="2"/>
  <c r="AY52" i="2"/>
  <c r="AY54" i="2"/>
  <c r="AY58" i="2"/>
  <c r="AY50" i="2"/>
  <c r="AY53" i="2"/>
  <c r="AY439" i="2"/>
  <c r="AY447" i="2"/>
  <c r="AY455" i="2"/>
  <c r="AY463" i="2"/>
  <c r="AY471" i="2"/>
  <c r="AY479" i="2"/>
  <c r="AY487" i="2"/>
  <c r="AY495" i="2"/>
  <c r="AY503" i="2"/>
  <c r="AY511" i="2"/>
  <c r="AY519" i="2"/>
  <c r="AY527" i="2"/>
  <c r="AY535" i="2"/>
  <c r="AY543" i="2"/>
  <c r="AY551" i="2"/>
  <c r="AY559" i="2"/>
  <c r="AY567" i="2"/>
  <c r="AY575" i="2"/>
  <c r="AY583" i="2"/>
  <c r="AY591" i="2"/>
  <c r="AY599" i="2"/>
  <c r="AY607" i="2"/>
  <c r="AY615" i="2"/>
  <c r="AY623" i="2"/>
  <c r="AY432" i="2"/>
  <c r="AY440" i="2"/>
  <c r="AY448" i="2"/>
  <c r="AY456" i="2"/>
  <c r="AY464" i="2"/>
  <c r="AY472" i="2"/>
  <c r="AY480" i="2"/>
  <c r="AY488" i="2"/>
  <c r="AY496" i="2"/>
  <c r="AY504" i="2"/>
  <c r="AY512" i="2"/>
  <c r="AY520" i="2"/>
  <c r="AY528" i="2"/>
  <c r="AY536" i="2"/>
  <c r="AY544" i="2"/>
  <c r="AY552" i="2"/>
  <c r="AY560" i="2"/>
  <c r="AY568" i="2"/>
  <c r="AY576" i="2"/>
  <c r="AY584" i="2"/>
  <c r="AY592" i="2"/>
  <c r="AY600" i="2"/>
  <c r="AY608" i="2"/>
  <c r="AY616" i="2"/>
  <c r="AY624" i="2"/>
  <c r="AY433" i="2"/>
  <c r="AY441" i="2"/>
  <c r="AY449" i="2"/>
  <c r="AY457" i="2"/>
  <c r="AY465" i="2"/>
  <c r="AY473" i="2"/>
  <c r="AY481" i="2"/>
  <c r="AY489" i="2"/>
  <c r="AY497" i="2"/>
  <c r="AY505" i="2"/>
  <c r="AY513" i="2"/>
  <c r="AY521" i="2"/>
  <c r="AY529" i="2"/>
  <c r="AY537" i="2"/>
  <c r="AY545" i="2"/>
  <c r="AY553" i="2"/>
  <c r="AY561" i="2"/>
  <c r="AY569" i="2"/>
  <c r="AY577" i="2"/>
  <c r="AY585" i="2"/>
  <c r="AY593" i="2"/>
  <c r="AY601" i="2"/>
  <c r="AY609" i="2"/>
  <c r="AY617" i="2"/>
  <c r="AY435" i="2"/>
  <c r="AY443" i="2"/>
  <c r="AY451" i="2"/>
  <c r="AY459" i="2"/>
  <c r="AY467" i="2"/>
  <c r="AY475" i="2"/>
  <c r="AY483" i="2"/>
  <c r="AY491" i="2"/>
  <c r="AY499" i="2"/>
  <c r="AY507" i="2"/>
  <c r="AY515" i="2"/>
  <c r="AY523" i="2"/>
  <c r="AY531" i="2"/>
  <c r="AY539" i="2"/>
  <c r="AY547" i="2"/>
  <c r="AY555" i="2"/>
  <c r="AY563" i="2"/>
  <c r="AY571" i="2"/>
  <c r="AY579" i="2"/>
  <c r="AY587" i="2"/>
  <c r="AY595" i="2"/>
  <c r="AY603" i="2"/>
  <c r="AY611" i="2"/>
  <c r="AY619" i="2"/>
  <c r="AY436" i="2"/>
  <c r="AY452" i="2"/>
  <c r="AY468" i="2"/>
  <c r="AY484" i="2"/>
  <c r="AY500" i="2"/>
  <c r="AY516" i="2"/>
  <c r="AY532" i="2"/>
  <c r="AY548" i="2"/>
  <c r="AY564" i="2"/>
  <c r="AY580" i="2"/>
  <c r="AY596" i="2"/>
  <c r="AY612" i="2"/>
  <c r="AY442" i="2"/>
  <c r="AY490" i="2"/>
  <c r="AY538" i="2"/>
  <c r="AY586" i="2"/>
  <c r="AY478" i="2"/>
  <c r="AY542" i="2"/>
  <c r="AY606" i="2"/>
  <c r="AY434" i="2"/>
  <c r="AY498" i="2"/>
  <c r="AY562" i="2"/>
  <c r="AY437" i="2"/>
  <c r="AY453" i="2"/>
  <c r="AY469" i="2"/>
  <c r="AY485" i="2"/>
  <c r="AY501" i="2"/>
  <c r="AY517" i="2"/>
  <c r="AY533" i="2"/>
  <c r="AY549" i="2"/>
  <c r="AY565" i="2"/>
  <c r="AY581" i="2"/>
  <c r="AY597" i="2"/>
  <c r="AY613" i="2"/>
  <c r="AY474" i="2"/>
  <c r="AY522" i="2"/>
  <c r="AY554" i="2"/>
  <c r="AY602" i="2"/>
  <c r="AY462" i="2"/>
  <c r="AY526" i="2"/>
  <c r="AY590" i="2"/>
  <c r="AY450" i="2"/>
  <c r="AY514" i="2"/>
  <c r="AY578" i="2"/>
  <c r="AY438" i="2"/>
  <c r="AY454" i="2"/>
  <c r="AY470" i="2"/>
  <c r="AY486" i="2"/>
  <c r="AY502" i="2"/>
  <c r="AY518" i="2"/>
  <c r="AY534" i="2"/>
  <c r="AY550" i="2"/>
  <c r="AY566" i="2"/>
  <c r="AY582" i="2"/>
  <c r="AY598" i="2"/>
  <c r="AY614" i="2"/>
  <c r="AY458" i="2"/>
  <c r="AY506" i="2"/>
  <c r="AY570" i="2"/>
  <c r="AY618" i="2"/>
  <c r="AY494" i="2"/>
  <c r="AY558" i="2"/>
  <c r="AY622" i="2"/>
  <c r="AY466" i="2"/>
  <c r="AY530" i="2"/>
  <c r="AY594" i="2"/>
  <c r="AY444" i="2"/>
  <c r="AY460" i="2"/>
  <c r="AY476" i="2"/>
  <c r="AY492" i="2"/>
  <c r="AY508" i="2"/>
  <c r="AY524" i="2"/>
  <c r="AY540" i="2"/>
  <c r="AY556" i="2"/>
  <c r="AY572" i="2"/>
  <c r="AY588" i="2"/>
  <c r="AY604" i="2"/>
  <c r="AY620" i="2"/>
  <c r="AY445" i="2"/>
  <c r="AY461" i="2"/>
  <c r="AY477" i="2"/>
  <c r="AY493" i="2"/>
  <c r="AY509" i="2"/>
  <c r="AY525" i="2"/>
  <c r="AY541" i="2"/>
  <c r="AY557" i="2"/>
  <c r="AY573" i="2"/>
  <c r="AY589" i="2"/>
  <c r="AY605" i="2"/>
  <c r="AY621" i="2"/>
  <c r="AY446" i="2"/>
  <c r="AY510" i="2"/>
  <c r="AY574" i="2"/>
  <c r="AY482" i="2"/>
  <c r="AY546" i="2"/>
  <c r="AY610" i="2"/>
  <c r="AY79" i="2"/>
  <c r="AY72" i="2"/>
  <c r="AY80" i="2"/>
  <c r="AY73" i="2"/>
  <c r="AY81" i="2"/>
  <c r="AY75" i="2"/>
  <c r="AY83" i="2"/>
  <c r="AY76" i="2"/>
  <c r="AY82" i="2"/>
  <c r="AY74" i="2"/>
  <c r="AY77" i="2"/>
  <c r="AY78" i="2"/>
  <c r="Z11" i="2"/>
  <c r="AB11" i="2" s="1"/>
  <c r="U11" i="2"/>
  <c r="A4" i="3" l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B11" i="2"/>
  <c r="A12" i="2"/>
  <c r="B12" i="2" l="1"/>
  <c r="W11" i="2"/>
  <c r="A13" i="2"/>
  <c r="C11" i="2"/>
  <c r="K11" i="2"/>
  <c r="C12" i="2" l="1"/>
  <c r="E12" i="2" s="1"/>
  <c r="F12" i="2" s="1"/>
  <c r="G12" i="2" s="1"/>
  <c r="AM12" i="2"/>
  <c r="B13" i="2"/>
  <c r="K12" i="2"/>
  <c r="E11" i="2"/>
  <c r="V11" i="2" s="1"/>
  <c r="J11" i="2"/>
  <c r="D11" i="2"/>
  <c r="AQ12" i="2"/>
  <c r="AF12" i="2"/>
  <c r="AC12" i="2"/>
  <c r="W12" i="2"/>
  <c r="AJ12" i="2"/>
  <c r="AI12" i="2" s="1"/>
  <c r="AA12" i="2"/>
  <c r="AD12" i="2" s="1"/>
  <c r="A14" i="2"/>
  <c r="AO12" i="2" l="1"/>
  <c r="AN12" i="2"/>
  <c r="J12" i="2"/>
  <c r="D12" i="2"/>
  <c r="U12" i="2" s="1"/>
  <c r="P12" i="2"/>
  <c r="V12" i="2"/>
  <c r="BC12" i="2" s="1"/>
  <c r="W13" i="2"/>
  <c r="AM13" i="2"/>
  <c r="AC13" i="2"/>
  <c r="AJ13" i="2"/>
  <c r="B14" i="2"/>
  <c r="AA13" i="2"/>
  <c r="AD13" i="2" s="1"/>
  <c r="C13" i="2"/>
  <c r="P13" i="2" s="1"/>
  <c r="K13" i="2"/>
  <c r="L12" i="2" s="1"/>
  <c r="AQ13" i="2"/>
  <c r="F11" i="2"/>
  <c r="G11" i="2" s="1"/>
  <c r="H12" i="2"/>
  <c r="AT11" i="2"/>
  <c r="A15" i="2"/>
  <c r="X12" i="2" l="1"/>
  <c r="AP12" i="2" s="1"/>
  <c r="Y12" i="2"/>
  <c r="AB12" i="2" s="1"/>
  <c r="M12" i="2"/>
  <c r="I12" i="2" s="1"/>
  <c r="C14" i="2"/>
  <c r="J14" i="2" s="1"/>
  <c r="AM14" i="2"/>
  <c r="AA14" i="2"/>
  <c r="AD14" i="2" s="1"/>
  <c r="W14" i="2"/>
  <c r="AC14" i="2"/>
  <c r="AJ14" i="2"/>
  <c r="B15" i="2"/>
  <c r="AQ14" i="2"/>
  <c r="K14" i="2"/>
  <c r="L13" i="2" s="1"/>
  <c r="E13" i="2"/>
  <c r="F13" i="2" s="1"/>
  <c r="G13" i="2" s="1"/>
  <c r="J13" i="2"/>
  <c r="D13" i="2"/>
  <c r="U13" i="2" s="1"/>
  <c r="A16" i="2"/>
  <c r="P14" i="2" l="1"/>
  <c r="E14" i="2"/>
  <c r="V14" i="2" s="1"/>
  <c r="D14" i="2"/>
  <c r="U14" i="2" s="1"/>
  <c r="N12" i="2"/>
  <c r="S12" i="2"/>
  <c r="T12" i="2"/>
  <c r="Z12" i="2"/>
  <c r="AS12" i="2"/>
  <c r="BB12" i="2" s="1"/>
  <c r="C15" i="2"/>
  <c r="J15" i="2" s="1"/>
  <c r="AM15" i="2"/>
  <c r="K15" i="2"/>
  <c r="L14" i="2" s="1"/>
  <c r="AQ15" i="2"/>
  <c r="AA15" i="2"/>
  <c r="AD15" i="2" s="1"/>
  <c r="W15" i="2"/>
  <c r="AC15" i="2"/>
  <c r="B16" i="2"/>
  <c r="AJ15" i="2"/>
  <c r="M13" i="2"/>
  <c r="V13" i="2"/>
  <c r="H13" i="2"/>
  <c r="A17" i="2"/>
  <c r="Q12" i="2" l="1"/>
  <c r="R12" i="2" s="1"/>
  <c r="Y13" i="2"/>
  <c r="AB13" i="2" s="1"/>
  <c r="BC13" i="2"/>
  <c r="BC14" i="2" s="1"/>
  <c r="Y14" i="2"/>
  <c r="E15" i="2"/>
  <c r="V15" i="2" s="1"/>
  <c r="F14" i="2"/>
  <c r="G14" i="2" s="1"/>
  <c r="D15" i="2"/>
  <c r="U15" i="2" s="1"/>
  <c r="P15" i="2"/>
  <c r="AK12" i="2"/>
  <c r="AV12" i="2"/>
  <c r="AR12" i="2" s="1"/>
  <c r="AW12" i="2" s="1"/>
  <c r="AU12" i="2" s="1"/>
  <c r="AC16" i="2"/>
  <c r="AM16" i="2"/>
  <c r="K16" i="2"/>
  <c r="L15" i="2" s="1"/>
  <c r="C16" i="2"/>
  <c r="P16" i="2" s="1"/>
  <c r="W16" i="2"/>
  <c r="B17" i="2"/>
  <c r="AA16" i="2"/>
  <c r="AD16" i="2" s="1"/>
  <c r="AJ16" i="2"/>
  <c r="AQ16" i="2"/>
  <c r="M14" i="2"/>
  <c r="A18" i="2"/>
  <c r="O12" i="2" l="1"/>
  <c r="AS13" i="2" s="1"/>
  <c r="Z13" i="2"/>
  <c r="Z14" i="2" s="1"/>
  <c r="BC15" i="2"/>
  <c r="AB14" i="2"/>
  <c r="AH12" i="2"/>
  <c r="AI13" i="2" s="1"/>
  <c r="AG12" i="2"/>
  <c r="Y15" i="2"/>
  <c r="H14" i="2"/>
  <c r="F15" i="2"/>
  <c r="G15" i="2" s="1"/>
  <c r="S13" i="2"/>
  <c r="AE12" i="2"/>
  <c r="T13" i="2"/>
  <c r="C17" i="2"/>
  <c r="J17" i="2" s="1"/>
  <c r="AM17" i="2"/>
  <c r="W17" i="2"/>
  <c r="AA17" i="2"/>
  <c r="AD17" i="2" s="1"/>
  <c r="B18" i="2"/>
  <c r="AQ17" i="2"/>
  <c r="E16" i="2"/>
  <c r="V16" i="2" s="1"/>
  <c r="D16" i="2"/>
  <c r="U16" i="2" s="1"/>
  <c r="AC17" i="2"/>
  <c r="J16" i="2"/>
  <c r="AJ17" i="2"/>
  <c r="K17" i="2"/>
  <c r="L16" i="2" s="1"/>
  <c r="A19" i="2"/>
  <c r="N13" i="2" l="1"/>
  <c r="AN13" i="2"/>
  <c r="I13" i="2"/>
  <c r="AO13" i="2"/>
  <c r="X13" i="2"/>
  <c r="AB15" i="2"/>
  <c r="BC16" i="2"/>
  <c r="AF13" i="2"/>
  <c r="AL12" i="2"/>
  <c r="BA12" i="2" s="1"/>
  <c r="AT12" i="2"/>
  <c r="Y16" i="2"/>
  <c r="H15" i="2"/>
  <c r="P17" i="2"/>
  <c r="E17" i="2"/>
  <c r="V17" i="2" s="1"/>
  <c r="Z15" i="2"/>
  <c r="D17" i="2"/>
  <c r="U17" i="2" s="1"/>
  <c r="AA18" i="2"/>
  <c r="AD18" i="2" s="1"/>
  <c r="AM18" i="2"/>
  <c r="AC18" i="2"/>
  <c r="C18" i="2"/>
  <c r="P18" i="2" s="1"/>
  <c r="AJ18" i="2"/>
  <c r="K18" i="2"/>
  <c r="L17" i="2" s="1"/>
  <c r="W18" i="2"/>
  <c r="B19" i="2"/>
  <c r="AQ18" i="2"/>
  <c r="F16" i="2"/>
  <c r="G16" i="2" s="1"/>
  <c r="A20" i="2"/>
  <c r="Q13" i="2" l="1"/>
  <c r="R13" i="2" s="1"/>
  <c r="S14" i="2" s="1"/>
  <c r="AP13" i="2"/>
  <c r="BB13" i="2"/>
  <c r="BC17" i="2"/>
  <c r="AK13" i="2"/>
  <c r="AB16" i="2"/>
  <c r="Y17" i="2"/>
  <c r="H16" i="2"/>
  <c r="F17" i="2"/>
  <c r="G17" i="2" s="1"/>
  <c r="AV13" i="2"/>
  <c r="AR13" i="2" s="1"/>
  <c r="Z16" i="2"/>
  <c r="AM19" i="2"/>
  <c r="C19" i="2"/>
  <c r="P19" i="2" s="1"/>
  <c r="E18" i="2"/>
  <c r="F18" i="2" s="1"/>
  <c r="G18" i="2" s="1"/>
  <c r="D18" i="2"/>
  <c r="U18" i="2" s="1"/>
  <c r="AJ19" i="2"/>
  <c r="J18" i="2"/>
  <c r="AA19" i="2"/>
  <c r="AD19" i="2" s="1"/>
  <c r="W19" i="2"/>
  <c r="AQ19" i="2"/>
  <c r="AC19" i="2"/>
  <c r="K19" i="2"/>
  <c r="L18" i="2" s="1"/>
  <c r="B20" i="2"/>
  <c r="A21" i="2"/>
  <c r="T14" i="2" l="1"/>
  <c r="M15" i="2" s="1"/>
  <c r="AG13" i="2"/>
  <c r="AH13" i="2"/>
  <c r="AI14" i="2" s="1"/>
  <c r="O13" i="2"/>
  <c r="I14" i="2" s="1"/>
  <c r="AE13" i="2"/>
  <c r="AW13" i="2"/>
  <c r="AU13" i="2" s="1"/>
  <c r="AB17" i="2"/>
  <c r="H17" i="2"/>
  <c r="Z17" i="2"/>
  <c r="AC20" i="2"/>
  <c r="AM20" i="2"/>
  <c r="D19" i="2"/>
  <c r="U19" i="2" s="1"/>
  <c r="J19" i="2"/>
  <c r="E19" i="2"/>
  <c r="F19" i="2" s="1"/>
  <c r="G19" i="2" s="1"/>
  <c r="V18" i="2"/>
  <c r="C20" i="2"/>
  <c r="P20" i="2" s="1"/>
  <c r="K20" i="2"/>
  <c r="L19" i="2" s="1"/>
  <c r="AJ20" i="2"/>
  <c r="W20" i="2"/>
  <c r="AA20" i="2"/>
  <c r="AD20" i="2" s="1"/>
  <c r="AQ20" i="2"/>
  <c r="B21" i="2"/>
  <c r="H18" i="2"/>
  <c r="A22" i="2"/>
  <c r="AL13" i="2" l="1"/>
  <c r="BA13" i="2" s="1"/>
  <c r="AN14" i="2"/>
  <c r="AT13" i="2"/>
  <c r="AS14" i="2"/>
  <c r="N14" i="2"/>
  <c r="Q14" i="2" s="1"/>
  <c r="O14" i="2" s="1"/>
  <c r="X14" i="2"/>
  <c r="AO14" i="2"/>
  <c r="AF14" i="2"/>
  <c r="AK14" i="2" s="1"/>
  <c r="Y18" i="2"/>
  <c r="AB18" i="2" s="1"/>
  <c r="BC18" i="2"/>
  <c r="AM21" i="2"/>
  <c r="J20" i="2"/>
  <c r="E20" i="2"/>
  <c r="V20" i="2" s="1"/>
  <c r="V19" i="2"/>
  <c r="Y19" i="2" s="1"/>
  <c r="D20" i="2"/>
  <c r="U20" i="2" s="1"/>
  <c r="K21" i="2"/>
  <c r="L20" i="2" s="1"/>
  <c r="AJ21" i="2"/>
  <c r="C21" i="2"/>
  <c r="P21" i="2" s="1"/>
  <c r="AQ21" i="2"/>
  <c r="B22" i="2"/>
  <c r="AA21" i="2"/>
  <c r="AD21" i="2" s="1"/>
  <c r="AC21" i="2"/>
  <c r="W21" i="2"/>
  <c r="H19" i="2"/>
  <c r="A23" i="2"/>
  <c r="AP14" i="2" l="1"/>
  <c r="AV14" i="2"/>
  <c r="AR14" i="2" s="1"/>
  <c r="BB14" i="2"/>
  <c r="Z18" i="2"/>
  <c r="Z19" i="2" s="1"/>
  <c r="AB19" i="2"/>
  <c r="BC19" i="2"/>
  <c r="BC20" i="2" s="1"/>
  <c r="AS15" i="2"/>
  <c r="AN15" i="2"/>
  <c r="X15" i="2"/>
  <c r="AO15" i="2"/>
  <c r="N15" i="2"/>
  <c r="I15" i="2"/>
  <c r="R14" i="2"/>
  <c r="Y20" i="2"/>
  <c r="C22" i="2"/>
  <c r="P22" i="2" s="1"/>
  <c r="AM22" i="2"/>
  <c r="J21" i="2"/>
  <c r="F20" i="2"/>
  <c r="G20" i="2" s="1"/>
  <c r="D21" i="2"/>
  <c r="U21" i="2" s="1"/>
  <c r="E21" i="2"/>
  <c r="F21" i="2" s="1"/>
  <c r="G21" i="2" s="1"/>
  <c r="B23" i="2"/>
  <c r="AQ22" i="2"/>
  <c r="AA22" i="2"/>
  <c r="AD22" i="2" s="1"/>
  <c r="W22" i="2"/>
  <c r="AC22" i="2"/>
  <c r="AJ22" i="2"/>
  <c r="K22" i="2"/>
  <c r="L21" i="2" s="1"/>
  <c r="A24" i="2"/>
  <c r="AW14" i="2" l="1"/>
  <c r="AU14" i="2" s="1"/>
  <c r="AB20" i="2"/>
  <c r="S15" i="2"/>
  <c r="AG14" i="2"/>
  <c r="Q15" i="2"/>
  <c r="O15" i="2" s="1"/>
  <c r="AP15" i="2"/>
  <c r="AH14" i="2"/>
  <c r="AI15" i="2" s="1"/>
  <c r="AE14" i="2"/>
  <c r="T15" i="2"/>
  <c r="M16" i="2" s="1"/>
  <c r="H20" i="2"/>
  <c r="E22" i="2"/>
  <c r="F22" i="2" s="1"/>
  <c r="G22" i="2" s="1"/>
  <c r="D22" i="2"/>
  <c r="U22" i="2" s="1"/>
  <c r="J22" i="2"/>
  <c r="Z20" i="2"/>
  <c r="AU23" i="2"/>
  <c r="AM23" i="2"/>
  <c r="K23" i="2"/>
  <c r="L22" i="2" s="1"/>
  <c r="AQ23" i="2"/>
  <c r="AC23" i="2"/>
  <c r="W23" i="2"/>
  <c r="AA23" i="2"/>
  <c r="AD23" i="2" s="1"/>
  <c r="C23" i="2"/>
  <c r="J23" i="2" s="1"/>
  <c r="AJ23" i="2"/>
  <c r="B24" i="2"/>
  <c r="V21" i="2"/>
  <c r="H21" i="2"/>
  <c r="A25" i="2"/>
  <c r="AS16" i="2" l="1"/>
  <c r="Y21" i="2"/>
  <c r="AB21" i="2" s="1"/>
  <c r="BC21" i="2"/>
  <c r="AF15" i="2"/>
  <c r="AK15" i="2" s="1"/>
  <c r="AL14" i="2"/>
  <c r="BA14" i="2" s="1"/>
  <c r="AT14" i="2"/>
  <c r="BB15" i="2" s="1"/>
  <c r="AN16" i="2"/>
  <c r="X16" i="2"/>
  <c r="N16" i="2"/>
  <c r="AO16" i="2"/>
  <c r="R15" i="2"/>
  <c r="I16" i="2"/>
  <c r="V22" i="2"/>
  <c r="Y22" i="2" s="1"/>
  <c r="AM24" i="2"/>
  <c r="P23" i="2"/>
  <c r="AC24" i="2"/>
  <c r="D23" i="2"/>
  <c r="U23" i="2" s="1"/>
  <c r="E23" i="2"/>
  <c r="F23" i="2" s="1"/>
  <c r="G23" i="2" s="1"/>
  <c r="W24" i="2"/>
  <c r="C24" i="2"/>
  <c r="J24" i="2" s="1"/>
  <c r="K24" i="2"/>
  <c r="L23" i="2" s="1"/>
  <c r="B25" i="2"/>
  <c r="AQ24" i="2"/>
  <c r="H22" i="2"/>
  <c r="A26" i="2"/>
  <c r="BC22" i="2" l="1"/>
  <c r="Z21" i="2"/>
  <c r="Z22" i="2" s="1"/>
  <c r="AB22" i="2"/>
  <c r="AE15" i="2"/>
  <c r="AF16" i="2" s="1"/>
  <c r="AG15" i="2"/>
  <c r="Q16" i="2"/>
  <c r="O16" i="2" s="1"/>
  <c r="AP16" i="2"/>
  <c r="S16" i="2"/>
  <c r="AH15" i="2"/>
  <c r="AI16" i="2" s="1"/>
  <c r="T16" i="2"/>
  <c r="M17" i="2" s="1"/>
  <c r="AV15" i="2"/>
  <c r="AR15" i="2" s="1"/>
  <c r="AW15" i="2" s="1"/>
  <c r="AU15" i="2" s="1"/>
  <c r="AM25" i="2"/>
  <c r="D24" i="2"/>
  <c r="U24" i="2" s="1"/>
  <c r="AQ25" i="2"/>
  <c r="E24" i="2"/>
  <c r="F24" i="2" s="1"/>
  <c r="G24" i="2" s="1"/>
  <c r="V23" i="2"/>
  <c r="Y23" i="2" s="1"/>
  <c r="P24" i="2"/>
  <c r="AC25" i="2"/>
  <c r="AA25" i="2"/>
  <c r="W25" i="2"/>
  <c r="AJ25" i="2"/>
  <c r="C25" i="2"/>
  <c r="P25" i="2" s="1"/>
  <c r="K25" i="2"/>
  <c r="L24" i="2" s="1"/>
  <c r="B26" i="2"/>
  <c r="H23" i="2"/>
  <c r="A27" i="2"/>
  <c r="AB23" i="2" l="1"/>
  <c r="AN17" i="2"/>
  <c r="AT15" i="2"/>
  <c r="BB16" i="2" s="1"/>
  <c r="AL15" i="2"/>
  <c r="BA15" i="2" s="1"/>
  <c r="BC23" i="2"/>
  <c r="X17" i="2"/>
  <c r="AO17" i="2"/>
  <c r="I17" i="2"/>
  <c r="N17" i="2"/>
  <c r="AS17" i="2"/>
  <c r="R16" i="2"/>
  <c r="AH16" i="2" s="1"/>
  <c r="AI17" i="2" s="1"/>
  <c r="AK16" i="2"/>
  <c r="AM26" i="2"/>
  <c r="V24" i="2"/>
  <c r="Y24" i="2" s="1"/>
  <c r="AQ26" i="2"/>
  <c r="K26" i="2"/>
  <c r="L25" i="2" s="1"/>
  <c r="W26" i="2"/>
  <c r="AC26" i="2"/>
  <c r="J25" i="2"/>
  <c r="C26" i="2"/>
  <c r="J26" i="2" s="1"/>
  <c r="AJ26" i="2"/>
  <c r="B27" i="2"/>
  <c r="D25" i="2"/>
  <c r="U25" i="2" s="1"/>
  <c r="E25" i="2"/>
  <c r="F25" i="2" s="1"/>
  <c r="G25" i="2" s="1"/>
  <c r="AA26" i="2"/>
  <c r="Z23" i="2"/>
  <c r="H24" i="2"/>
  <c r="A28" i="2"/>
  <c r="AB24" i="2" l="1"/>
  <c r="BC24" i="2"/>
  <c r="AG16" i="2"/>
  <c r="AP17" i="2"/>
  <c r="Q17" i="2"/>
  <c r="O17" i="2" s="1"/>
  <c r="S17" i="2"/>
  <c r="AE16" i="2"/>
  <c r="AT16" i="2" s="1"/>
  <c r="BB17" i="2" s="1"/>
  <c r="T17" i="2"/>
  <c r="M18" i="2" s="1"/>
  <c r="AV16" i="2"/>
  <c r="AR16" i="2" s="1"/>
  <c r="AW16" i="2" s="1"/>
  <c r="AU16" i="2" s="1"/>
  <c r="AA27" i="2"/>
  <c r="AM27" i="2"/>
  <c r="AC27" i="2"/>
  <c r="D26" i="2"/>
  <c r="U26" i="2" s="1"/>
  <c r="E26" i="2"/>
  <c r="F26" i="2" s="1"/>
  <c r="G26" i="2" s="1"/>
  <c r="AQ27" i="2"/>
  <c r="C27" i="2"/>
  <c r="P27" i="2" s="1"/>
  <c r="AJ27" i="2"/>
  <c r="P26" i="2"/>
  <c r="K27" i="2"/>
  <c r="L26" i="2" s="1"/>
  <c r="W27" i="2"/>
  <c r="B28" i="2"/>
  <c r="AC28" i="2" s="1"/>
  <c r="V25" i="2"/>
  <c r="Y25" i="2" s="1"/>
  <c r="Z24" i="2"/>
  <c r="AA24" i="2"/>
  <c r="AD24" i="2" s="1"/>
  <c r="AD25" i="2" s="1"/>
  <c r="AD26" i="2" s="1"/>
  <c r="H25" i="2"/>
  <c r="A29" i="2"/>
  <c r="AB25" i="2" l="1"/>
  <c r="AN18" i="2"/>
  <c r="BC25" i="2"/>
  <c r="AL16" i="2"/>
  <c r="BA16" i="2" s="1"/>
  <c r="AF17" i="2"/>
  <c r="AK17" i="2" s="1"/>
  <c r="X18" i="2"/>
  <c r="AO18" i="2"/>
  <c r="N18" i="2"/>
  <c r="AS18" i="2"/>
  <c r="I18" i="2"/>
  <c r="R17" i="2"/>
  <c r="S18" i="2" s="1"/>
  <c r="AD27" i="2"/>
  <c r="B29" i="2"/>
  <c r="K29" i="2" s="1"/>
  <c r="L28" i="2" s="1"/>
  <c r="AM28" i="2"/>
  <c r="AJ28" i="2"/>
  <c r="V26" i="2"/>
  <c r="Y26" i="2" s="1"/>
  <c r="AQ28" i="2"/>
  <c r="E27" i="2"/>
  <c r="F27" i="2" s="1"/>
  <c r="G27" i="2" s="1"/>
  <c r="W28" i="2"/>
  <c r="D27" i="2"/>
  <c r="U27" i="2" s="1"/>
  <c r="J27" i="2"/>
  <c r="AA28" i="2"/>
  <c r="K28" i="2"/>
  <c r="L27" i="2" s="1"/>
  <c r="C28" i="2"/>
  <c r="P28" i="2" s="1"/>
  <c r="Z25" i="2"/>
  <c r="H26" i="2"/>
  <c r="A30" i="2"/>
  <c r="AB26" i="2" l="1"/>
  <c r="BC26" i="2"/>
  <c r="AG17" i="2"/>
  <c r="AP18" i="2"/>
  <c r="AV17" i="2"/>
  <c r="AR17" i="2" s="1"/>
  <c r="AW17" i="2" s="1"/>
  <c r="AU17" i="2" s="1"/>
  <c r="Q18" i="2"/>
  <c r="O18" i="2" s="1"/>
  <c r="AH17" i="2"/>
  <c r="AI18" i="2" s="1"/>
  <c r="AE17" i="2"/>
  <c r="T18" i="2"/>
  <c r="M19" i="2" s="1"/>
  <c r="AJ29" i="2"/>
  <c r="AQ29" i="2"/>
  <c r="C29" i="2"/>
  <c r="P29" i="2" s="1"/>
  <c r="B30" i="2"/>
  <c r="AM30" i="2" s="1"/>
  <c r="W29" i="2"/>
  <c r="AA29" i="2"/>
  <c r="AC29" i="2"/>
  <c r="AD28" i="2"/>
  <c r="AM29" i="2"/>
  <c r="V27" i="2"/>
  <c r="Y27" i="2" s="1"/>
  <c r="J28" i="2"/>
  <c r="D28" i="2"/>
  <c r="U28" i="2" s="1"/>
  <c r="E28" i="2"/>
  <c r="V28" i="2" s="1"/>
  <c r="Z26" i="2"/>
  <c r="H27" i="2"/>
  <c r="A31" i="2"/>
  <c r="AB27" i="2" l="1"/>
  <c r="AT17" i="2"/>
  <c r="BB18" i="2" s="1"/>
  <c r="AN19" i="2"/>
  <c r="AF18" i="2"/>
  <c r="AK18" i="2" s="1"/>
  <c r="AL17" i="2"/>
  <c r="BA17" i="2" s="1"/>
  <c r="BC27" i="2"/>
  <c r="BC28" i="2" s="1"/>
  <c r="AS19" i="2"/>
  <c r="AO19" i="2"/>
  <c r="I19" i="2"/>
  <c r="X19" i="2"/>
  <c r="R18" i="2"/>
  <c r="S19" i="2" s="1"/>
  <c r="N19" i="2"/>
  <c r="Y28" i="2"/>
  <c r="AA30" i="2"/>
  <c r="W30" i="2"/>
  <c r="AJ30" i="2"/>
  <c r="AC30" i="2"/>
  <c r="K30" i="2"/>
  <c r="L29" i="2" s="1"/>
  <c r="C30" i="2"/>
  <c r="P30" i="2" s="1"/>
  <c r="B31" i="2"/>
  <c r="AM31" i="2" s="1"/>
  <c r="AQ30" i="2"/>
  <c r="AD29" i="2"/>
  <c r="E29" i="2"/>
  <c r="F29" i="2" s="1"/>
  <c r="G29" i="2" s="1"/>
  <c r="J29" i="2"/>
  <c r="D29" i="2"/>
  <c r="U29" i="2" s="1"/>
  <c r="F28" i="2"/>
  <c r="G28" i="2" s="1"/>
  <c r="Z27" i="2"/>
  <c r="A32" i="2"/>
  <c r="AB28" i="2" l="1"/>
  <c r="AG18" i="2"/>
  <c r="AP19" i="2"/>
  <c r="AH18" i="2"/>
  <c r="AI19" i="2" s="1"/>
  <c r="AE18" i="2"/>
  <c r="T19" i="2"/>
  <c r="M20" i="2" s="1"/>
  <c r="Q19" i="2"/>
  <c r="O19" i="2" s="1"/>
  <c r="AV18" i="2"/>
  <c r="AR18" i="2" s="1"/>
  <c r="AW18" i="2" s="1"/>
  <c r="AU18" i="2" s="1"/>
  <c r="H28" i="2"/>
  <c r="AD30" i="2"/>
  <c r="AC31" i="2"/>
  <c r="AA31" i="2"/>
  <c r="AJ31" i="2"/>
  <c r="W31" i="2"/>
  <c r="K31" i="2"/>
  <c r="L30" i="2" s="1"/>
  <c r="B32" i="2"/>
  <c r="AM32" i="2" s="1"/>
  <c r="AQ31" i="2"/>
  <c r="C31" i="2"/>
  <c r="P31" i="2" s="1"/>
  <c r="J30" i="2"/>
  <c r="D30" i="2"/>
  <c r="U30" i="2" s="1"/>
  <c r="E30" i="2"/>
  <c r="V30" i="2" s="1"/>
  <c r="V29" i="2"/>
  <c r="Y29" i="2" s="1"/>
  <c r="Z28" i="2"/>
  <c r="H29" i="2"/>
  <c r="A33" i="2"/>
  <c r="AB29" i="2" l="1"/>
  <c r="AF19" i="2"/>
  <c r="AK19" i="2" s="1"/>
  <c r="AL18" i="2"/>
  <c r="BA18" i="2" s="1"/>
  <c r="BC29" i="2"/>
  <c r="BC30" i="2" s="1"/>
  <c r="AN20" i="2"/>
  <c r="AT18" i="2"/>
  <c r="BB19" i="2" s="1"/>
  <c r="R19" i="2"/>
  <c r="T20" i="2" s="1"/>
  <c r="M21" i="2" s="1"/>
  <c r="Y30" i="2"/>
  <c r="AD31" i="2"/>
  <c r="C32" i="2"/>
  <c r="P32" i="2" s="1"/>
  <c r="B33" i="2"/>
  <c r="B34" i="2" s="1"/>
  <c r="AJ32" i="2"/>
  <c r="W32" i="2"/>
  <c r="AA32" i="2"/>
  <c r="AC32" i="2"/>
  <c r="AQ32" i="2"/>
  <c r="K32" i="2"/>
  <c r="L31" i="2" s="1"/>
  <c r="J31" i="2"/>
  <c r="D31" i="2"/>
  <c r="U31" i="2" s="1"/>
  <c r="E31" i="2"/>
  <c r="V31" i="2" s="1"/>
  <c r="F30" i="2"/>
  <c r="G30" i="2" s="1"/>
  <c r="Z29" i="2"/>
  <c r="I20" i="2"/>
  <c r="X20" i="2"/>
  <c r="AO20" i="2"/>
  <c r="AS20" i="2"/>
  <c r="N20" i="2"/>
  <c r="A34" i="2"/>
  <c r="AB30" i="2" l="1"/>
  <c r="BC31" i="2"/>
  <c r="AG19" i="2"/>
  <c r="AE19" i="2"/>
  <c r="S20" i="2"/>
  <c r="AA33" i="2"/>
  <c r="AC33" i="2"/>
  <c r="AJ33" i="2"/>
  <c r="AH19" i="2"/>
  <c r="AI20" i="2" s="1"/>
  <c r="AV19" i="2"/>
  <c r="AR19" i="2" s="1"/>
  <c r="AW19" i="2" s="1"/>
  <c r="AU19" i="2" s="1"/>
  <c r="K33" i="2"/>
  <c r="L32" i="2" s="1"/>
  <c r="AQ33" i="2"/>
  <c r="AQ34" i="2" s="1"/>
  <c r="Y31" i="2"/>
  <c r="H30" i="2"/>
  <c r="AM33" i="2"/>
  <c r="C33" i="2"/>
  <c r="P33" i="2" s="1"/>
  <c r="W33" i="2"/>
  <c r="AD32" i="2"/>
  <c r="D32" i="2"/>
  <c r="U32" i="2" s="1"/>
  <c r="J32" i="2"/>
  <c r="E32" i="2"/>
  <c r="F32" i="2" s="1"/>
  <c r="G32" i="2" s="1"/>
  <c r="AP20" i="2"/>
  <c r="F31" i="2"/>
  <c r="G31" i="2" s="1"/>
  <c r="AM34" i="2"/>
  <c r="Z30" i="2"/>
  <c r="Q20" i="2"/>
  <c r="AJ34" i="2"/>
  <c r="AA34" i="2"/>
  <c r="W34" i="2"/>
  <c r="AC34" i="2"/>
  <c r="A35" i="2"/>
  <c r="K34" i="2"/>
  <c r="L33" i="2" s="1"/>
  <c r="B35" i="2"/>
  <c r="C34" i="2"/>
  <c r="J34" i="2" s="1"/>
  <c r="AB31" i="2" l="1"/>
  <c r="AF20" i="2"/>
  <c r="AK20" i="2" s="1"/>
  <c r="AT19" i="2"/>
  <c r="BB20" i="2" s="1"/>
  <c r="AL19" i="2"/>
  <c r="BA19" i="2" s="1"/>
  <c r="AD33" i="2"/>
  <c r="AD34" i="2" s="1"/>
  <c r="H31" i="2"/>
  <c r="E33" i="2"/>
  <c r="V33" i="2" s="1"/>
  <c r="D33" i="2"/>
  <c r="U33" i="2" s="1"/>
  <c r="J33" i="2"/>
  <c r="V32" i="2"/>
  <c r="Z31" i="2"/>
  <c r="AM35" i="2"/>
  <c r="AQ35" i="2"/>
  <c r="O20" i="2"/>
  <c r="R20" i="2"/>
  <c r="AG20" i="2" s="1"/>
  <c r="AU35" i="2"/>
  <c r="P34" i="2"/>
  <c r="H32" i="2"/>
  <c r="AC35" i="2"/>
  <c r="AA35" i="2"/>
  <c r="W35" i="2"/>
  <c r="AJ35" i="2"/>
  <c r="A36" i="2"/>
  <c r="E34" i="2"/>
  <c r="V34" i="2" s="1"/>
  <c r="D34" i="2"/>
  <c r="C35" i="2"/>
  <c r="P35" i="2" s="1"/>
  <c r="K35" i="2"/>
  <c r="L34" i="2" s="1"/>
  <c r="B36" i="2"/>
  <c r="AN21" i="2" l="1"/>
  <c r="Y32" i="2"/>
  <c r="AB32" i="2" s="1"/>
  <c r="BC32" i="2"/>
  <c r="BC33" i="2" s="1"/>
  <c r="BC34" i="2" s="1"/>
  <c r="AV20" i="2"/>
  <c r="AR20" i="2" s="1"/>
  <c r="AW20" i="2" s="1"/>
  <c r="AU20" i="2" s="1"/>
  <c r="F33" i="2"/>
  <c r="G33" i="2" s="1"/>
  <c r="H33" i="2" s="1"/>
  <c r="Y33" i="2"/>
  <c r="AM36" i="2"/>
  <c r="U34" i="2"/>
  <c r="Y34" i="2" s="1"/>
  <c r="AD35" i="2"/>
  <c r="AH20" i="2"/>
  <c r="AI21" i="2" s="1"/>
  <c r="AE20" i="2"/>
  <c r="S21" i="2"/>
  <c r="T21" i="2"/>
  <c r="M22" i="2" s="1"/>
  <c r="X21" i="2"/>
  <c r="AO21" i="2"/>
  <c r="AS21" i="2"/>
  <c r="I21" i="2"/>
  <c r="N21" i="2"/>
  <c r="J35" i="2"/>
  <c r="F34" i="2"/>
  <c r="G34" i="2" s="1"/>
  <c r="AC36" i="2"/>
  <c r="W36" i="2"/>
  <c r="AQ36" i="2"/>
  <c r="A37" i="2"/>
  <c r="D35" i="2"/>
  <c r="E35" i="2"/>
  <c r="C36" i="2"/>
  <c r="P36" i="2" s="1"/>
  <c r="K36" i="2"/>
  <c r="L35" i="2" s="1"/>
  <c r="B37" i="2"/>
  <c r="AB33" i="2" l="1"/>
  <c r="AB34" i="2" s="1"/>
  <c r="AL20" i="2"/>
  <c r="BA20" i="2" s="1"/>
  <c r="Z32" i="2"/>
  <c r="Z33" i="2" s="1"/>
  <c r="Z34" i="2" s="1"/>
  <c r="AT20" i="2"/>
  <c r="BB21" i="2" s="1"/>
  <c r="AP21" i="2"/>
  <c r="AM37" i="2"/>
  <c r="U35" i="2"/>
  <c r="Q21" i="2"/>
  <c r="O21" i="2" s="1"/>
  <c r="AF21" i="2"/>
  <c r="AK21" i="2" s="1"/>
  <c r="AQ37" i="2"/>
  <c r="J36" i="2"/>
  <c r="H34" i="2"/>
  <c r="AC37" i="2"/>
  <c r="AA37" i="2"/>
  <c r="W37" i="2"/>
  <c r="AJ37" i="2"/>
  <c r="F35" i="2"/>
  <c r="G35" i="2" s="1"/>
  <c r="V35" i="2"/>
  <c r="BC35" i="2" s="1"/>
  <c r="A38" i="2"/>
  <c r="D36" i="2"/>
  <c r="E36" i="2"/>
  <c r="K37" i="2"/>
  <c r="L36" i="2" s="1"/>
  <c r="C37" i="2"/>
  <c r="J37" i="2" s="1"/>
  <c r="B38" i="2"/>
  <c r="Y35" i="2" l="1"/>
  <c r="N22" i="2"/>
  <c r="AN22" i="2"/>
  <c r="AM38" i="2"/>
  <c r="U36" i="2"/>
  <c r="AV21" i="2"/>
  <c r="AR21" i="2" s="1"/>
  <c r="AW21" i="2" s="1"/>
  <c r="AU21" i="2" s="1"/>
  <c r="R21" i="2"/>
  <c r="AO22" i="2"/>
  <c r="X22" i="2"/>
  <c r="AS22" i="2"/>
  <c r="I22" i="2"/>
  <c r="AQ38" i="2"/>
  <c r="F36" i="2"/>
  <c r="G36" i="2" s="1"/>
  <c r="V36" i="2"/>
  <c r="BC36" i="2" s="1"/>
  <c r="P37" i="2"/>
  <c r="H35" i="2"/>
  <c r="AJ38" i="2"/>
  <c r="AA38" i="2"/>
  <c r="AC38" i="2"/>
  <c r="W38" i="2"/>
  <c r="A39" i="2"/>
  <c r="E37" i="2"/>
  <c r="D37" i="2"/>
  <c r="K38" i="2"/>
  <c r="L37" i="2" s="1"/>
  <c r="B39" i="2"/>
  <c r="C38" i="2"/>
  <c r="P38" i="2" s="1"/>
  <c r="Z35" i="2" l="1"/>
  <c r="AB35" i="2"/>
  <c r="T22" i="2"/>
  <c r="M23" i="2" s="1"/>
  <c r="AG21" i="2"/>
  <c r="Y36" i="2"/>
  <c r="AP22" i="2"/>
  <c r="AM39" i="2"/>
  <c r="U37" i="2"/>
  <c r="AE21" i="2"/>
  <c r="S22" i="2"/>
  <c r="AH21" i="2"/>
  <c r="AI22" i="2" s="1"/>
  <c r="Q22" i="2"/>
  <c r="J38" i="2"/>
  <c r="AJ39" i="2"/>
  <c r="AA39" i="2"/>
  <c r="W39" i="2"/>
  <c r="AC39" i="2"/>
  <c r="F37" i="2"/>
  <c r="G37" i="2" s="1"/>
  <c r="V37" i="2"/>
  <c r="BC37" i="2" s="1"/>
  <c r="H36" i="2"/>
  <c r="AQ39" i="2"/>
  <c r="A40" i="2"/>
  <c r="D38" i="2"/>
  <c r="E38" i="2"/>
  <c r="K39" i="2"/>
  <c r="L38" i="2" s="1"/>
  <c r="C39" i="2"/>
  <c r="J39" i="2" s="1"/>
  <c r="B40" i="2"/>
  <c r="AA36" i="2" l="1"/>
  <c r="AD36" i="2" s="1"/>
  <c r="AD37" i="2" s="1"/>
  <c r="AD38" i="2" s="1"/>
  <c r="AD39" i="2" s="1"/>
  <c r="AF22" i="2"/>
  <c r="AK22" i="2" s="1"/>
  <c r="AL21" i="2"/>
  <c r="BA21" i="2" s="1"/>
  <c r="AT21" i="2"/>
  <c r="BB22" i="2" s="1"/>
  <c r="Z36" i="2"/>
  <c r="AB36" i="2"/>
  <c r="Y37" i="2"/>
  <c r="AM40" i="2"/>
  <c r="U38" i="2"/>
  <c r="O22" i="2"/>
  <c r="R22" i="2"/>
  <c r="AG22" i="2" s="1"/>
  <c r="AQ40" i="2"/>
  <c r="P39" i="2"/>
  <c r="H37" i="2"/>
  <c r="AJ40" i="2"/>
  <c r="AC40" i="2"/>
  <c r="AA40" i="2"/>
  <c r="W40" i="2"/>
  <c r="F38" i="2"/>
  <c r="G38" i="2" s="1"/>
  <c r="V38" i="2"/>
  <c r="BC38" i="2" s="1"/>
  <c r="A41" i="2"/>
  <c r="C40" i="2"/>
  <c r="P40" i="2" s="1"/>
  <c r="K40" i="2"/>
  <c r="L39" i="2" s="1"/>
  <c r="B41" i="2"/>
  <c r="E39" i="2"/>
  <c r="D39" i="2"/>
  <c r="Z37" i="2" l="1"/>
  <c r="AN23" i="2"/>
  <c r="AB37" i="2"/>
  <c r="Y38" i="2"/>
  <c r="AM41" i="2"/>
  <c r="U39" i="2"/>
  <c r="AV22" i="2"/>
  <c r="AR22" i="2" s="1"/>
  <c r="AW22" i="2" s="1"/>
  <c r="AD40" i="2"/>
  <c r="AH22" i="2"/>
  <c r="AI23" i="2" s="1"/>
  <c r="AE22" i="2"/>
  <c r="S23" i="2"/>
  <c r="T23" i="2"/>
  <c r="M24" i="2" s="1"/>
  <c r="AS23" i="2"/>
  <c r="X23" i="2"/>
  <c r="AO23" i="2"/>
  <c r="N23" i="2"/>
  <c r="I23" i="2"/>
  <c r="J40" i="2"/>
  <c r="AQ41" i="2"/>
  <c r="F39" i="2"/>
  <c r="G39" i="2" s="1"/>
  <c r="V39" i="2"/>
  <c r="BC39" i="2" s="1"/>
  <c r="AJ41" i="2"/>
  <c r="AA41" i="2"/>
  <c r="AC41" i="2"/>
  <c r="W41" i="2"/>
  <c r="H38" i="2"/>
  <c r="A42" i="2"/>
  <c r="C41" i="2"/>
  <c r="P41" i="2" s="1"/>
  <c r="K41" i="2"/>
  <c r="L40" i="2" s="1"/>
  <c r="B42" i="2"/>
  <c r="D40" i="2"/>
  <c r="E40" i="2"/>
  <c r="Z38" i="2" l="1"/>
  <c r="AL22" i="2"/>
  <c r="BA22" i="2" s="1"/>
  <c r="AT22" i="2"/>
  <c r="BB23" i="2" s="1"/>
  <c r="AB38" i="2"/>
  <c r="Y39" i="2"/>
  <c r="AP23" i="2"/>
  <c r="AM42" i="2"/>
  <c r="U40" i="2"/>
  <c r="AD41" i="2"/>
  <c r="AU22" i="2"/>
  <c r="AF23" i="2"/>
  <c r="AK23" i="2" s="1"/>
  <c r="Q23" i="2"/>
  <c r="J41" i="2"/>
  <c r="AQ42" i="2"/>
  <c r="H39" i="2"/>
  <c r="F40" i="2"/>
  <c r="G40" i="2" s="1"/>
  <c r="V40" i="2"/>
  <c r="BC40" i="2" s="1"/>
  <c r="AC42" i="2"/>
  <c r="W42" i="2"/>
  <c r="AA42" i="2"/>
  <c r="AJ42" i="2"/>
  <c r="A43" i="2"/>
  <c r="B43" i="2"/>
  <c r="K42" i="2"/>
  <c r="L41" i="2" s="1"/>
  <c r="C42" i="2"/>
  <c r="P42" i="2" s="1"/>
  <c r="E41" i="2"/>
  <c r="D41" i="2"/>
  <c r="Z39" i="2" l="1"/>
  <c r="AB39" i="2"/>
  <c r="Y40" i="2"/>
  <c r="AM43" i="2"/>
  <c r="U41" i="2"/>
  <c r="AD42" i="2"/>
  <c r="O23" i="2"/>
  <c r="R23" i="2"/>
  <c r="AG23" i="2" s="1"/>
  <c r="AV23" i="2"/>
  <c r="AR23" i="2" s="1"/>
  <c r="AW23" i="2" s="1"/>
  <c r="J42" i="2"/>
  <c r="AQ43" i="2"/>
  <c r="F41" i="2"/>
  <c r="G41" i="2" s="1"/>
  <c r="V41" i="2"/>
  <c r="BC41" i="2" s="1"/>
  <c r="H40" i="2"/>
  <c r="AC43" i="2"/>
  <c r="AJ43" i="2"/>
  <c r="W43" i="2"/>
  <c r="AA43" i="2"/>
  <c r="A44" i="2"/>
  <c r="D42" i="2"/>
  <c r="E42" i="2"/>
  <c r="K43" i="2"/>
  <c r="L42" i="2" s="1"/>
  <c r="B44" i="2"/>
  <c r="C43" i="2"/>
  <c r="J43" i="2" s="1"/>
  <c r="Z40" i="2" l="1"/>
  <c r="AN24" i="2"/>
  <c r="AB40" i="2"/>
  <c r="Y41" i="2"/>
  <c r="AM44" i="2"/>
  <c r="U42" i="2"/>
  <c r="AD43" i="2"/>
  <c r="T24" i="2"/>
  <c r="M25" i="2" s="1"/>
  <c r="AH23" i="2"/>
  <c r="AE23" i="2"/>
  <c r="S24" i="2"/>
  <c r="X24" i="2"/>
  <c r="AS24" i="2"/>
  <c r="AO24" i="2"/>
  <c r="I24" i="2"/>
  <c r="N24" i="2"/>
  <c r="AC44" i="2"/>
  <c r="AA44" i="2"/>
  <c r="AJ44" i="2"/>
  <c r="W44" i="2"/>
  <c r="AQ44" i="2"/>
  <c r="P43" i="2"/>
  <c r="H41" i="2"/>
  <c r="F42" i="2"/>
  <c r="G42" i="2" s="1"/>
  <c r="V42" i="2"/>
  <c r="BC42" i="2" s="1"/>
  <c r="A45" i="2"/>
  <c r="D43" i="2"/>
  <c r="E43" i="2"/>
  <c r="C44" i="2"/>
  <c r="J44" i="2" s="1"/>
  <c r="B45" i="2"/>
  <c r="K44" i="2"/>
  <c r="L43" i="2" s="1"/>
  <c r="AL23" i="2" l="1"/>
  <c r="BA23" i="2" s="1"/>
  <c r="AB41" i="2"/>
  <c r="Y42" i="2"/>
  <c r="AP24" i="2"/>
  <c r="AM45" i="2"/>
  <c r="U43" i="2"/>
  <c r="AD44" i="2"/>
  <c r="Z41" i="2"/>
  <c r="AJ24" i="2"/>
  <c r="AT23" i="2" s="1"/>
  <c r="BB24" i="2" s="1"/>
  <c r="AF24" i="2"/>
  <c r="Q24" i="2"/>
  <c r="AC45" i="2"/>
  <c r="AJ45" i="2"/>
  <c r="AA45" i="2"/>
  <c r="W45" i="2"/>
  <c r="H42" i="2"/>
  <c r="AQ45" i="2"/>
  <c r="P44" i="2"/>
  <c r="F43" i="2"/>
  <c r="G43" i="2" s="1"/>
  <c r="V43" i="2"/>
  <c r="BC43" i="2" s="1"/>
  <c r="A46" i="2"/>
  <c r="C45" i="2"/>
  <c r="P45" i="2" s="1"/>
  <c r="K45" i="2"/>
  <c r="L44" i="2" s="1"/>
  <c r="B46" i="2"/>
  <c r="E44" i="2"/>
  <c r="D44" i="2"/>
  <c r="AB42" i="2" l="1"/>
  <c r="Y43" i="2"/>
  <c r="Z42" i="2"/>
  <c r="AM46" i="2"/>
  <c r="U44" i="2"/>
  <c r="AD45" i="2"/>
  <c r="AI24" i="2"/>
  <c r="AK24" i="2" s="1"/>
  <c r="AV24" i="2"/>
  <c r="AR24" i="2" s="1"/>
  <c r="AW24" i="2" s="1"/>
  <c r="AU24" i="2" s="1"/>
  <c r="O24" i="2"/>
  <c r="R24" i="2"/>
  <c r="AG24" i="2" s="1"/>
  <c r="J45" i="2"/>
  <c r="AJ46" i="2"/>
  <c r="AC46" i="2"/>
  <c r="AA46" i="2"/>
  <c r="W46" i="2"/>
  <c r="AQ46" i="2"/>
  <c r="F44" i="2"/>
  <c r="G44" i="2" s="1"/>
  <c r="V44" i="2"/>
  <c r="BC44" i="2" s="1"/>
  <c r="H43" i="2"/>
  <c r="A47" i="2"/>
  <c r="B47" i="2"/>
  <c r="K46" i="2"/>
  <c r="L45" i="2" s="1"/>
  <c r="C46" i="2"/>
  <c r="P46" i="2" s="1"/>
  <c r="E45" i="2"/>
  <c r="D45" i="2"/>
  <c r="AB43" i="2" l="1"/>
  <c r="AN25" i="2"/>
  <c r="Y44" i="2"/>
  <c r="U45" i="2"/>
  <c r="AM47" i="2"/>
  <c r="AP47" i="2"/>
  <c r="Z43" i="2"/>
  <c r="AD46" i="2"/>
  <c r="AH24" i="2"/>
  <c r="AI25" i="2" s="1"/>
  <c r="S25" i="2"/>
  <c r="AE24" i="2"/>
  <c r="T25" i="2"/>
  <c r="M26" i="2" s="1"/>
  <c r="AO25" i="2"/>
  <c r="AS25" i="2"/>
  <c r="X25" i="2"/>
  <c r="I25" i="2"/>
  <c r="N25" i="2"/>
  <c r="J46" i="2"/>
  <c r="AU47" i="2"/>
  <c r="AQ47" i="2"/>
  <c r="F45" i="2"/>
  <c r="G45" i="2" s="1"/>
  <c r="V45" i="2"/>
  <c r="BC45" i="2" s="1"/>
  <c r="AJ47" i="2"/>
  <c r="AC47" i="2"/>
  <c r="AA47" i="2"/>
  <c r="W47" i="2"/>
  <c r="H44" i="2"/>
  <c r="A48" i="2"/>
  <c r="E46" i="2"/>
  <c r="D46" i="2"/>
  <c r="C47" i="2"/>
  <c r="J47" i="2" s="1"/>
  <c r="B48" i="2"/>
  <c r="K47" i="2"/>
  <c r="L46" i="2" s="1"/>
  <c r="AB44" i="2" l="1"/>
  <c r="AL24" i="2"/>
  <c r="BA24" i="2" s="1"/>
  <c r="AT24" i="2"/>
  <c r="BB25" i="2" s="1"/>
  <c r="Y45" i="2"/>
  <c r="AP25" i="2"/>
  <c r="U46" i="2"/>
  <c r="Z44" i="2"/>
  <c r="AM48" i="2"/>
  <c r="AP48" i="2"/>
  <c r="AD47" i="2"/>
  <c r="Q25" i="2"/>
  <c r="R25" i="2" s="1"/>
  <c r="AG25" i="2" s="1"/>
  <c r="AF25" i="2"/>
  <c r="AK25" i="2" s="1"/>
  <c r="AQ48" i="2"/>
  <c r="P47" i="2"/>
  <c r="F46" i="2"/>
  <c r="G46" i="2" s="1"/>
  <c r="V46" i="2"/>
  <c r="BC46" i="2" s="1"/>
  <c r="H45" i="2"/>
  <c r="AC48" i="2"/>
  <c r="W48" i="2"/>
  <c r="A49" i="2"/>
  <c r="D47" i="2"/>
  <c r="E47" i="2"/>
  <c r="C48" i="2"/>
  <c r="P48" i="2" s="1"/>
  <c r="B49" i="2"/>
  <c r="K48" i="2"/>
  <c r="L47" i="2" s="1"/>
  <c r="AB45" i="2" l="1"/>
  <c r="AV25" i="2"/>
  <c r="AR25" i="2" s="1"/>
  <c r="AW25" i="2" s="1"/>
  <c r="Y46" i="2"/>
  <c r="Z45" i="2"/>
  <c r="U47" i="2"/>
  <c r="AM49" i="2"/>
  <c r="AP49" i="2"/>
  <c r="O25" i="2"/>
  <c r="AH25" i="2"/>
  <c r="AI26" i="2" s="1"/>
  <c r="S26" i="2"/>
  <c r="AE25" i="2"/>
  <c r="T26" i="2"/>
  <c r="M27" i="2" s="1"/>
  <c r="J48" i="2"/>
  <c r="H46" i="2"/>
  <c r="AJ49" i="2"/>
  <c r="AC49" i="2"/>
  <c r="AA49" i="2"/>
  <c r="W49" i="2"/>
  <c r="F47" i="2"/>
  <c r="G47" i="2" s="1"/>
  <c r="V47" i="2"/>
  <c r="BC47" i="2" s="1"/>
  <c r="AQ49" i="2"/>
  <c r="A50" i="2"/>
  <c r="E48" i="2"/>
  <c r="D48" i="2"/>
  <c r="K49" i="2"/>
  <c r="L48" i="2" s="1"/>
  <c r="C49" i="2"/>
  <c r="P49" i="2" s="1"/>
  <c r="B50" i="2"/>
  <c r="AB46" i="2" l="1"/>
  <c r="AL25" i="2"/>
  <c r="BA25" i="2" s="1"/>
  <c r="AT25" i="2"/>
  <c r="Y47" i="2"/>
  <c r="N26" i="2"/>
  <c r="AN26" i="2"/>
  <c r="Z46" i="2"/>
  <c r="U48" i="2"/>
  <c r="AM50" i="2"/>
  <c r="AP50" i="2"/>
  <c r="AU25" i="2"/>
  <c r="X26" i="2"/>
  <c r="I26" i="2"/>
  <c r="AO26" i="2"/>
  <c r="AS26" i="2"/>
  <c r="AF26" i="2"/>
  <c r="J49" i="2"/>
  <c r="H47" i="2"/>
  <c r="F48" i="2"/>
  <c r="G48" i="2" s="1"/>
  <c r="V48" i="2"/>
  <c r="BC48" i="2" s="1"/>
  <c r="AQ50" i="2"/>
  <c r="AJ50" i="2"/>
  <c r="AA50" i="2"/>
  <c r="W50" i="2"/>
  <c r="AC50" i="2"/>
  <c r="A51" i="2"/>
  <c r="D49" i="2"/>
  <c r="E49" i="2"/>
  <c r="K50" i="2"/>
  <c r="L49" i="2" s="1"/>
  <c r="C50" i="2"/>
  <c r="P50" i="2" s="1"/>
  <c r="B51" i="2"/>
  <c r="AB47" i="2" l="1"/>
  <c r="BB26" i="2"/>
  <c r="Q26" i="2"/>
  <c r="O26" i="2" s="1"/>
  <c r="Y48" i="2"/>
  <c r="Z47" i="2"/>
  <c r="U49" i="2"/>
  <c r="AP26" i="2"/>
  <c r="AP51" i="2"/>
  <c r="AM51" i="2"/>
  <c r="AK26" i="2"/>
  <c r="AQ51" i="2"/>
  <c r="AV26" i="2"/>
  <c r="AR26" i="2" s="1"/>
  <c r="J50" i="2"/>
  <c r="AC51" i="2"/>
  <c r="AJ51" i="2"/>
  <c r="W51" i="2"/>
  <c r="AA51" i="2"/>
  <c r="H48" i="2"/>
  <c r="F49" i="2"/>
  <c r="G49" i="2" s="1"/>
  <c r="V49" i="2"/>
  <c r="BC49" i="2" s="1"/>
  <c r="A52" i="2"/>
  <c r="E50" i="2"/>
  <c r="V50" i="2" s="1"/>
  <c r="D50" i="2"/>
  <c r="K51" i="2"/>
  <c r="L50" i="2" s="1"/>
  <c r="C51" i="2"/>
  <c r="P51" i="2" s="1"/>
  <c r="B52" i="2"/>
  <c r="AB48" i="2" l="1"/>
  <c r="BC50" i="2"/>
  <c r="AN27" i="2"/>
  <c r="R26" i="2"/>
  <c r="Y49" i="2"/>
  <c r="AA48" i="2"/>
  <c r="AD48" i="2" s="1"/>
  <c r="AD49" i="2" s="1"/>
  <c r="AD50" i="2" s="1"/>
  <c r="AD51" i="2" s="1"/>
  <c r="U50" i="2"/>
  <c r="Y50" i="2" s="1"/>
  <c r="Z48" i="2"/>
  <c r="AP52" i="2"/>
  <c r="AM52" i="2"/>
  <c r="AW26" i="2"/>
  <c r="AU26" i="2" s="1"/>
  <c r="AO27" i="2"/>
  <c r="AS27" i="2"/>
  <c r="X27" i="2"/>
  <c r="I27" i="2"/>
  <c r="N27" i="2"/>
  <c r="J51" i="2"/>
  <c r="AQ52" i="2"/>
  <c r="H49" i="2"/>
  <c r="AC52" i="2"/>
  <c r="AJ52" i="2"/>
  <c r="AA52" i="2"/>
  <c r="W52" i="2"/>
  <c r="F50" i="2"/>
  <c r="G50" i="2" s="1"/>
  <c r="A53" i="2"/>
  <c r="C52" i="2"/>
  <c r="J52" i="2" s="1"/>
  <c r="K52" i="2"/>
  <c r="L51" i="2" s="1"/>
  <c r="B53" i="2"/>
  <c r="D51" i="2"/>
  <c r="E51" i="2"/>
  <c r="AB49" i="2" l="1"/>
  <c r="AB50" i="2" s="1"/>
  <c r="S27" i="2"/>
  <c r="AG26" i="2"/>
  <c r="U51" i="2"/>
  <c r="AE26" i="2"/>
  <c r="AH26" i="2"/>
  <c r="AI27" i="2" s="1"/>
  <c r="T27" i="2"/>
  <c r="M28" i="2" s="1"/>
  <c r="Z49" i="2"/>
  <c r="Z50" i="2" s="1"/>
  <c r="AP27" i="2"/>
  <c r="AM53" i="2"/>
  <c r="AP53" i="2"/>
  <c r="Q27" i="2"/>
  <c r="AD52" i="2"/>
  <c r="P52" i="2"/>
  <c r="H50" i="2"/>
  <c r="F51" i="2"/>
  <c r="G51" i="2" s="1"/>
  <c r="V51" i="2"/>
  <c r="BC51" i="2" s="1"/>
  <c r="AC53" i="2"/>
  <c r="AA53" i="2"/>
  <c r="AJ53" i="2"/>
  <c r="W53" i="2"/>
  <c r="AQ53" i="2"/>
  <c r="A54" i="2"/>
  <c r="K53" i="2"/>
  <c r="L52" i="2" s="1"/>
  <c r="B54" i="2"/>
  <c r="C53" i="2"/>
  <c r="J53" i="2" s="1"/>
  <c r="E52" i="2"/>
  <c r="D52" i="2"/>
  <c r="AF27" i="2" l="1"/>
  <c r="AK27" i="2" s="1"/>
  <c r="AL26" i="2"/>
  <c r="BA26" i="2" s="1"/>
  <c r="AT26" i="2"/>
  <c r="BB27" i="2" s="1"/>
  <c r="U52" i="2"/>
  <c r="Y51" i="2"/>
  <c r="AB51" i="2" s="1"/>
  <c r="R27" i="2"/>
  <c r="AH27" i="2" s="1"/>
  <c r="AI28" i="2" s="1"/>
  <c r="AM54" i="2"/>
  <c r="AP54" i="2"/>
  <c r="O27" i="2"/>
  <c r="P53" i="2"/>
  <c r="AD53" i="2"/>
  <c r="H51" i="2"/>
  <c r="F52" i="2"/>
  <c r="G52" i="2" s="1"/>
  <c r="V52" i="2"/>
  <c r="BC52" i="2" s="1"/>
  <c r="AQ54" i="2"/>
  <c r="AA54" i="2"/>
  <c r="AC54" i="2"/>
  <c r="AJ54" i="2"/>
  <c r="W54" i="2"/>
  <c r="A55" i="2"/>
  <c r="D53" i="2"/>
  <c r="E53" i="2"/>
  <c r="B55" i="2"/>
  <c r="K54" i="2"/>
  <c r="L53" i="2" s="1"/>
  <c r="C54" i="2"/>
  <c r="P54" i="2" s="1"/>
  <c r="AG27" i="2" l="1"/>
  <c r="Y52" i="2"/>
  <c r="AB52" i="2" s="1"/>
  <c r="U53" i="2"/>
  <c r="Z51" i="2"/>
  <c r="AV27" i="2"/>
  <c r="AR27" i="2" s="1"/>
  <c r="AW27" i="2" s="1"/>
  <c r="AU27" i="2" s="1"/>
  <c r="S28" i="2"/>
  <c r="AE27" i="2"/>
  <c r="T28" i="2"/>
  <c r="M29" i="2" s="1"/>
  <c r="N28" i="2"/>
  <c r="AN28" i="2"/>
  <c r="AP55" i="2"/>
  <c r="AM55" i="2"/>
  <c r="AS28" i="2"/>
  <c r="X28" i="2"/>
  <c r="AO28" i="2"/>
  <c r="I28" i="2"/>
  <c r="AD54" i="2"/>
  <c r="J54" i="2"/>
  <c r="AJ55" i="2"/>
  <c r="AA55" i="2"/>
  <c r="W55" i="2"/>
  <c r="AC55" i="2"/>
  <c r="F53" i="2"/>
  <c r="G53" i="2" s="1"/>
  <c r="V53" i="2"/>
  <c r="BC53" i="2" s="1"/>
  <c r="AQ55" i="2"/>
  <c r="H52" i="2"/>
  <c r="M34" i="2"/>
  <c r="A56" i="2"/>
  <c r="D54" i="2"/>
  <c r="E54" i="2"/>
  <c r="C55" i="2"/>
  <c r="P55" i="2" s="1"/>
  <c r="B56" i="2"/>
  <c r="K55" i="2"/>
  <c r="L54" i="2" s="1"/>
  <c r="AL27" i="2" l="1"/>
  <c r="BA27" i="2" s="1"/>
  <c r="AT27" i="2"/>
  <c r="BB28" i="2" s="1"/>
  <c r="Y53" i="2"/>
  <c r="AB53" i="2" s="1"/>
  <c r="U54" i="2"/>
  <c r="Z52" i="2"/>
  <c r="Q28" i="2"/>
  <c r="O28" i="2" s="1"/>
  <c r="AF28" i="2"/>
  <c r="AK28" i="2" s="1"/>
  <c r="AP28" i="2"/>
  <c r="AM56" i="2"/>
  <c r="AP56" i="2"/>
  <c r="AD55" i="2"/>
  <c r="J55" i="2"/>
  <c r="H53" i="2"/>
  <c r="AJ56" i="2"/>
  <c r="AC56" i="2"/>
  <c r="AA56" i="2"/>
  <c r="W56" i="2"/>
  <c r="F54" i="2"/>
  <c r="G54" i="2" s="1"/>
  <c r="V54" i="2"/>
  <c r="BC54" i="2" s="1"/>
  <c r="AQ56" i="2"/>
  <c r="A57" i="2"/>
  <c r="C56" i="2"/>
  <c r="P56" i="2" s="1"/>
  <c r="B57" i="2"/>
  <c r="K56" i="2"/>
  <c r="L55" i="2" s="1"/>
  <c r="E55" i="2"/>
  <c r="D55" i="2"/>
  <c r="AN29" i="2" l="1"/>
  <c r="U55" i="2"/>
  <c r="Z53" i="2"/>
  <c r="Y54" i="2"/>
  <c r="AB54" i="2" s="1"/>
  <c r="R28" i="2"/>
  <c r="AV28" i="2"/>
  <c r="AR28" i="2" s="1"/>
  <c r="AW28" i="2" s="1"/>
  <c r="AU28" i="2" s="1"/>
  <c r="AP57" i="2"/>
  <c r="AM57" i="2"/>
  <c r="AD56" i="2"/>
  <c r="AQ57" i="2"/>
  <c r="AO29" i="2"/>
  <c r="X29" i="2"/>
  <c r="I29" i="2"/>
  <c r="AS29" i="2"/>
  <c r="N29" i="2"/>
  <c r="J56" i="2"/>
  <c r="H54" i="2"/>
  <c r="AJ57" i="2"/>
  <c r="AA57" i="2"/>
  <c r="W57" i="2"/>
  <c r="AC57" i="2"/>
  <c r="F55" i="2"/>
  <c r="G55" i="2" s="1"/>
  <c r="V55" i="2"/>
  <c r="BC55" i="2" s="1"/>
  <c r="A58" i="2"/>
  <c r="K57" i="2"/>
  <c r="L56" i="2" s="1"/>
  <c r="C57" i="2"/>
  <c r="P57" i="2" s="1"/>
  <c r="B58" i="2"/>
  <c r="D56" i="2"/>
  <c r="E56" i="2"/>
  <c r="AE28" i="2" l="1"/>
  <c r="AG28" i="2"/>
  <c r="Y55" i="2"/>
  <c r="AB55" i="2" s="1"/>
  <c r="U56" i="2"/>
  <c r="Z54" i="2"/>
  <c r="S29" i="2"/>
  <c r="T29" i="2"/>
  <c r="M30" i="2" s="1"/>
  <c r="AH28" i="2"/>
  <c r="AI29" i="2" s="1"/>
  <c r="AP29" i="2"/>
  <c r="AM58" i="2"/>
  <c r="AP58" i="2"/>
  <c r="AD57" i="2"/>
  <c r="AQ58" i="2"/>
  <c r="Q29" i="2"/>
  <c r="J57" i="2"/>
  <c r="F56" i="2"/>
  <c r="G56" i="2" s="1"/>
  <c r="V56" i="2"/>
  <c r="BC56" i="2" s="1"/>
  <c r="H55" i="2"/>
  <c r="AC58" i="2"/>
  <c r="AJ58" i="2"/>
  <c r="AA58" i="2"/>
  <c r="W58" i="2"/>
  <c r="A59" i="2"/>
  <c r="C58" i="2"/>
  <c r="J58" i="2" s="1"/>
  <c r="K58" i="2"/>
  <c r="L57" i="2" s="1"/>
  <c r="B59" i="2"/>
  <c r="E57" i="2"/>
  <c r="D57" i="2"/>
  <c r="AL28" i="2" l="1"/>
  <c r="BA28" i="2" s="1"/>
  <c r="AF29" i="2"/>
  <c r="AK29" i="2" s="1"/>
  <c r="AT28" i="2"/>
  <c r="BB29" i="2" s="1"/>
  <c r="U57" i="2"/>
  <c r="Y56" i="2"/>
  <c r="AB56" i="2" s="1"/>
  <c r="Z55" i="2"/>
  <c r="R29" i="2"/>
  <c r="T30" i="2" s="1"/>
  <c r="M31" i="2" s="1"/>
  <c r="AM59" i="2"/>
  <c r="AP59" i="2"/>
  <c r="AD58" i="2"/>
  <c r="O29" i="2"/>
  <c r="P58" i="2"/>
  <c r="AU59" i="2"/>
  <c r="AC59" i="2"/>
  <c r="W59" i="2"/>
  <c r="AA59" i="2"/>
  <c r="AJ59" i="2"/>
  <c r="F57" i="2"/>
  <c r="G57" i="2" s="1"/>
  <c r="V57" i="2"/>
  <c r="BC57" i="2" s="1"/>
  <c r="AQ59" i="2"/>
  <c r="H56" i="2"/>
  <c r="A60" i="2"/>
  <c r="B60" i="2"/>
  <c r="K59" i="2"/>
  <c r="L58" i="2" s="1"/>
  <c r="C59" i="2"/>
  <c r="P59" i="2" s="1"/>
  <c r="E58" i="2"/>
  <c r="D58" i="2"/>
  <c r="U58" i="2" l="1"/>
  <c r="AG29" i="2"/>
  <c r="Y57" i="2"/>
  <c r="AB57" i="2" s="1"/>
  <c r="Z56" i="2"/>
  <c r="AV29" i="2"/>
  <c r="AR29" i="2" s="1"/>
  <c r="AW29" i="2" s="1"/>
  <c r="AU29" i="2" s="1"/>
  <c r="S30" i="2"/>
  <c r="AH29" i="2"/>
  <c r="AI30" i="2" s="1"/>
  <c r="AE29" i="2"/>
  <c r="AS30" i="2"/>
  <c r="AN30" i="2"/>
  <c r="AP60" i="2"/>
  <c r="AM60" i="2"/>
  <c r="AD59" i="2"/>
  <c r="I30" i="2"/>
  <c r="X30" i="2"/>
  <c r="N30" i="2"/>
  <c r="AO30" i="2"/>
  <c r="J59" i="2"/>
  <c r="AC60" i="2"/>
  <c r="W60" i="2"/>
  <c r="AQ60" i="2"/>
  <c r="H57" i="2"/>
  <c r="F58" i="2"/>
  <c r="G58" i="2" s="1"/>
  <c r="V58" i="2"/>
  <c r="A61" i="2"/>
  <c r="E59" i="2"/>
  <c r="V59" i="2" s="1"/>
  <c r="D59" i="2"/>
  <c r="C60" i="2"/>
  <c r="J60" i="2" s="1"/>
  <c r="K60" i="2"/>
  <c r="L59" i="2" s="1"/>
  <c r="B61" i="2"/>
  <c r="U59" i="2" l="1"/>
  <c r="Y59" i="2" s="1"/>
  <c r="Y58" i="2"/>
  <c r="AB58" i="2" s="1"/>
  <c r="AF30" i="2"/>
  <c r="AK30" i="2" s="1"/>
  <c r="AL29" i="2"/>
  <c r="BA29" i="2" s="1"/>
  <c r="AT29" i="2"/>
  <c r="BB30" i="2" s="1"/>
  <c r="BC58" i="2"/>
  <c r="BC59" i="2" s="1"/>
  <c r="Z57" i="2"/>
  <c r="AP30" i="2"/>
  <c r="AM61" i="2"/>
  <c r="AP61" i="2"/>
  <c r="Q30" i="2"/>
  <c r="O30" i="2" s="1"/>
  <c r="AQ61" i="2"/>
  <c r="F59" i="2"/>
  <c r="G59" i="2" s="1"/>
  <c r="P60" i="2"/>
  <c r="AC61" i="2"/>
  <c r="AJ61" i="2"/>
  <c r="W61" i="2"/>
  <c r="AA61" i="2"/>
  <c r="H58" i="2"/>
  <c r="A62" i="2"/>
  <c r="E60" i="2"/>
  <c r="D60" i="2"/>
  <c r="B62" i="2"/>
  <c r="C61" i="2"/>
  <c r="P61" i="2" s="1"/>
  <c r="K61" i="2"/>
  <c r="L60" i="2" s="1"/>
  <c r="Z58" i="2" l="1"/>
  <c r="Z59" i="2" s="1"/>
  <c r="U60" i="2"/>
  <c r="AN31" i="2"/>
  <c r="AB59" i="2"/>
  <c r="AV30" i="2"/>
  <c r="AR30" i="2" s="1"/>
  <c r="AW30" i="2" s="1"/>
  <c r="H59" i="2"/>
  <c r="AM62" i="2"/>
  <c r="AP62" i="2"/>
  <c r="R30" i="2"/>
  <c r="X31" i="2"/>
  <c r="AS31" i="2"/>
  <c r="AO31" i="2"/>
  <c r="I31" i="2"/>
  <c r="N31" i="2"/>
  <c r="AQ62" i="2"/>
  <c r="J61" i="2"/>
  <c r="AA62" i="2"/>
  <c r="AC62" i="2"/>
  <c r="W62" i="2"/>
  <c r="AJ62" i="2"/>
  <c r="F60" i="2"/>
  <c r="G60" i="2" s="1"/>
  <c r="V60" i="2"/>
  <c r="A63" i="2"/>
  <c r="E61" i="2"/>
  <c r="V61" i="2" s="1"/>
  <c r="D61" i="2"/>
  <c r="K62" i="2"/>
  <c r="L61" i="2" s="1"/>
  <c r="B63" i="2"/>
  <c r="C62" i="2"/>
  <c r="J62" i="2" s="1"/>
  <c r="U61" i="2" l="1"/>
  <c r="Y61" i="2" s="1"/>
  <c r="Y60" i="2"/>
  <c r="AB60" i="2" s="1"/>
  <c r="BC60" i="2"/>
  <c r="BC61" i="2" s="1"/>
  <c r="AH30" i="2"/>
  <c r="AI31" i="2" s="1"/>
  <c r="AG30" i="2"/>
  <c r="AU30" i="2"/>
  <c r="AP31" i="2"/>
  <c r="AM63" i="2"/>
  <c r="AP63" i="2"/>
  <c r="T31" i="2"/>
  <c r="M32" i="2" s="1"/>
  <c r="S31" i="2"/>
  <c r="AE30" i="2"/>
  <c r="Q31" i="2"/>
  <c r="P62" i="2"/>
  <c r="F61" i="2"/>
  <c r="G61" i="2" s="1"/>
  <c r="AJ63" i="2"/>
  <c r="AA63" i="2"/>
  <c r="AC63" i="2"/>
  <c r="W63" i="2"/>
  <c r="H60" i="2"/>
  <c r="AA60" i="2"/>
  <c r="AD60" i="2" s="1"/>
  <c r="AD61" i="2" s="1"/>
  <c r="AD62" i="2" s="1"/>
  <c r="AQ63" i="2"/>
  <c r="A64" i="2"/>
  <c r="K63" i="2"/>
  <c r="L62" i="2" s="1"/>
  <c r="C63" i="2"/>
  <c r="P63" i="2" s="1"/>
  <c r="B64" i="2"/>
  <c r="D62" i="2"/>
  <c r="E62" i="2"/>
  <c r="U62" i="2" l="1"/>
  <c r="AL30" i="2"/>
  <c r="BA30" i="2" s="1"/>
  <c r="Z60" i="2"/>
  <c r="Z61" i="2" s="1"/>
  <c r="AB61" i="2"/>
  <c r="AT30" i="2"/>
  <c r="BB31" i="2" s="1"/>
  <c r="H61" i="2"/>
  <c r="AM64" i="2"/>
  <c r="AP64" i="2"/>
  <c r="AF31" i="2"/>
  <c r="AK31" i="2" s="1"/>
  <c r="AD63" i="2"/>
  <c r="O31" i="2"/>
  <c r="R31" i="2"/>
  <c r="AG31" i="2" s="1"/>
  <c r="J63" i="2"/>
  <c r="AQ64" i="2"/>
  <c r="AJ64" i="2"/>
  <c r="AC64" i="2"/>
  <c r="AA64" i="2"/>
  <c r="W64" i="2"/>
  <c r="F62" i="2"/>
  <c r="G62" i="2" s="1"/>
  <c r="V62" i="2"/>
  <c r="A65" i="2"/>
  <c r="C64" i="2"/>
  <c r="P64" i="2" s="1"/>
  <c r="K64" i="2"/>
  <c r="L63" i="2" s="1"/>
  <c r="B65" i="2"/>
  <c r="D63" i="2"/>
  <c r="E63" i="2"/>
  <c r="U63" i="2" l="1"/>
  <c r="AV31" i="2"/>
  <c r="AR31" i="2" s="1"/>
  <c r="AW31" i="2" s="1"/>
  <c r="AU31" i="2" s="1"/>
  <c r="Y62" i="2"/>
  <c r="AB62" i="2" s="1"/>
  <c r="BC62" i="2"/>
  <c r="AN32" i="2"/>
  <c r="AP65" i="2"/>
  <c r="AM65" i="2"/>
  <c r="AD64" i="2"/>
  <c r="S32" i="2"/>
  <c r="AE31" i="2"/>
  <c r="AH31" i="2"/>
  <c r="AI32" i="2" s="1"/>
  <c r="T32" i="2"/>
  <c r="M33" i="2" s="1"/>
  <c r="AO32" i="2"/>
  <c r="X32" i="2"/>
  <c r="AS32" i="2"/>
  <c r="I32" i="2"/>
  <c r="N32" i="2"/>
  <c r="J64" i="2"/>
  <c r="F63" i="2"/>
  <c r="G63" i="2" s="1"/>
  <c r="V63" i="2"/>
  <c r="AJ65" i="2"/>
  <c r="AC65" i="2"/>
  <c r="AA65" i="2"/>
  <c r="W65" i="2"/>
  <c r="AQ65" i="2"/>
  <c r="H62" i="2"/>
  <c r="A66" i="2"/>
  <c r="C65" i="2"/>
  <c r="J65" i="2" s="1"/>
  <c r="K65" i="2"/>
  <c r="L64" i="2" s="1"/>
  <c r="B66" i="2"/>
  <c r="D64" i="2"/>
  <c r="E64" i="2"/>
  <c r="V64" i="2" s="1"/>
  <c r="U64" i="2" l="1"/>
  <c r="Y64" i="2" s="1"/>
  <c r="Y63" i="2"/>
  <c r="AB63" i="2" s="1"/>
  <c r="Z62" i="2"/>
  <c r="AL31" i="2"/>
  <c r="BA31" i="2" s="1"/>
  <c r="AT31" i="2"/>
  <c r="BB32" i="2" s="1"/>
  <c r="BC63" i="2"/>
  <c r="BC64" i="2" s="1"/>
  <c r="AP32" i="2"/>
  <c r="AP66" i="2"/>
  <c r="AM66" i="2"/>
  <c r="AD65" i="2"/>
  <c r="F64" i="2"/>
  <c r="G64" i="2" s="1"/>
  <c r="Q32" i="2"/>
  <c r="AF32" i="2"/>
  <c r="AK32" i="2" s="1"/>
  <c r="P65" i="2"/>
  <c r="AJ66" i="2"/>
  <c r="W66" i="2"/>
  <c r="AA66" i="2"/>
  <c r="AC66" i="2"/>
  <c r="AQ66" i="2"/>
  <c r="H63" i="2"/>
  <c r="A67" i="2"/>
  <c r="C66" i="2"/>
  <c r="J66" i="2" s="1"/>
  <c r="B67" i="2"/>
  <c r="K66" i="2"/>
  <c r="L65" i="2" s="1"/>
  <c r="D65" i="2"/>
  <c r="E65" i="2"/>
  <c r="Z63" i="2" l="1"/>
  <c r="Z64" i="2" s="1"/>
  <c r="U65" i="2"/>
  <c r="AB64" i="2"/>
  <c r="H64" i="2"/>
  <c r="AP67" i="2"/>
  <c r="AM67" i="2"/>
  <c r="AD66" i="2"/>
  <c r="AQ67" i="2"/>
  <c r="AV32" i="2"/>
  <c r="AR32" i="2" s="1"/>
  <c r="AW32" i="2" s="1"/>
  <c r="O32" i="2"/>
  <c r="R32" i="2"/>
  <c r="AG32" i="2" s="1"/>
  <c r="P66" i="2"/>
  <c r="AC67" i="2"/>
  <c r="AJ67" i="2"/>
  <c r="AA67" i="2"/>
  <c r="W67" i="2"/>
  <c r="F65" i="2"/>
  <c r="G65" i="2" s="1"/>
  <c r="V65" i="2"/>
  <c r="A68" i="2"/>
  <c r="B68" i="2"/>
  <c r="C67" i="2"/>
  <c r="P67" i="2" s="1"/>
  <c r="K67" i="2"/>
  <c r="L66" i="2" s="1"/>
  <c r="D66" i="2"/>
  <c r="E66" i="2"/>
  <c r="U66" i="2" l="1"/>
  <c r="AN33" i="2"/>
  <c r="Y65" i="2"/>
  <c r="AB65" i="2" s="1"/>
  <c r="BC65" i="2"/>
  <c r="AP68" i="2"/>
  <c r="AM68" i="2"/>
  <c r="AD67" i="2"/>
  <c r="AU32" i="2"/>
  <c r="X33" i="2"/>
  <c r="I33" i="2"/>
  <c r="AO33" i="2"/>
  <c r="AS33" i="2"/>
  <c r="N33" i="2"/>
  <c r="T33" i="2"/>
  <c r="AH32" i="2"/>
  <c r="AI33" i="2" s="1"/>
  <c r="AE32" i="2"/>
  <c r="S33" i="2"/>
  <c r="J67" i="2"/>
  <c r="AC68" i="2"/>
  <c r="AJ68" i="2"/>
  <c r="W68" i="2"/>
  <c r="AA68" i="2"/>
  <c r="AQ68" i="2"/>
  <c r="F66" i="2"/>
  <c r="G66" i="2" s="1"/>
  <c r="V66" i="2"/>
  <c r="Y66" i="2" s="1"/>
  <c r="H65" i="2"/>
  <c r="A69" i="2"/>
  <c r="D67" i="2"/>
  <c r="E67" i="2"/>
  <c r="C68" i="2"/>
  <c r="J68" i="2" s="1"/>
  <c r="K68" i="2"/>
  <c r="L67" i="2" s="1"/>
  <c r="B69" i="2"/>
  <c r="U67" i="2" l="1"/>
  <c r="Z65" i="2"/>
  <c r="Z66" i="2" s="1"/>
  <c r="AT32" i="2"/>
  <c r="BB33" i="2" s="1"/>
  <c r="BC66" i="2"/>
  <c r="AB66" i="2"/>
  <c r="AL32" i="2"/>
  <c r="BA32" i="2" s="1"/>
  <c r="AP33" i="2"/>
  <c r="AP69" i="2"/>
  <c r="AD68" i="2"/>
  <c r="AQ69" i="2"/>
  <c r="AF33" i="2"/>
  <c r="AK33" i="2" s="1"/>
  <c r="Q33" i="2"/>
  <c r="O33" i="2" s="1"/>
  <c r="P68" i="2"/>
  <c r="AC69" i="2"/>
  <c r="AJ69" i="2"/>
  <c r="AA69" i="2"/>
  <c r="W69" i="2"/>
  <c r="F67" i="2"/>
  <c r="G67" i="2" s="1"/>
  <c r="V67" i="2"/>
  <c r="Y67" i="2" s="1"/>
  <c r="H66" i="2"/>
  <c r="A70" i="2"/>
  <c r="D68" i="2"/>
  <c r="U68" i="2" s="1"/>
  <c r="E68" i="2"/>
  <c r="V68" i="2" s="1"/>
  <c r="C69" i="2"/>
  <c r="P69" i="2" s="1"/>
  <c r="B70" i="2"/>
  <c r="K69" i="2"/>
  <c r="L68" i="2" s="1"/>
  <c r="AB67" i="2" l="1"/>
  <c r="AN34" i="2"/>
  <c r="BC67" i="2"/>
  <c r="BC68" i="2" s="1"/>
  <c r="Y68" i="2"/>
  <c r="AM70" i="2"/>
  <c r="AP70" i="2"/>
  <c r="AD69" i="2"/>
  <c r="AV33" i="2"/>
  <c r="AR33" i="2" s="1"/>
  <c r="AW33" i="2" s="1"/>
  <c r="AU33" i="2" s="1"/>
  <c r="AO34" i="2"/>
  <c r="AS34" i="2"/>
  <c r="X34" i="2"/>
  <c r="I34" i="2"/>
  <c r="N34" i="2"/>
  <c r="R33" i="2"/>
  <c r="AG33" i="2" s="1"/>
  <c r="J69" i="2"/>
  <c r="F68" i="2"/>
  <c r="G68" i="2" s="1"/>
  <c r="Z67" i="2"/>
  <c r="AA70" i="2"/>
  <c r="AC70" i="2"/>
  <c r="AJ70" i="2"/>
  <c r="W70" i="2"/>
  <c r="H67" i="2"/>
  <c r="AQ70" i="2"/>
  <c r="A71" i="2"/>
  <c r="E69" i="2"/>
  <c r="V69" i="2" s="1"/>
  <c r="D69" i="2"/>
  <c r="U69" i="2" s="1"/>
  <c r="B71" i="2"/>
  <c r="K70" i="2"/>
  <c r="L69" i="2" s="1"/>
  <c r="C70" i="2"/>
  <c r="P70" i="2" s="1"/>
  <c r="AB68" i="2" l="1"/>
  <c r="BC69" i="2"/>
  <c r="Y69" i="2"/>
  <c r="H68" i="2"/>
  <c r="AP34" i="2"/>
  <c r="AM71" i="2"/>
  <c r="AP71" i="2"/>
  <c r="AD70" i="2"/>
  <c r="Z68" i="2"/>
  <c r="F69" i="2"/>
  <c r="G69" i="2" s="1"/>
  <c r="Q34" i="2"/>
  <c r="AH33" i="2"/>
  <c r="AI34" i="2" s="1"/>
  <c r="T34" i="2"/>
  <c r="M35" i="2" s="1"/>
  <c r="S34" i="2"/>
  <c r="AE33" i="2"/>
  <c r="AQ71" i="2"/>
  <c r="J70" i="2"/>
  <c r="AU71" i="2"/>
  <c r="AA71" i="2"/>
  <c r="W71" i="2"/>
  <c r="AJ71" i="2"/>
  <c r="AC71" i="2"/>
  <c r="A72" i="2"/>
  <c r="E70" i="2"/>
  <c r="D70" i="2"/>
  <c r="U70" i="2" s="1"/>
  <c r="C71" i="2"/>
  <c r="P71" i="2" s="1"/>
  <c r="K71" i="2"/>
  <c r="L70" i="2" s="1"/>
  <c r="B72" i="2"/>
  <c r="AL33" i="2" l="1"/>
  <c r="BA33" i="2" s="1"/>
  <c r="AB69" i="2"/>
  <c r="AT33" i="2"/>
  <c r="BB34" i="2" s="1"/>
  <c r="H69" i="2"/>
  <c r="AP72" i="2"/>
  <c r="AD71" i="2"/>
  <c r="J71" i="2"/>
  <c r="AF34" i="2"/>
  <c r="AK34" i="2" s="1"/>
  <c r="R34" i="2"/>
  <c r="AG34" i="2" s="1"/>
  <c r="O34" i="2"/>
  <c r="Z69" i="2"/>
  <c r="AC72" i="2"/>
  <c r="W72" i="2"/>
  <c r="AQ72" i="2"/>
  <c r="F70" i="2"/>
  <c r="G70" i="2" s="1"/>
  <c r="V70" i="2"/>
  <c r="A73" i="2"/>
  <c r="E71" i="2"/>
  <c r="D71" i="2"/>
  <c r="U71" i="2" s="1"/>
  <c r="C72" i="2"/>
  <c r="P72" i="2" s="1"/>
  <c r="K72" i="2"/>
  <c r="L71" i="2" s="1"/>
  <c r="B73" i="2"/>
  <c r="AN35" i="2" l="1"/>
  <c r="Y70" i="2"/>
  <c r="AB70" i="2" s="1"/>
  <c r="BC70" i="2"/>
  <c r="AP73" i="2"/>
  <c r="AM73" i="2"/>
  <c r="T35" i="2"/>
  <c r="M36" i="2" s="1"/>
  <c r="S35" i="2"/>
  <c r="AH34" i="2"/>
  <c r="AI35" i="2" s="1"/>
  <c r="AE34" i="2"/>
  <c r="X35" i="2"/>
  <c r="I35" i="2"/>
  <c r="AO35" i="2"/>
  <c r="AS35" i="2"/>
  <c r="N35" i="2"/>
  <c r="AV34" i="2"/>
  <c r="AR34" i="2" s="1"/>
  <c r="AW34" i="2" s="1"/>
  <c r="J72" i="2"/>
  <c r="H70" i="2"/>
  <c r="AJ73" i="2"/>
  <c r="AA73" i="2"/>
  <c r="AC73" i="2"/>
  <c r="W73" i="2"/>
  <c r="F71" i="2"/>
  <c r="G71" i="2" s="1"/>
  <c r="V71" i="2"/>
  <c r="Y71" i="2" s="1"/>
  <c r="AQ73" i="2"/>
  <c r="A74" i="2"/>
  <c r="C73" i="2"/>
  <c r="J73" i="2" s="1"/>
  <c r="K73" i="2"/>
  <c r="L72" i="2" s="1"/>
  <c r="B74" i="2"/>
  <c r="D72" i="2"/>
  <c r="U72" i="2" s="1"/>
  <c r="E72" i="2"/>
  <c r="AB71" i="2" l="1"/>
  <c r="BC71" i="2"/>
  <c r="Z70" i="2"/>
  <c r="Z71" i="2" s="1"/>
  <c r="BF75" i="2" s="1"/>
  <c r="AL34" i="2"/>
  <c r="BA34" i="2" s="1"/>
  <c r="AT34" i="2"/>
  <c r="BB35" i="2" s="1"/>
  <c r="AP35" i="2"/>
  <c r="AM74" i="2"/>
  <c r="AP74" i="2"/>
  <c r="AU34" i="2"/>
  <c r="Q35" i="2"/>
  <c r="O35" i="2" s="1"/>
  <c r="AF35" i="2"/>
  <c r="AK35" i="2" s="1"/>
  <c r="P73" i="2"/>
  <c r="AJ74" i="2"/>
  <c r="AC74" i="2"/>
  <c r="W74" i="2"/>
  <c r="AA74" i="2"/>
  <c r="H71" i="2"/>
  <c r="F72" i="2"/>
  <c r="G72" i="2" s="1"/>
  <c r="V72" i="2"/>
  <c r="Y72" i="2" s="1"/>
  <c r="AQ74" i="2"/>
  <c r="A75" i="2"/>
  <c r="K74" i="2"/>
  <c r="L73" i="2" s="1"/>
  <c r="C74" i="2"/>
  <c r="P74" i="2" s="1"/>
  <c r="B75" i="2"/>
  <c r="D73" i="2"/>
  <c r="U73" i="2" s="1"/>
  <c r="E73" i="2"/>
  <c r="AB72" i="2" l="1"/>
  <c r="BC72" i="2"/>
  <c r="N36" i="2"/>
  <c r="AN36" i="2"/>
  <c r="AM75" i="2"/>
  <c r="AP75" i="2"/>
  <c r="BF72" i="2"/>
  <c r="AA72" i="2"/>
  <c r="AD72" i="2" s="1"/>
  <c r="AD73" i="2" s="1"/>
  <c r="AD74" i="2" s="1"/>
  <c r="R35" i="2"/>
  <c r="AV35" i="2"/>
  <c r="AR35" i="2" s="1"/>
  <c r="AW35" i="2" s="1"/>
  <c r="AO36" i="2"/>
  <c r="X36" i="2"/>
  <c r="AS36" i="2"/>
  <c r="I36" i="2"/>
  <c r="J74" i="2"/>
  <c r="F73" i="2"/>
  <c r="G73" i="2" s="1"/>
  <c r="V73" i="2"/>
  <c r="Y73" i="2" s="1"/>
  <c r="Z72" i="2"/>
  <c r="AC75" i="2"/>
  <c r="AJ75" i="2"/>
  <c r="W75" i="2"/>
  <c r="AA75" i="2"/>
  <c r="AQ75" i="2"/>
  <c r="H72" i="2"/>
  <c r="A76" i="2"/>
  <c r="K75" i="2"/>
  <c r="L74" i="2" s="1"/>
  <c r="C75" i="2"/>
  <c r="P75" i="2" s="1"/>
  <c r="B76" i="2"/>
  <c r="D74" i="2"/>
  <c r="U74" i="2" s="1"/>
  <c r="E74" i="2"/>
  <c r="AB73" i="2" l="1"/>
  <c r="BC73" i="2"/>
  <c r="T36" i="2"/>
  <c r="M37" i="2" s="1"/>
  <c r="AG35" i="2"/>
  <c r="Q36" i="2"/>
  <c r="O36" i="2" s="1"/>
  <c r="AP36" i="2"/>
  <c r="AM76" i="2"/>
  <c r="AP76" i="2"/>
  <c r="AH35" i="2"/>
  <c r="S36" i="2"/>
  <c r="AE35" i="2"/>
  <c r="AQ76" i="2"/>
  <c r="J75" i="2"/>
  <c r="AD75" i="2"/>
  <c r="F74" i="2"/>
  <c r="G74" i="2" s="1"/>
  <c r="V74" i="2"/>
  <c r="Y74" i="2" s="1"/>
  <c r="AC76" i="2"/>
  <c r="AJ76" i="2"/>
  <c r="AA76" i="2"/>
  <c r="W76" i="2"/>
  <c r="Z73" i="2"/>
  <c r="H73" i="2"/>
  <c r="A77" i="2"/>
  <c r="C76" i="2"/>
  <c r="J76" i="2" s="1"/>
  <c r="K76" i="2"/>
  <c r="L75" i="2" s="1"/>
  <c r="B77" i="2"/>
  <c r="E75" i="2"/>
  <c r="V75" i="2" s="1"/>
  <c r="D75" i="2"/>
  <c r="U75" i="2" s="1"/>
  <c r="AB74" i="2" l="1"/>
  <c r="AL35" i="2"/>
  <c r="BA35" i="2" s="1"/>
  <c r="AN37" i="2"/>
  <c r="BC74" i="2"/>
  <c r="BC75" i="2" s="1"/>
  <c r="R36" i="2"/>
  <c r="S37" i="2" s="1"/>
  <c r="Y75" i="2"/>
  <c r="AM77" i="2"/>
  <c r="AP77" i="2"/>
  <c r="AJ36" i="2"/>
  <c r="AT35" i="2" s="1"/>
  <c r="BB36" i="2" s="1"/>
  <c r="AF36" i="2"/>
  <c r="F75" i="2"/>
  <c r="G75" i="2" s="1"/>
  <c r="AO37" i="2"/>
  <c r="AS37" i="2"/>
  <c r="X37" i="2"/>
  <c r="I37" i="2"/>
  <c r="N37" i="2"/>
  <c r="P76" i="2"/>
  <c r="AD76" i="2"/>
  <c r="Z74" i="2"/>
  <c r="AC77" i="2"/>
  <c r="AJ77" i="2"/>
  <c r="W77" i="2"/>
  <c r="AA77" i="2"/>
  <c r="AQ77" i="2"/>
  <c r="H74" i="2"/>
  <c r="A78" i="2"/>
  <c r="C77" i="2"/>
  <c r="P77" i="2" s="1"/>
  <c r="K77" i="2"/>
  <c r="L76" i="2" s="1"/>
  <c r="B78" i="2"/>
  <c r="D76" i="2"/>
  <c r="U76" i="2" s="1"/>
  <c r="E76" i="2"/>
  <c r="AB75" i="2" l="1"/>
  <c r="AV36" i="2"/>
  <c r="AR36" i="2" s="1"/>
  <c r="AW36" i="2" s="1"/>
  <c r="AU36" i="2" s="1"/>
  <c r="AG36" i="2"/>
  <c r="AE36" i="2"/>
  <c r="T37" i="2"/>
  <c r="M38" i="2" s="1"/>
  <c r="H75" i="2"/>
  <c r="AP37" i="2"/>
  <c r="AP78" i="2"/>
  <c r="AM78" i="2"/>
  <c r="AI36" i="2"/>
  <c r="AK36" i="2" s="1"/>
  <c r="AD77" i="2"/>
  <c r="Z75" i="2"/>
  <c r="Q37" i="2"/>
  <c r="J77" i="2"/>
  <c r="AQ78" i="2"/>
  <c r="F76" i="2"/>
  <c r="G76" i="2" s="1"/>
  <c r="V76" i="2"/>
  <c r="AJ78" i="2"/>
  <c r="AC78" i="2"/>
  <c r="W78" i="2"/>
  <c r="AA78" i="2"/>
  <c r="A79" i="2"/>
  <c r="K78" i="2"/>
  <c r="L77" i="2" s="1"/>
  <c r="B79" i="2"/>
  <c r="C78" i="2"/>
  <c r="P78" i="2" s="1"/>
  <c r="E77" i="2"/>
  <c r="D77" i="2"/>
  <c r="U77" i="2" s="1"/>
  <c r="AF37" i="2" l="1"/>
  <c r="Y76" i="2"/>
  <c r="AB76" i="2" s="1"/>
  <c r="BC76" i="2"/>
  <c r="AP79" i="2"/>
  <c r="AM79" i="2"/>
  <c r="AH36" i="2"/>
  <c r="AI37" i="2" s="1"/>
  <c r="AD78" i="2"/>
  <c r="O37" i="2"/>
  <c r="R37" i="2"/>
  <c r="AG37" i="2" s="1"/>
  <c r="J78" i="2"/>
  <c r="AA79" i="2"/>
  <c r="AC79" i="2"/>
  <c r="AJ79" i="2"/>
  <c r="W79" i="2"/>
  <c r="F77" i="2"/>
  <c r="G77" i="2" s="1"/>
  <c r="V77" i="2"/>
  <c r="Y77" i="2" s="1"/>
  <c r="AQ79" i="2"/>
  <c r="H76" i="2"/>
  <c r="A80" i="2"/>
  <c r="D78" i="2"/>
  <c r="U78" i="2" s="1"/>
  <c r="E78" i="2"/>
  <c r="B80" i="2"/>
  <c r="C79" i="2"/>
  <c r="J79" i="2" s="1"/>
  <c r="K79" i="2"/>
  <c r="L78" i="2" s="1"/>
  <c r="AB77" i="2" l="1"/>
  <c r="AK37" i="2"/>
  <c r="Z76" i="2"/>
  <c r="Z77" i="2" s="1"/>
  <c r="BC77" i="2"/>
  <c r="AT36" i="2"/>
  <c r="BB37" i="2" s="1"/>
  <c r="AL36" i="2"/>
  <c r="BA36" i="2" s="1"/>
  <c r="AN38" i="2"/>
  <c r="AM80" i="2"/>
  <c r="AP80" i="2"/>
  <c r="AD79" i="2"/>
  <c r="S38" i="2"/>
  <c r="AE37" i="2"/>
  <c r="AH37" i="2"/>
  <c r="AI38" i="2" s="1"/>
  <c r="T38" i="2"/>
  <c r="M39" i="2" s="1"/>
  <c r="AO38" i="2"/>
  <c r="AS38" i="2"/>
  <c r="I38" i="2"/>
  <c r="X38" i="2"/>
  <c r="N38" i="2"/>
  <c r="P79" i="2"/>
  <c r="AC80" i="2"/>
  <c r="AJ80" i="2"/>
  <c r="AA80" i="2"/>
  <c r="W80" i="2"/>
  <c r="F78" i="2"/>
  <c r="G78" i="2" s="1"/>
  <c r="V78" i="2"/>
  <c r="H77" i="2"/>
  <c r="AQ80" i="2"/>
  <c r="A81" i="2"/>
  <c r="D79" i="2"/>
  <c r="U79" i="2" s="1"/>
  <c r="E79" i="2"/>
  <c r="C80" i="2"/>
  <c r="P80" i="2" s="1"/>
  <c r="B81" i="2"/>
  <c r="K80" i="2"/>
  <c r="L79" i="2" s="1"/>
  <c r="AV37" i="2" l="1"/>
  <c r="AR37" i="2" s="1"/>
  <c r="AW37" i="2" s="1"/>
  <c r="AU37" i="2" s="1"/>
  <c r="AL37" i="2"/>
  <c r="BA37" i="2" s="1"/>
  <c r="AT37" i="2"/>
  <c r="BB38" i="2" s="1"/>
  <c r="Y78" i="2"/>
  <c r="AB78" i="2" s="1"/>
  <c r="BC78" i="2"/>
  <c r="AP38" i="2"/>
  <c r="AM81" i="2"/>
  <c r="AP81" i="2"/>
  <c r="AD80" i="2"/>
  <c r="AQ81" i="2"/>
  <c r="Q38" i="2"/>
  <c r="R38" i="2" s="1"/>
  <c r="AF38" i="2"/>
  <c r="AK38" i="2" s="1"/>
  <c r="J80" i="2"/>
  <c r="AJ81" i="2"/>
  <c r="AA81" i="2"/>
  <c r="AC81" i="2"/>
  <c r="W81" i="2"/>
  <c r="H78" i="2"/>
  <c r="F79" i="2"/>
  <c r="G79" i="2" s="1"/>
  <c r="V79" i="2"/>
  <c r="Y79" i="2" s="1"/>
  <c r="A82" i="2"/>
  <c r="C81" i="2"/>
  <c r="J81" i="2" s="1"/>
  <c r="K81" i="2"/>
  <c r="L80" i="2" s="1"/>
  <c r="B82" i="2"/>
  <c r="D80" i="2"/>
  <c r="U80" i="2" s="1"/>
  <c r="E80" i="2"/>
  <c r="Z78" i="2" l="1"/>
  <c r="Z79" i="2" s="1"/>
  <c r="AB79" i="2"/>
  <c r="BC79" i="2"/>
  <c r="T39" i="2"/>
  <c r="M40" i="2" s="1"/>
  <c r="AG38" i="2"/>
  <c r="AM82" i="2"/>
  <c r="AP82" i="2"/>
  <c r="AD81" i="2"/>
  <c r="O38" i="2"/>
  <c r="AV38" i="2"/>
  <c r="AR38" i="2" s="1"/>
  <c r="AW38" i="2" s="1"/>
  <c r="AU38" i="2" s="1"/>
  <c r="AH38" i="2"/>
  <c r="AI39" i="2" s="1"/>
  <c r="S39" i="2"/>
  <c r="AE38" i="2"/>
  <c r="P81" i="2"/>
  <c r="H79" i="2"/>
  <c r="AJ82" i="2"/>
  <c r="W82" i="2"/>
  <c r="AC82" i="2"/>
  <c r="AA82" i="2"/>
  <c r="AQ82" i="2"/>
  <c r="F80" i="2"/>
  <c r="G80" i="2" s="1"/>
  <c r="V80" i="2"/>
  <c r="Y80" i="2" s="1"/>
  <c r="A83" i="2"/>
  <c r="C82" i="2"/>
  <c r="P82" i="2" s="1"/>
  <c r="K82" i="2"/>
  <c r="L81" i="2" s="1"/>
  <c r="B83" i="2"/>
  <c r="E81" i="2"/>
  <c r="D81" i="2"/>
  <c r="U81" i="2" s="1"/>
  <c r="AT38" i="2" l="1"/>
  <c r="AB80" i="2"/>
  <c r="AL38" i="2"/>
  <c r="BA38" i="2" s="1"/>
  <c r="BC80" i="2"/>
  <c r="N39" i="2"/>
  <c r="AN39" i="2"/>
  <c r="AP83" i="2"/>
  <c r="AD82" i="2"/>
  <c r="J82" i="2"/>
  <c r="AS39" i="2"/>
  <c r="X39" i="2"/>
  <c r="I39" i="2"/>
  <c r="AO39" i="2"/>
  <c r="AQ83" i="2"/>
  <c r="AF39" i="2"/>
  <c r="AU83" i="2"/>
  <c r="Z80" i="2"/>
  <c r="F81" i="2"/>
  <c r="G81" i="2" s="1"/>
  <c r="V81" i="2"/>
  <c r="Y81" i="2" s="1"/>
  <c r="AC83" i="2"/>
  <c r="AJ83" i="2"/>
  <c r="W83" i="2"/>
  <c r="AA83" i="2"/>
  <c r="H80" i="2"/>
  <c r="A84" i="2"/>
  <c r="D82" i="2"/>
  <c r="U82" i="2" s="1"/>
  <c r="E82" i="2"/>
  <c r="B84" i="2"/>
  <c r="C83" i="2"/>
  <c r="J83" i="2" s="1"/>
  <c r="K83" i="2"/>
  <c r="L82" i="2" s="1"/>
  <c r="AB81" i="2" l="1"/>
  <c r="BB39" i="2"/>
  <c r="BC81" i="2"/>
  <c r="Q39" i="2"/>
  <c r="R39" i="2" s="1"/>
  <c r="AG39" i="2" s="1"/>
  <c r="AP39" i="2"/>
  <c r="AM84" i="2"/>
  <c r="AP84" i="2"/>
  <c r="AD83" i="2"/>
  <c r="AK39" i="2"/>
  <c r="AV39" i="2"/>
  <c r="AR39" i="2" s="1"/>
  <c r="P83" i="2"/>
  <c r="F82" i="2"/>
  <c r="G82" i="2" s="1"/>
  <c r="V82" i="2"/>
  <c r="Y82" i="2" s="1"/>
  <c r="H81" i="2"/>
  <c r="AC84" i="2"/>
  <c r="W84" i="2"/>
  <c r="AQ84" i="2"/>
  <c r="Z81" i="2"/>
  <c r="A85" i="2"/>
  <c r="D83" i="2"/>
  <c r="U83" i="2" s="1"/>
  <c r="E83" i="2"/>
  <c r="B85" i="2"/>
  <c r="K84" i="2"/>
  <c r="L83" i="2" s="1"/>
  <c r="C84" i="2"/>
  <c r="J84" i="2" s="1"/>
  <c r="AB82" i="2" l="1"/>
  <c r="BC82" i="2"/>
  <c r="O39" i="2"/>
  <c r="AM85" i="2"/>
  <c r="AP85" i="2"/>
  <c r="AW39" i="2"/>
  <c r="AU39" i="2" s="1"/>
  <c r="AH39" i="2"/>
  <c r="AI40" i="2" s="1"/>
  <c r="S40" i="2"/>
  <c r="AE39" i="2"/>
  <c r="T40" i="2"/>
  <c r="M41" i="2" s="1"/>
  <c r="AQ85" i="2"/>
  <c r="P84" i="2"/>
  <c r="AC85" i="2"/>
  <c r="AJ85" i="2"/>
  <c r="AA85" i="2"/>
  <c r="W85" i="2"/>
  <c r="F83" i="2"/>
  <c r="G83" i="2" s="1"/>
  <c r="V83" i="2"/>
  <c r="Y83" i="2" s="1"/>
  <c r="H82" i="2"/>
  <c r="Z82" i="2"/>
  <c r="A86" i="2"/>
  <c r="D84" i="2"/>
  <c r="U84" i="2" s="1"/>
  <c r="E84" i="2"/>
  <c r="K85" i="2"/>
  <c r="L84" i="2" s="1"/>
  <c r="B86" i="2"/>
  <c r="C85" i="2"/>
  <c r="J85" i="2" s="1"/>
  <c r="AB83" i="2" l="1"/>
  <c r="AN40" i="2"/>
  <c r="AT39" i="2"/>
  <c r="AL39" i="2"/>
  <c r="BA39" i="2" s="1"/>
  <c r="BC83" i="2"/>
  <c r="N40" i="2"/>
  <c r="I40" i="2"/>
  <c r="AS40" i="2"/>
  <c r="AO40" i="2"/>
  <c r="X40" i="2"/>
  <c r="AP86" i="2"/>
  <c r="AF40" i="2"/>
  <c r="AQ86" i="2"/>
  <c r="P85" i="2"/>
  <c r="Z83" i="2"/>
  <c r="AJ86" i="2"/>
  <c r="AC86" i="2"/>
  <c r="AA86" i="2"/>
  <c r="W86" i="2"/>
  <c r="F84" i="2"/>
  <c r="G84" i="2" s="1"/>
  <c r="V84" i="2"/>
  <c r="Y84" i="2" s="1"/>
  <c r="H83" i="2"/>
  <c r="A87" i="2"/>
  <c r="D85" i="2"/>
  <c r="U85" i="2" s="1"/>
  <c r="E85" i="2"/>
  <c r="V85" i="2" s="1"/>
  <c r="C86" i="2"/>
  <c r="P86" i="2" s="1"/>
  <c r="K86" i="2"/>
  <c r="L85" i="2" s="1"/>
  <c r="B87" i="2"/>
  <c r="AB84" i="2" l="1"/>
  <c r="BC84" i="2"/>
  <c r="BC85" i="2" s="1"/>
  <c r="BB40" i="2"/>
  <c r="Q40" i="2"/>
  <c r="O40" i="2" s="1"/>
  <c r="AP40" i="2"/>
  <c r="AK40" i="2"/>
  <c r="Y85" i="2"/>
  <c r="AM87" i="2"/>
  <c r="AP87" i="2"/>
  <c r="AV40" i="2"/>
  <c r="AR40" i="2" s="1"/>
  <c r="J86" i="2"/>
  <c r="AJ87" i="2"/>
  <c r="AA87" i="2"/>
  <c r="W87" i="2"/>
  <c r="AC87" i="2"/>
  <c r="Z84" i="2"/>
  <c r="F85" i="2"/>
  <c r="G85" i="2" s="1"/>
  <c r="AA84" i="2"/>
  <c r="AD84" i="2" s="1"/>
  <c r="AD85" i="2" s="1"/>
  <c r="AD86" i="2" s="1"/>
  <c r="H84" i="2"/>
  <c r="AQ87" i="2"/>
  <c r="A88" i="2"/>
  <c r="E86" i="2"/>
  <c r="D86" i="2"/>
  <c r="U86" i="2" s="1"/>
  <c r="B88" i="2"/>
  <c r="K87" i="2"/>
  <c r="L86" i="2" s="1"/>
  <c r="C87" i="2"/>
  <c r="P87" i="2" s="1"/>
  <c r="AB85" i="2" l="1"/>
  <c r="AS41" i="2"/>
  <c r="AN41" i="2"/>
  <c r="N41" i="2"/>
  <c r="I41" i="2"/>
  <c r="AO41" i="2"/>
  <c r="X41" i="2"/>
  <c r="AW40" i="2"/>
  <c r="AU40" i="2" s="1"/>
  <c r="R40" i="2"/>
  <c r="AM88" i="2"/>
  <c r="AP88" i="2"/>
  <c r="Z85" i="2"/>
  <c r="AD87" i="2"/>
  <c r="J87" i="2"/>
  <c r="AC88" i="2"/>
  <c r="AA88" i="2"/>
  <c r="AJ88" i="2"/>
  <c r="W88" i="2"/>
  <c r="H85" i="2"/>
  <c r="F86" i="2"/>
  <c r="G86" i="2" s="1"/>
  <c r="V86" i="2"/>
  <c r="AQ88" i="2"/>
  <c r="A89" i="2"/>
  <c r="K88" i="2"/>
  <c r="L87" i="2" s="1"/>
  <c r="B89" i="2"/>
  <c r="C88" i="2"/>
  <c r="P88" i="2" s="1"/>
  <c r="D87" i="2"/>
  <c r="U87" i="2" s="1"/>
  <c r="E87" i="2"/>
  <c r="AP41" i="2" l="1"/>
  <c r="Y86" i="2"/>
  <c r="AB86" i="2" s="1"/>
  <c r="BC86" i="2"/>
  <c r="T41" i="2"/>
  <c r="M42" i="2" s="1"/>
  <c r="AG40" i="2"/>
  <c r="Q41" i="2"/>
  <c r="O41" i="2" s="1"/>
  <c r="AE40" i="2"/>
  <c r="S41" i="2"/>
  <c r="AH40" i="2"/>
  <c r="AI41" i="2" s="1"/>
  <c r="AP89" i="2"/>
  <c r="AM89" i="2"/>
  <c r="AD88" i="2"/>
  <c r="J88" i="2"/>
  <c r="F87" i="2"/>
  <c r="G87" i="2" s="1"/>
  <c r="V87" i="2"/>
  <c r="Y87" i="2" s="1"/>
  <c r="AQ89" i="2"/>
  <c r="H86" i="2"/>
  <c r="AA89" i="2"/>
  <c r="AJ89" i="2"/>
  <c r="W89" i="2"/>
  <c r="AC89" i="2"/>
  <c r="A90" i="2"/>
  <c r="D88" i="2"/>
  <c r="U88" i="2" s="1"/>
  <c r="E88" i="2"/>
  <c r="B90" i="2"/>
  <c r="C89" i="2"/>
  <c r="J89" i="2" s="1"/>
  <c r="K89" i="2"/>
  <c r="L88" i="2" s="1"/>
  <c r="Z86" i="2" l="1"/>
  <c r="Z87" i="2" s="1"/>
  <c r="AB87" i="2"/>
  <c r="BC87" i="2"/>
  <c r="AN42" i="2"/>
  <c r="AF41" i="2"/>
  <c r="AK41" i="2" s="1"/>
  <c r="AL40" i="2"/>
  <c r="BA40" i="2" s="1"/>
  <c r="AT40" i="2"/>
  <c r="BB41" i="2" s="1"/>
  <c r="R41" i="2"/>
  <c r="S42" i="2" s="1"/>
  <c r="AM90" i="2"/>
  <c r="AP90" i="2"/>
  <c r="AD89" i="2"/>
  <c r="X42" i="2"/>
  <c r="AO42" i="2"/>
  <c r="AS42" i="2"/>
  <c r="I42" i="2"/>
  <c r="N42" i="2"/>
  <c r="P89" i="2"/>
  <c r="F88" i="2"/>
  <c r="G88" i="2" s="1"/>
  <c r="V88" i="2"/>
  <c r="H87" i="2"/>
  <c r="AJ90" i="2"/>
  <c r="AC90" i="2"/>
  <c r="AA90" i="2"/>
  <c r="W90" i="2"/>
  <c r="AQ90" i="2"/>
  <c r="A91" i="2"/>
  <c r="D89" i="2"/>
  <c r="U89" i="2" s="1"/>
  <c r="E89" i="2"/>
  <c r="C90" i="2"/>
  <c r="J90" i="2" s="1"/>
  <c r="K90" i="2"/>
  <c r="L89" i="2" s="1"/>
  <c r="B91" i="2"/>
  <c r="Y88" i="2" l="1"/>
  <c r="AB88" i="2" s="1"/>
  <c r="BC88" i="2"/>
  <c r="AG41" i="2"/>
  <c r="AH41" i="2"/>
  <c r="AI42" i="2" s="1"/>
  <c r="T42" i="2"/>
  <c r="M43" i="2" s="1"/>
  <c r="AE41" i="2"/>
  <c r="AV41" i="2"/>
  <c r="AR41" i="2" s="1"/>
  <c r="AW41" i="2" s="1"/>
  <c r="AU41" i="2" s="1"/>
  <c r="AP42" i="2"/>
  <c r="AM91" i="2"/>
  <c r="AP91" i="2"/>
  <c r="AD90" i="2"/>
  <c r="Q42" i="2"/>
  <c r="P90" i="2"/>
  <c r="AQ91" i="2"/>
  <c r="AC91" i="2"/>
  <c r="AJ91" i="2"/>
  <c r="AA91" i="2"/>
  <c r="W91" i="2"/>
  <c r="F89" i="2"/>
  <c r="G89" i="2" s="1"/>
  <c r="V89" i="2"/>
  <c r="Y89" i="2" s="1"/>
  <c r="H88" i="2"/>
  <c r="A92" i="2"/>
  <c r="K91" i="2"/>
  <c r="L90" i="2" s="1"/>
  <c r="B92" i="2"/>
  <c r="C91" i="2"/>
  <c r="J91" i="2" s="1"/>
  <c r="E90" i="2"/>
  <c r="D90" i="2"/>
  <c r="U90" i="2" s="1"/>
  <c r="Z88" i="2" l="1"/>
  <c r="Z89" i="2" s="1"/>
  <c r="AB89" i="2"/>
  <c r="AT41" i="2"/>
  <c r="BB42" i="2" s="1"/>
  <c r="BC89" i="2"/>
  <c r="AF42" i="2"/>
  <c r="AK42" i="2" s="1"/>
  <c r="AL41" i="2"/>
  <c r="BA41" i="2" s="1"/>
  <c r="AP92" i="2"/>
  <c r="AD91" i="2"/>
  <c r="O42" i="2"/>
  <c r="R42" i="2"/>
  <c r="AG42" i="2" s="1"/>
  <c r="AC92" i="2"/>
  <c r="AJ92" i="2"/>
  <c r="AA92" i="2"/>
  <c r="W92" i="2"/>
  <c r="P91" i="2"/>
  <c r="H89" i="2"/>
  <c r="AQ92" i="2"/>
  <c r="F90" i="2"/>
  <c r="G90" i="2" s="1"/>
  <c r="V90" i="2"/>
  <c r="Y90" i="2" s="1"/>
  <c r="A93" i="2"/>
  <c r="D91" i="2"/>
  <c r="U91" i="2" s="1"/>
  <c r="E91" i="2"/>
  <c r="K92" i="2"/>
  <c r="L91" i="2" s="1"/>
  <c r="B93" i="2"/>
  <c r="C92" i="2"/>
  <c r="J92" i="2" s="1"/>
  <c r="AB90" i="2" l="1"/>
  <c r="AN43" i="2"/>
  <c r="BC90" i="2"/>
  <c r="AV42" i="2"/>
  <c r="AR42" i="2" s="1"/>
  <c r="AW42" i="2" s="1"/>
  <c r="AU42" i="2" s="1"/>
  <c r="AP93" i="2"/>
  <c r="AM93" i="2"/>
  <c r="AD92" i="2"/>
  <c r="AH42" i="2"/>
  <c r="AI43" i="2" s="1"/>
  <c r="S43" i="2"/>
  <c r="AE42" i="2"/>
  <c r="T43" i="2"/>
  <c r="M44" i="2" s="1"/>
  <c r="AO43" i="2"/>
  <c r="AS43" i="2"/>
  <c r="X43" i="2"/>
  <c r="I43" i="2"/>
  <c r="N43" i="2"/>
  <c r="P92" i="2"/>
  <c r="AC93" i="2"/>
  <c r="AJ93" i="2"/>
  <c r="AA93" i="2"/>
  <c r="W93" i="2"/>
  <c r="F91" i="2"/>
  <c r="G91" i="2" s="1"/>
  <c r="V91" i="2"/>
  <c r="Y91" i="2" s="1"/>
  <c r="H90" i="2"/>
  <c r="AQ93" i="2"/>
  <c r="Z90" i="2"/>
  <c r="A94" i="2"/>
  <c r="E92" i="2"/>
  <c r="D92" i="2"/>
  <c r="U92" i="2" s="1"/>
  <c r="C93" i="2"/>
  <c r="P93" i="2" s="1"/>
  <c r="K93" i="2"/>
  <c r="L92" i="2" s="1"/>
  <c r="B94" i="2"/>
  <c r="AB91" i="2" l="1"/>
  <c r="AL42" i="2"/>
  <c r="BA42" i="2" s="1"/>
  <c r="BC91" i="2"/>
  <c r="AT42" i="2"/>
  <c r="BB43" i="2" s="1"/>
  <c r="AP43" i="2"/>
  <c r="AP94" i="2"/>
  <c r="AM94" i="2"/>
  <c r="Q43" i="2"/>
  <c r="O43" i="2" s="1"/>
  <c r="AD93" i="2"/>
  <c r="AF43" i="2"/>
  <c r="AK43" i="2" s="1"/>
  <c r="J93" i="2"/>
  <c r="Z91" i="2"/>
  <c r="AQ94" i="2"/>
  <c r="F92" i="2"/>
  <c r="G92" i="2" s="1"/>
  <c r="V92" i="2"/>
  <c r="Y92" i="2" s="1"/>
  <c r="AC94" i="2"/>
  <c r="AJ94" i="2"/>
  <c r="AA94" i="2"/>
  <c r="W94" i="2"/>
  <c r="H91" i="2"/>
  <c r="A95" i="2"/>
  <c r="K94" i="2"/>
  <c r="L93" i="2" s="1"/>
  <c r="C94" i="2"/>
  <c r="J94" i="2" s="1"/>
  <c r="B95" i="2"/>
  <c r="D93" i="2"/>
  <c r="U93" i="2" s="1"/>
  <c r="E93" i="2"/>
  <c r="V93" i="2" s="1"/>
  <c r="AB92" i="2" l="1"/>
  <c r="BC92" i="2"/>
  <c r="BC93" i="2" s="1"/>
  <c r="Y93" i="2"/>
  <c r="N44" i="2"/>
  <c r="AN44" i="2"/>
  <c r="AM95" i="2"/>
  <c r="AP95" i="2"/>
  <c r="AV43" i="2"/>
  <c r="AR43" i="2" s="1"/>
  <c r="AW43" i="2" s="1"/>
  <c r="AU43" i="2" s="1"/>
  <c r="R43" i="2"/>
  <c r="AD94" i="2"/>
  <c r="X44" i="2"/>
  <c r="I44" i="2"/>
  <c r="AS44" i="2"/>
  <c r="AO44" i="2"/>
  <c r="AU95" i="2"/>
  <c r="Z92" i="2"/>
  <c r="P94" i="2"/>
  <c r="AJ95" i="2"/>
  <c r="AC95" i="2"/>
  <c r="W95" i="2"/>
  <c r="AA95" i="2"/>
  <c r="AQ95" i="2"/>
  <c r="H92" i="2"/>
  <c r="F93" i="2"/>
  <c r="G93" i="2" s="1"/>
  <c r="A96" i="2"/>
  <c r="B96" i="2"/>
  <c r="K95" i="2"/>
  <c r="L94" i="2" s="1"/>
  <c r="C95" i="2"/>
  <c r="P95" i="2" s="1"/>
  <c r="D94" i="2"/>
  <c r="U94" i="2" s="1"/>
  <c r="E94" i="2"/>
  <c r="Q44" i="2" l="1"/>
  <c r="O44" i="2" s="1"/>
  <c r="AB93" i="2"/>
  <c r="T44" i="2"/>
  <c r="M45" i="2" s="1"/>
  <c r="AG43" i="2"/>
  <c r="AP44" i="2"/>
  <c r="AM96" i="2"/>
  <c r="AP96" i="2"/>
  <c r="AD95" i="2"/>
  <c r="AE43" i="2"/>
  <c r="AH43" i="2"/>
  <c r="AI44" i="2" s="1"/>
  <c r="S44" i="2"/>
  <c r="AQ96" i="2"/>
  <c r="J95" i="2"/>
  <c r="AC96" i="2"/>
  <c r="W96" i="2"/>
  <c r="H93" i="2"/>
  <c r="Z93" i="2"/>
  <c r="F94" i="2"/>
  <c r="G94" i="2" s="1"/>
  <c r="V94" i="2"/>
  <c r="Y94" i="2" s="1"/>
  <c r="A97" i="2"/>
  <c r="E95" i="2"/>
  <c r="D95" i="2"/>
  <c r="U95" i="2" s="1"/>
  <c r="K96" i="2"/>
  <c r="L95" i="2" s="1"/>
  <c r="B97" i="2"/>
  <c r="C96" i="2"/>
  <c r="P96" i="2" s="1"/>
  <c r="R44" i="2" l="1"/>
  <c r="AG44" i="2" s="1"/>
  <c r="AB94" i="2"/>
  <c r="AF44" i="2"/>
  <c r="AL43" i="2"/>
  <c r="BA43" i="2" s="1"/>
  <c r="BC94" i="2"/>
  <c r="AN45" i="2"/>
  <c r="AT43" i="2"/>
  <c r="BB44" i="2" s="1"/>
  <c r="AP97" i="2"/>
  <c r="AM97" i="2"/>
  <c r="AQ97" i="2"/>
  <c r="X45" i="2"/>
  <c r="AS45" i="2"/>
  <c r="I45" i="2"/>
  <c r="AO45" i="2"/>
  <c r="N45" i="2"/>
  <c r="J96" i="2"/>
  <c r="F95" i="2"/>
  <c r="G95" i="2" s="1"/>
  <c r="V95" i="2"/>
  <c r="Y95" i="2" s="1"/>
  <c r="Z94" i="2"/>
  <c r="H94" i="2"/>
  <c r="AA97" i="2"/>
  <c r="AC97" i="2"/>
  <c r="AJ97" i="2"/>
  <c r="W97" i="2"/>
  <c r="A98" i="2"/>
  <c r="E96" i="2"/>
  <c r="D96" i="2"/>
  <c r="U96" i="2" s="1"/>
  <c r="K97" i="2"/>
  <c r="L96" i="2" s="1"/>
  <c r="B98" i="2"/>
  <c r="C97" i="2"/>
  <c r="J97" i="2" s="1"/>
  <c r="T45" i="2" l="1"/>
  <c r="M46" i="2" s="1"/>
  <c r="AH44" i="2"/>
  <c r="AI45" i="2" s="1"/>
  <c r="S45" i="2"/>
  <c r="AE44" i="2"/>
  <c r="AF45" i="2" s="1"/>
  <c r="AB95" i="2"/>
  <c r="AK44" i="2"/>
  <c r="BC95" i="2"/>
  <c r="AP45" i="2"/>
  <c r="AM98" i="2"/>
  <c r="AP98" i="2"/>
  <c r="Q45" i="2"/>
  <c r="O45" i="2" s="1"/>
  <c r="AV44" i="2"/>
  <c r="AR44" i="2" s="1"/>
  <c r="AW44" i="2" s="1"/>
  <c r="AU44" i="2" s="1"/>
  <c r="AQ98" i="2"/>
  <c r="H95" i="2"/>
  <c r="AJ98" i="2"/>
  <c r="AA98" i="2"/>
  <c r="W98" i="2"/>
  <c r="AC98" i="2"/>
  <c r="P97" i="2"/>
  <c r="Z95" i="2"/>
  <c r="F96" i="2"/>
  <c r="G96" i="2" s="1"/>
  <c r="V96" i="2"/>
  <c r="Y96" i="2" s="1"/>
  <c r="A99" i="2"/>
  <c r="D97" i="2"/>
  <c r="U97" i="2" s="1"/>
  <c r="E97" i="2"/>
  <c r="B99" i="2"/>
  <c r="K98" i="2"/>
  <c r="L97" i="2" s="1"/>
  <c r="C98" i="2"/>
  <c r="P98" i="2" s="1"/>
  <c r="AT44" i="2" l="1"/>
  <c r="BB45" i="2" s="1"/>
  <c r="AK45" i="2"/>
  <c r="AL44" i="2"/>
  <c r="BA44" i="2" s="1"/>
  <c r="AB96" i="2"/>
  <c r="BC96" i="2"/>
  <c r="N46" i="2"/>
  <c r="AN46" i="2"/>
  <c r="R45" i="2"/>
  <c r="AM99" i="2"/>
  <c r="AP99" i="2"/>
  <c r="I46" i="2"/>
  <c r="AO46" i="2"/>
  <c r="AS46" i="2"/>
  <c r="X46" i="2"/>
  <c r="AQ99" i="2"/>
  <c r="J98" i="2"/>
  <c r="AA96" i="2"/>
  <c r="AD96" i="2" s="1"/>
  <c r="AD97" i="2" s="1"/>
  <c r="AD98" i="2" s="1"/>
  <c r="AJ99" i="2"/>
  <c r="AC99" i="2"/>
  <c r="AA99" i="2"/>
  <c r="W99" i="2"/>
  <c r="H96" i="2"/>
  <c r="Z96" i="2"/>
  <c r="F97" i="2"/>
  <c r="G97" i="2" s="1"/>
  <c r="V97" i="2"/>
  <c r="Y97" i="2" s="1"/>
  <c r="A100" i="2"/>
  <c r="D98" i="2"/>
  <c r="U98" i="2" s="1"/>
  <c r="E98" i="2"/>
  <c r="B100" i="2"/>
  <c r="K99" i="2"/>
  <c r="L98" i="2" s="1"/>
  <c r="C99" i="2"/>
  <c r="P99" i="2" s="1"/>
  <c r="AV45" i="2" l="1"/>
  <c r="AR45" i="2" s="1"/>
  <c r="AW45" i="2" s="1"/>
  <c r="AU45" i="2" s="1"/>
  <c r="AB97" i="2"/>
  <c r="BC97" i="2"/>
  <c r="AH45" i="2"/>
  <c r="AI46" i="2" s="1"/>
  <c r="AG45" i="2"/>
  <c r="AP46" i="2"/>
  <c r="AE45" i="2"/>
  <c r="S46" i="2"/>
  <c r="T46" i="2"/>
  <c r="M47" i="2" s="1"/>
  <c r="AM100" i="2"/>
  <c r="AP100" i="2"/>
  <c r="AQ100" i="2"/>
  <c r="Q46" i="2"/>
  <c r="AD99" i="2"/>
  <c r="J99" i="2"/>
  <c r="H97" i="2"/>
  <c r="Z97" i="2"/>
  <c r="AJ100" i="2"/>
  <c r="AC100" i="2"/>
  <c r="W100" i="2"/>
  <c r="AA100" i="2"/>
  <c r="F98" i="2"/>
  <c r="G98" i="2" s="1"/>
  <c r="V98" i="2"/>
  <c r="Y98" i="2" s="1"/>
  <c r="A101" i="2"/>
  <c r="D99" i="2"/>
  <c r="U99" i="2" s="1"/>
  <c r="E99" i="2"/>
  <c r="B101" i="2"/>
  <c r="K100" i="2"/>
  <c r="L99" i="2" s="1"/>
  <c r="C100" i="2"/>
  <c r="J100" i="2" s="1"/>
  <c r="AB98" i="2" l="1"/>
  <c r="BC98" i="2"/>
  <c r="AL45" i="2"/>
  <c r="BA45" i="2" s="1"/>
  <c r="AT45" i="2"/>
  <c r="BB46" i="2" s="1"/>
  <c r="AF46" i="2"/>
  <c r="AK46" i="2" s="1"/>
  <c r="AP101" i="2"/>
  <c r="AM101" i="2"/>
  <c r="AD100" i="2"/>
  <c r="O46" i="2"/>
  <c r="R46" i="2"/>
  <c r="AG46" i="2" s="1"/>
  <c r="AJ101" i="2"/>
  <c r="AC101" i="2"/>
  <c r="W101" i="2"/>
  <c r="AA101" i="2"/>
  <c r="P100" i="2"/>
  <c r="AQ101" i="2"/>
  <c r="Z98" i="2"/>
  <c r="F99" i="2"/>
  <c r="G99" i="2" s="1"/>
  <c r="V99" i="2"/>
  <c r="Y99" i="2" s="1"/>
  <c r="H98" i="2"/>
  <c r="A102" i="2"/>
  <c r="D100" i="2"/>
  <c r="U100" i="2" s="1"/>
  <c r="E100" i="2"/>
  <c r="K101" i="2"/>
  <c r="L100" i="2" s="1"/>
  <c r="B102" i="2"/>
  <c r="C101" i="2"/>
  <c r="J101" i="2" s="1"/>
  <c r="AB99" i="2" l="1"/>
  <c r="AN47" i="2"/>
  <c r="BC99" i="2"/>
  <c r="AV46" i="2"/>
  <c r="AR46" i="2" s="1"/>
  <c r="AW46" i="2" s="1"/>
  <c r="AU46" i="2" s="1"/>
  <c r="AP102" i="2"/>
  <c r="AM102" i="2"/>
  <c r="AD101" i="2"/>
  <c r="AH46" i="2"/>
  <c r="AI47" i="2" s="1"/>
  <c r="S47" i="2"/>
  <c r="AE46" i="2"/>
  <c r="T47" i="2"/>
  <c r="M48" i="2" s="1"/>
  <c r="AS47" i="2"/>
  <c r="I47" i="2"/>
  <c r="AO47" i="2"/>
  <c r="X47" i="2"/>
  <c r="N47" i="2"/>
  <c r="P101" i="2"/>
  <c r="Z99" i="2"/>
  <c r="AQ102" i="2"/>
  <c r="AJ102" i="2"/>
  <c r="AC102" i="2"/>
  <c r="AA102" i="2"/>
  <c r="W102" i="2"/>
  <c r="F100" i="2"/>
  <c r="G100" i="2" s="1"/>
  <c r="V100" i="2"/>
  <c r="Y100" i="2" s="1"/>
  <c r="H99" i="2"/>
  <c r="A103" i="2"/>
  <c r="B103" i="2"/>
  <c r="C102" i="2"/>
  <c r="P102" i="2" s="1"/>
  <c r="K102" i="2"/>
  <c r="L101" i="2" s="1"/>
  <c r="D101" i="2"/>
  <c r="U101" i="2" s="1"/>
  <c r="E101" i="2"/>
  <c r="AB100" i="2" l="1"/>
  <c r="AL46" i="2"/>
  <c r="BA46" i="2" s="1"/>
  <c r="BC100" i="2"/>
  <c r="AT46" i="2"/>
  <c r="BB47" i="2" s="1"/>
  <c r="AP103" i="2"/>
  <c r="AM103" i="2"/>
  <c r="Q47" i="2"/>
  <c r="O47" i="2" s="1"/>
  <c r="AD102" i="2"/>
  <c r="AF47" i="2"/>
  <c r="AK47" i="2" s="1"/>
  <c r="J102" i="2"/>
  <c r="AJ103" i="2"/>
  <c r="W103" i="2"/>
  <c r="AC103" i="2"/>
  <c r="AA103" i="2"/>
  <c r="F101" i="2"/>
  <c r="G101" i="2" s="1"/>
  <c r="V101" i="2"/>
  <c r="Y101" i="2" s="1"/>
  <c r="Z100" i="2"/>
  <c r="H100" i="2"/>
  <c r="AQ103" i="2"/>
  <c r="A104" i="2"/>
  <c r="E102" i="2"/>
  <c r="D102" i="2"/>
  <c r="U102" i="2" s="1"/>
  <c r="B104" i="2"/>
  <c r="K103" i="2"/>
  <c r="L102" i="2" s="1"/>
  <c r="C103" i="2"/>
  <c r="P103" i="2" s="1"/>
  <c r="AB101" i="2" l="1"/>
  <c r="BC101" i="2"/>
  <c r="N48" i="2"/>
  <c r="AN48" i="2"/>
  <c r="AP104" i="2"/>
  <c r="R47" i="2"/>
  <c r="AD103" i="2"/>
  <c r="AQ104" i="2"/>
  <c r="AV47" i="2"/>
  <c r="AR47" i="2" s="1"/>
  <c r="AW47" i="2" s="1"/>
  <c r="AO48" i="2"/>
  <c r="AS48" i="2"/>
  <c r="I48" i="2"/>
  <c r="X48" i="2"/>
  <c r="J103" i="2"/>
  <c r="AJ104" i="2"/>
  <c r="AC104" i="2"/>
  <c r="AA104" i="2"/>
  <c r="W104" i="2"/>
  <c r="Z101" i="2"/>
  <c r="F102" i="2"/>
  <c r="G102" i="2" s="1"/>
  <c r="V102" i="2"/>
  <c r="Y102" i="2" s="1"/>
  <c r="H101" i="2"/>
  <c r="A105" i="2"/>
  <c r="D103" i="2"/>
  <c r="U103" i="2" s="1"/>
  <c r="E103" i="2"/>
  <c r="K104" i="2"/>
  <c r="L103" i="2" s="1"/>
  <c r="B105" i="2"/>
  <c r="C104" i="2"/>
  <c r="P104" i="2" s="1"/>
  <c r="AB102" i="2" l="1"/>
  <c r="BC102" i="2"/>
  <c r="T48" i="2"/>
  <c r="M49" i="2" s="1"/>
  <c r="AG47" i="2"/>
  <c r="AP105" i="2"/>
  <c r="AM105" i="2"/>
  <c r="AE47" i="2"/>
  <c r="AH47" i="2"/>
  <c r="S48" i="2"/>
  <c r="AD104" i="2"/>
  <c r="AQ105" i="2"/>
  <c r="Q48" i="2"/>
  <c r="J104" i="2"/>
  <c r="Z102" i="2"/>
  <c r="F103" i="2"/>
  <c r="G103" i="2" s="1"/>
  <c r="V103" i="2"/>
  <c r="Y103" i="2" s="1"/>
  <c r="H102" i="2"/>
  <c r="AA105" i="2"/>
  <c r="AC105" i="2"/>
  <c r="AJ105" i="2"/>
  <c r="W105" i="2"/>
  <c r="A106" i="2"/>
  <c r="B106" i="2"/>
  <c r="C105" i="2"/>
  <c r="P105" i="2" s="1"/>
  <c r="K105" i="2"/>
  <c r="L104" i="2" s="1"/>
  <c r="D104" i="2"/>
  <c r="U104" i="2" s="1"/>
  <c r="E104" i="2"/>
  <c r="AB103" i="2" l="1"/>
  <c r="BC103" i="2"/>
  <c r="AF48" i="2"/>
  <c r="AL47" i="2"/>
  <c r="BA47" i="2" s="1"/>
  <c r="AP106" i="2"/>
  <c r="AM106" i="2"/>
  <c r="AJ48" i="2"/>
  <c r="AT47" i="2" s="1"/>
  <c r="BB48" i="2" s="1"/>
  <c r="AD105" i="2"/>
  <c r="AQ106" i="2"/>
  <c r="O48" i="2"/>
  <c r="R48" i="2"/>
  <c r="AG48" i="2" s="1"/>
  <c r="J105" i="2"/>
  <c r="F104" i="2"/>
  <c r="G104" i="2" s="1"/>
  <c r="V104" i="2"/>
  <c r="Y104" i="2" s="1"/>
  <c r="Z103" i="2"/>
  <c r="H103" i="2"/>
  <c r="AC106" i="2"/>
  <c r="AA106" i="2"/>
  <c r="W106" i="2"/>
  <c r="AJ106" i="2"/>
  <c r="A107" i="2"/>
  <c r="D105" i="2"/>
  <c r="U105" i="2" s="1"/>
  <c r="E105" i="2"/>
  <c r="C106" i="2"/>
  <c r="P106" i="2" s="1"/>
  <c r="B107" i="2"/>
  <c r="K106" i="2"/>
  <c r="L105" i="2" s="1"/>
  <c r="AB104" i="2" l="1"/>
  <c r="AN49" i="2"/>
  <c r="BC104" i="2"/>
  <c r="AM107" i="2"/>
  <c r="AP107" i="2"/>
  <c r="AV48" i="2"/>
  <c r="AR48" i="2" s="1"/>
  <c r="AW48" i="2" s="1"/>
  <c r="AU48" i="2" s="1"/>
  <c r="AI48" i="2"/>
  <c r="AK48" i="2" s="1"/>
  <c r="AD106" i="2"/>
  <c r="S49" i="2"/>
  <c r="AE48" i="2"/>
  <c r="T49" i="2"/>
  <c r="M50" i="2" s="1"/>
  <c r="AS49" i="2"/>
  <c r="AO49" i="2"/>
  <c r="X49" i="2"/>
  <c r="I49" i="2"/>
  <c r="N49" i="2"/>
  <c r="AQ107" i="2"/>
  <c r="AU107" i="2"/>
  <c r="J106" i="2"/>
  <c r="H104" i="2"/>
  <c r="Z104" i="2"/>
  <c r="AJ107" i="2"/>
  <c r="AC107" i="2"/>
  <c r="AA107" i="2"/>
  <c r="W107" i="2"/>
  <c r="F105" i="2"/>
  <c r="G105" i="2" s="1"/>
  <c r="V105" i="2"/>
  <c r="Y105" i="2" s="1"/>
  <c r="A108" i="2"/>
  <c r="B108" i="2"/>
  <c r="K107" i="2"/>
  <c r="L106" i="2" s="1"/>
  <c r="C107" i="2"/>
  <c r="P107" i="2" s="1"/>
  <c r="D106" i="2"/>
  <c r="U106" i="2" s="1"/>
  <c r="E106" i="2"/>
  <c r="AB105" i="2" l="1"/>
  <c r="BC105" i="2"/>
  <c r="AM108" i="2"/>
  <c r="AP108" i="2"/>
  <c r="AD107" i="2"/>
  <c r="AH48" i="2"/>
  <c r="AI49" i="2" s="1"/>
  <c r="AF49" i="2"/>
  <c r="Q49" i="2"/>
  <c r="J107" i="2"/>
  <c r="H105" i="2"/>
  <c r="AC108" i="2"/>
  <c r="W108" i="2"/>
  <c r="AQ108" i="2"/>
  <c r="Z105" i="2"/>
  <c r="F106" i="2"/>
  <c r="G106" i="2" s="1"/>
  <c r="V106" i="2"/>
  <c r="Y106" i="2" s="1"/>
  <c r="A109" i="2"/>
  <c r="D107" i="2"/>
  <c r="U107" i="2" s="1"/>
  <c r="E107" i="2"/>
  <c r="V107" i="2" s="1"/>
  <c r="K108" i="2"/>
  <c r="L107" i="2" s="1"/>
  <c r="B109" i="2"/>
  <c r="C108" i="2"/>
  <c r="J108" i="2" s="1"/>
  <c r="AB106" i="2" l="1"/>
  <c r="AT48" i="2"/>
  <c r="BB49" i="2" s="1"/>
  <c r="BC106" i="2"/>
  <c r="BC107" i="2" s="1"/>
  <c r="AL48" i="2"/>
  <c r="BA48" i="2" s="1"/>
  <c r="Y107" i="2"/>
  <c r="AM109" i="2"/>
  <c r="AP109" i="2"/>
  <c r="AK49" i="2"/>
  <c r="O49" i="2"/>
  <c r="R49" i="2"/>
  <c r="AG49" i="2" s="1"/>
  <c r="F107" i="2"/>
  <c r="G107" i="2" s="1"/>
  <c r="AQ109" i="2"/>
  <c r="P108" i="2"/>
  <c r="AJ109" i="2"/>
  <c r="AC109" i="2"/>
  <c r="AA109" i="2"/>
  <c r="W109" i="2"/>
  <c r="H106" i="2"/>
  <c r="Z106" i="2"/>
  <c r="A110" i="2"/>
  <c r="E108" i="2"/>
  <c r="V108" i="2" s="1"/>
  <c r="D108" i="2"/>
  <c r="U108" i="2" s="1"/>
  <c r="B110" i="2"/>
  <c r="C109" i="2"/>
  <c r="P109" i="2" s="1"/>
  <c r="K109" i="2"/>
  <c r="L108" i="2" s="1"/>
  <c r="AB107" i="2" l="1"/>
  <c r="BC108" i="2"/>
  <c r="AV49" i="2"/>
  <c r="AR49" i="2" s="1"/>
  <c r="AW49" i="2" s="1"/>
  <c r="AU49" i="2" s="1"/>
  <c r="AN50" i="2"/>
  <c r="Y108" i="2"/>
  <c r="AM110" i="2"/>
  <c r="AP110" i="2"/>
  <c r="Z107" i="2"/>
  <c r="S50" i="2"/>
  <c r="AE49" i="2"/>
  <c r="AH49" i="2"/>
  <c r="AI50" i="2" s="1"/>
  <c r="T50" i="2"/>
  <c r="M51" i="2" s="1"/>
  <c r="X50" i="2"/>
  <c r="AO50" i="2"/>
  <c r="I50" i="2"/>
  <c r="AS50" i="2"/>
  <c r="N50" i="2"/>
  <c r="J109" i="2"/>
  <c r="H107" i="2"/>
  <c r="AQ110" i="2"/>
  <c r="AJ110" i="2"/>
  <c r="AC110" i="2"/>
  <c r="AA110" i="2"/>
  <c r="W110" i="2"/>
  <c r="F108" i="2"/>
  <c r="G108" i="2" s="1"/>
  <c r="A111" i="2"/>
  <c r="K110" i="2"/>
  <c r="L109" i="2" s="1"/>
  <c r="B111" i="2"/>
  <c r="C110" i="2"/>
  <c r="P110" i="2" s="1"/>
  <c r="D109" i="2"/>
  <c r="U109" i="2" s="1"/>
  <c r="E109" i="2"/>
  <c r="AB108" i="2" l="1"/>
  <c r="AL49" i="2"/>
  <c r="BA49" i="2" s="1"/>
  <c r="AT49" i="2"/>
  <c r="BB50" i="2" s="1"/>
  <c r="AM111" i="2"/>
  <c r="AP111" i="2"/>
  <c r="Z108" i="2"/>
  <c r="Q50" i="2"/>
  <c r="AF50" i="2"/>
  <c r="AK50" i="2" s="1"/>
  <c r="AQ111" i="2"/>
  <c r="J110" i="2"/>
  <c r="AA108" i="2"/>
  <c r="AD108" i="2" s="1"/>
  <c r="AD109" i="2" s="1"/>
  <c r="AD110" i="2" s="1"/>
  <c r="F109" i="2"/>
  <c r="G109" i="2" s="1"/>
  <c r="V109" i="2"/>
  <c r="H108" i="2"/>
  <c r="AC111" i="2"/>
  <c r="AJ111" i="2"/>
  <c r="AA111" i="2"/>
  <c r="W111" i="2"/>
  <c r="A112" i="2"/>
  <c r="E110" i="2"/>
  <c r="D110" i="2"/>
  <c r="U110" i="2" s="1"/>
  <c r="B112" i="2"/>
  <c r="K111" i="2"/>
  <c r="L110" i="2" s="1"/>
  <c r="C111" i="2"/>
  <c r="P111" i="2" s="1"/>
  <c r="Y109" i="2" l="1"/>
  <c r="AB109" i="2" s="1"/>
  <c r="BC109" i="2"/>
  <c r="AM112" i="2"/>
  <c r="AP112" i="2"/>
  <c r="AD111" i="2"/>
  <c r="AV50" i="2"/>
  <c r="AR50" i="2" s="1"/>
  <c r="AW50" i="2" s="1"/>
  <c r="O50" i="2"/>
  <c r="R50" i="2"/>
  <c r="AG50" i="2" s="1"/>
  <c r="J111" i="2"/>
  <c r="AQ112" i="2"/>
  <c r="AC112" i="2"/>
  <c r="AA112" i="2"/>
  <c r="W112" i="2"/>
  <c r="AJ112" i="2"/>
  <c r="F110" i="2"/>
  <c r="G110" i="2" s="1"/>
  <c r="V110" i="2"/>
  <c r="Y110" i="2" s="1"/>
  <c r="H109" i="2"/>
  <c r="A113" i="2"/>
  <c r="K112" i="2"/>
  <c r="L111" i="2" s="1"/>
  <c r="B113" i="2"/>
  <c r="C112" i="2"/>
  <c r="P112" i="2" s="1"/>
  <c r="D111" i="2"/>
  <c r="U111" i="2" s="1"/>
  <c r="E111" i="2"/>
  <c r="AB110" i="2" l="1"/>
  <c r="Z109" i="2"/>
  <c r="Z110" i="2" s="1"/>
  <c r="BC110" i="2"/>
  <c r="AN51" i="2"/>
  <c r="AP113" i="2"/>
  <c r="AM113" i="2"/>
  <c r="AU50" i="2"/>
  <c r="AD112" i="2"/>
  <c r="S51" i="2"/>
  <c r="AH50" i="2"/>
  <c r="AI51" i="2" s="1"/>
  <c r="AE50" i="2"/>
  <c r="T51" i="2"/>
  <c r="M52" i="2" s="1"/>
  <c r="I51" i="2"/>
  <c r="AS51" i="2"/>
  <c r="X51" i="2"/>
  <c r="AO51" i="2"/>
  <c r="N51" i="2"/>
  <c r="J112" i="2"/>
  <c r="AJ113" i="2"/>
  <c r="AC113" i="2"/>
  <c r="W113" i="2"/>
  <c r="AA113" i="2"/>
  <c r="H110" i="2"/>
  <c r="F111" i="2"/>
  <c r="G111" i="2" s="1"/>
  <c r="V111" i="2"/>
  <c r="Y111" i="2" s="1"/>
  <c r="AQ113" i="2"/>
  <c r="A114" i="2"/>
  <c r="D112" i="2"/>
  <c r="U112" i="2" s="1"/>
  <c r="E112" i="2"/>
  <c r="K113" i="2"/>
  <c r="L112" i="2" s="1"/>
  <c r="B114" i="2"/>
  <c r="C113" i="2"/>
  <c r="P113" i="2" s="1"/>
  <c r="AB111" i="2" l="1"/>
  <c r="AL50" i="2"/>
  <c r="BA50" i="2" s="1"/>
  <c r="AT50" i="2"/>
  <c r="BB51" i="2" s="1"/>
  <c r="BC111" i="2"/>
  <c r="AM114" i="2"/>
  <c r="AP114" i="2"/>
  <c r="AD113" i="2"/>
  <c r="Q51" i="2"/>
  <c r="O51" i="2" s="1"/>
  <c r="AF51" i="2"/>
  <c r="AK51" i="2" s="1"/>
  <c r="J113" i="2"/>
  <c r="AQ114" i="2"/>
  <c r="AA114" i="2"/>
  <c r="AJ114" i="2"/>
  <c r="W114" i="2"/>
  <c r="AC114" i="2"/>
  <c r="H111" i="2"/>
  <c r="Z111" i="2"/>
  <c r="F112" i="2"/>
  <c r="G112" i="2" s="1"/>
  <c r="V112" i="2"/>
  <c r="Y112" i="2" s="1"/>
  <c r="A115" i="2"/>
  <c r="D113" i="2"/>
  <c r="U113" i="2" s="1"/>
  <c r="E113" i="2"/>
  <c r="K114" i="2"/>
  <c r="L113" i="2" s="1"/>
  <c r="C114" i="2"/>
  <c r="J114" i="2" s="1"/>
  <c r="B115" i="2"/>
  <c r="AV51" i="2" l="1"/>
  <c r="AR51" i="2" s="1"/>
  <c r="AW51" i="2" s="1"/>
  <c r="AU51" i="2" s="1"/>
  <c r="AB112" i="2"/>
  <c r="BC112" i="2"/>
  <c r="AN52" i="2"/>
  <c r="AP115" i="2"/>
  <c r="AM115" i="2"/>
  <c r="AD114" i="2"/>
  <c r="R51" i="2"/>
  <c r="I52" i="2"/>
  <c r="AS52" i="2"/>
  <c r="X52" i="2"/>
  <c r="AO52" i="2"/>
  <c r="N52" i="2"/>
  <c r="AQ115" i="2"/>
  <c r="Z112" i="2"/>
  <c r="F113" i="2"/>
  <c r="G113" i="2" s="1"/>
  <c r="V113" i="2"/>
  <c r="P114" i="2"/>
  <c r="AC115" i="2"/>
  <c r="AJ115" i="2"/>
  <c r="AA115" i="2"/>
  <c r="W115" i="2"/>
  <c r="H112" i="2"/>
  <c r="A116" i="2"/>
  <c r="B116" i="2"/>
  <c r="K115" i="2"/>
  <c r="L114" i="2" s="1"/>
  <c r="C115" i="2"/>
  <c r="P115" i="2" s="1"/>
  <c r="D114" i="2"/>
  <c r="U114" i="2" s="1"/>
  <c r="E114" i="2"/>
  <c r="Y113" i="2" l="1"/>
  <c r="AB113" i="2" s="1"/>
  <c r="BC113" i="2"/>
  <c r="T52" i="2"/>
  <c r="M53" i="2" s="1"/>
  <c r="AG51" i="2"/>
  <c r="AP116" i="2"/>
  <c r="AM116" i="2"/>
  <c r="AD115" i="2"/>
  <c r="S52" i="2"/>
  <c r="AE51" i="2"/>
  <c r="AH51" i="2"/>
  <c r="AI52" i="2" s="1"/>
  <c r="AQ116" i="2"/>
  <c r="Q52" i="2"/>
  <c r="J115" i="2"/>
  <c r="AJ116" i="2"/>
  <c r="AC116" i="2"/>
  <c r="AA116" i="2"/>
  <c r="W116" i="2"/>
  <c r="H113" i="2"/>
  <c r="F114" i="2"/>
  <c r="G114" i="2" s="1"/>
  <c r="V114" i="2"/>
  <c r="Y114" i="2" s="1"/>
  <c r="A117" i="2"/>
  <c r="D115" i="2"/>
  <c r="U115" i="2" s="1"/>
  <c r="E115" i="2"/>
  <c r="K116" i="2"/>
  <c r="L115" i="2" s="1"/>
  <c r="B117" i="2"/>
  <c r="C116" i="2"/>
  <c r="J116" i="2" s="1"/>
  <c r="AB114" i="2" l="1"/>
  <c r="BC114" i="2"/>
  <c r="AF52" i="2"/>
  <c r="AK52" i="2" s="1"/>
  <c r="AL51" i="2"/>
  <c r="BA51" i="2" s="1"/>
  <c r="Z113" i="2"/>
  <c r="Z114" i="2" s="1"/>
  <c r="AT51" i="2"/>
  <c r="BB52" i="2" s="1"/>
  <c r="AM117" i="2"/>
  <c r="AP117" i="2"/>
  <c r="AD116" i="2"/>
  <c r="O52" i="2"/>
  <c r="R52" i="2"/>
  <c r="AG52" i="2" s="1"/>
  <c r="P116" i="2"/>
  <c r="AQ117" i="2"/>
  <c r="H114" i="2"/>
  <c r="F115" i="2"/>
  <c r="G115" i="2" s="1"/>
  <c r="V115" i="2"/>
  <c r="Y115" i="2" s="1"/>
  <c r="AJ117" i="2"/>
  <c r="AC117" i="2"/>
  <c r="AA117" i="2"/>
  <c r="W117" i="2"/>
  <c r="A118" i="2"/>
  <c r="B118" i="2"/>
  <c r="K117" i="2"/>
  <c r="L116" i="2" s="1"/>
  <c r="C117" i="2"/>
  <c r="J117" i="2" s="1"/>
  <c r="E116" i="2"/>
  <c r="V116" i="2" s="1"/>
  <c r="D116" i="2"/>
  <c r="U116" i="2" s="1"/>
  <c r="AB115" i="2" l="1"/>
  <c r="AN53" i="2"/>
  <c r="BC115" i="2"/>
  <c r="BC116" i="2" s="1"/>
  <c r="Y116" i="2"/>
  <c r="AM118" i="2"/>
  <c r="AP118" i="2"/>
  <c r="AD117" i="2"/>
  <c r="AV52" i="2"/>
  <c r="AR52" i="2" s="1"/>
  <c r="AW52" i="2" s="1"/>
  <c r="AU52" i="2" s="1"/>
  <c r="S53" i="2"/>
  <c r="AH52" i="2"/>
  <c r="AI53" i="2" s="1"/>
  <c r="AE52" i="2"/>
  <c r="T53" i="2"/>
  <c r="M54" i="2" s="1"/>
  <c r="AS53" i="2"/>
  <c r="AO53" i="2"/>
  <c r="X53" i="2"/>
  <c r="I53" i="2"/>
  <c r="N53" i="2"/>
  <c r="P117" i="2"/>
  <c r="AQ118" i="2"/>
  <c r="H115" i="2"/>
  <c r="Z115" i="2"/>
  <c r="AJ118" i="2"/>
  <c r="AC118" i="2"/>
  <c r="AA118" i="2"/>
  <c r="W118" i="2"/>
  <c r="F116" i="2"/>
  <c r="G116" i="2" s="1"/>
  <c r="A119" i="2"/>
  <c r="D117" i="2"/>
  <c r="U117" i="2" s="1"/>
  <c r="E117" i="2"/>
  <c r="V117" i="2" s="1"/>
  <c r="C118" i="2"/>
  <c r="P118" i="2" s="1"/>
  <c r="B119" i="2"/>
  <c r="K118" i="2"/>
  <c r="L117" i="2" s="1"/>
  <c r="BC117" i="2" l="1"/>
  <c r="AB116" i="2"/>
  <c r="AL52" i="2"/>
  <c r="BA52" i="2" s="1"/>
  <c r="AT52" i="2"/>
  <c r="BB53" i="2" s="1"/>
  <c r="Y117" i="2"/>
  <c r="AP119" i="2"/>
  <c r="AM119" i="2"/>
  <c r="AD118" i="2"/>
  <c r="F117" i="2"/>
  <c r="G117" i="2" s="1"/>
  <c r="Q53" i="2"/>
  <c r="O53" i="2" s="1"/>
  <c r="AF53" i="2"/>
  <c r="AK53" i="2" s="1"/>
  <c r="J118" i="2"/>
  <c r="AQ119" i="2"/>
  <c r="AU119" i="2"/>
  <c r="Z116" i="2"/>
  <c r="H116" i="2"/>
  <c r="AJ119" i="2"/>
  <c r="AA119" i="2"/>
  <c r="W119" i="2"/>
  <c r="AC119" i="2"/>
  <c r="A120" i="2"/>
  <c r="B120" i="2"/>
  <c r="K119" i="2"/>
  <c r="L118" i="2" s="1"/>
  <c r="C119" i="2"/>
  <c r="P119" i="2" s="1"/>
  <c r="D118" i="2"/>
  <c r="U118" i="2" s="1"/>
  <c r="E118" i="2"/>
  <c r="AB117" i="2" l="1"/>
  <c r="N54" i="2"/>
  <c r="AN54" i="2"/>
  <c r="H117" i="2"/>
  <c r="AM120" i="2"/>
  <c r="AP120" i="2"/>
  <c r="AD119" i="2"/>
  <c r="R53" i="2"/>
  <c r="AV53" i="2"/>
  <c r="AR53" i="2" s="1"/>
  <c r="AW53" i="2" s="1"/>
  <c r="AO54" i="2"/>
  <c r="AS54" i="2"/>
  <c r="X54" i="2"/>
  <c r="I54" i="2"/>
  <c r="Z117" i="2"/>
  <c r="J119" i="2"/>
  <c r="F118" i="2"/>
  <c r="G118" i="2" s="1"/>
  <c r="V118" i="2"/>
  <c r="AC120" i="2"/>
  <c r="W120" i="2"/>
  <c r="AQ120" i="2"/>
  <c r="A121" i="2"/>
  <c r="D119" i="2"/>
  <c r="U119" i="2" s="1"/>
  <c r="E119" i="2"/>
  <c r="K120" i="2"/>
  <c r="L119" i="2" s="1"/>
  <c r="C120" i="2"/>
  <c r="P120" i="2" s="1"/>
  <c r="B121" i="2"/>
  <c r="Y118" i="2" l="1"/>
  <c r="AB118" i="2" s="1"/>
  <c r="BC118" i="2"/>
  <c r="T54" i="2"/>
  <c r="M55" i="2" s="1"/>
  <c r="AG53" i="2"/>
  <c r="AP121" i="2"/>
  <c r="AM121" i="2"/>
  <c r="AU53" i="2"/>
  <c r="AH53" i="2"/>
  <c r="AI54" i="2" s="1"/>
  <c r="AE53" i="2"/>
  <c r="S54" i="2"/>
  <c r="Q54" i="2"/>
  <c r="J120" i="2"/>
  <c r="AQ121" i="2"/>
  <c r="H118" i="2"/>
  <c r="AJ121" i="2"/>
  <c r="AA121" i="2"/>
  <c r="W121" i="2"/>
  <c r="AC121" i="2"/>
  <c r="F119" i="2"/>
  <c r="G119" i="2" s="1"/>
  <c r="V119" i="2"/>
  <c r="Y119" i="2" s="1"/>
  <c r="A122" i="2"/>
  <c r="B122" i="2"/>
  <c r="C121" i="2"/>
  <c r="J121" i="2" s="1"/>
  <c r="K121" i="2"/>
  <c r="L120" i="2" s="1"/>
  <c r="D120" i="2"/>
  <c r="U120" i="2" s="1"/>
  <c r="E120" i="2"/>
  <c r="V120" i="2" s="1"/>
  <c r="AB119" i="2" l="1"/>
  <c r="AL53" i="2"/>
  <c r="BA53" i="2" s="1"/>
  <c r="BC119" i="2"/>
  <c r="BC120" i="2" s="1"/>
  <c r="Z118" i="2"/>
  <c r="Z119" i="2" s="1"/>
  <c r="AT53" i="2"/>
  <c r="BB54" i="2" s="1"/>
  <c r="Y120" i="2"/>
  <c r="AM122" i="2"/>
  <c r="AP122" i="2"/>
  <c r="AF54" i="2"/>
  <c r="AK54" i="2" s="1"/>
  <c r="O54" i="2"/>
  <c r="R54" i="2"/>
  <c r="AG54" i="2" s="1"/>
  <c r="AQ122" i="2"/>
  <c r="P121" i="2"/>
  <c r="F120" i="2"/>
  <c r="G120" i="2" s="1"/>
  <c r="AJ122" i="2"/>
  <c r="AC122" i="2"/>
  <c r="AA122" i="2"/>
  <c r="W122" i="2"/>
  <c r="H119" i="2"/>
  <c r="A123" i="2"/>
  <c r="D121" i="2"/>
  <c r="U121" i="2" s="1"/>
  <c r="E121" i="2"/>
  <c r="K122" i="2"/>
  <c r="L121" i="2" s="1"/>
  <c r="C122" i="2"/>
  <c r="P122" i="2" s="1"/>
  <c r="B123" i="2"/>
  <c r="AB120" i="2" l="1"/>
  <c r="AN55" i="2"/>
  <c r="AP123" i="2"/>
  <c r="AV54" i="2"/>
  <c r="AR54" i="2" s="1"/>
  <c r="AW54" i="2" s="1"/>
  <c r="AU54" i="2" s="1"/>
  <c r="S55" i="2"/>
  <c r="AE54" i="2"/>
  <c r="T55" i="2"/>
  <c r="M56" i="2" s="1"/>
  <c r="AH54" i="2"/>
  <c r="AI55" i="2" s="1"/>
  <c r="X55" i="2"/>
  <c r="AS55" i="2"/>
  <c r="AO55" i="2"/>
  <c r="I55" i="2"/>
  <c r="N55" i="2"/>
  <c r="AQ123" i="2"/>
  <c r="J122" i="2"/>
  <c r="Z120" i="2"/>
  <c r="F121" i="2"/>
  <c r="G121" i="2" s="1"/>
  <c r="V121" i="2"/>
  <c r="H120" i="2"/>
  <c r="AC123" i="2"/>
  <c r="AA123" i="2"/>
  <c r="AJ123" i="2"/>
  <c r="W123" i="2"/>
  <c r="AA120" i="2"/>
  <c r="AD120" i="2" s="1"/>
  <c r="AD121" i="2" s="1"/>
  <c r="AD122" i="2" s="1"/>
  <c r="A124" i="2"/>
  <c r="B124" i="2"/>
  <c r="C123" i="2"/>
  <c r="J123" i="2" s="1"/>
  <c r="K123" i="2"/>
  <c r="L122" i="2" s="1"/>
  <c r="E122" i="2"/>
  <c r="V122" i="2" s="1"/>
  <c r="D122" i="2"/>
  <c r="U122" i="2" s="1"/>
  <c r="AL54" i="2" l="1"/>
  <c r="BA54" i="2" s="1"/>
  <c r="Y121" i="2"/>
  <c r="AB121" i="2" s="1"/>
  <c r="BC121" i="2"/>
  <c r="BC122" i="2" s="1"/>
  <c r="AT54" i="2"/>
  <c r="BB55" i="2" s="1"/>
  <c r="Y122" i="2"/>
  <c r="AM124" i="2"/>
  <c r="AP124" i="2"/>
  <c r="AD123" i="2"/>
  <c r="AF55" i="2"/>
  <c r="AK55" i="2" s="1"/>
  <c r="Q55" i="2"/>
  <c r="P123" i="2"/>
  <c r="F122" i="2"/>
  <c r="G122" i="2" s="1"/>
  <c r="H121" i="2"/>
  <c r="AC124" i="2"/>
  <c r="AA124" i="2"/>
  <c r="AJ124" i="2"/>
  <c r="W124" i="2"/>
  <c r="AQ124" i="2"/>
  <c r="A125" i="2"/>
  <c r="D123" i="2"/>
  <c r="U123" i="2" s="1"/>
  <c r="E123" i="2"/>
  <c r="B125" i="2"/>
  <c r="K124" i="2"/>
  <c r="L123" i="2" s="1"/>
  <c r="C124" i="2"/>
  <c r="P124" i="2" s="1"/>
  <c r="Z121" i="2" l="1"/>
  <c r="Z122" i="2" s="1"/>
  <c r="AB122" i="2"/>
  <c r="H122" i="2"/>
  <c r="AP125" i="2"/>
  <c r="AD124" i="2"/>
  <c r="O55" i="2"/>
  <c r="R55" i="2"/>
  <c r="AG55" i="2" s="1"/>
  <c r="AV55" i="2"/>
  <c r="AR55" i="2" s="1"/>
  <c r="AW55" i="2" s="1"/>
  <c r="AQ125" i="2"/>
  <c r="J124" i="2"/>
  <c r="AJ125" i="2"/>
  <c r="AC125" i="2"/>
  <c r="AA125" i="2"/>
  <c r="W125" i="2"/>
  <c r="F123" i="2"/>
  <c r="G123" i="2" s="1"/>
  <c r="V123" i="2"/>
  <c r="A126" i="2"/>
  <c r="K125" i="2"/>
  <c r="L124" i="2" s="1"/>
  <c r="C125" i="2"/>
  <c r="P125" i="2" s="1"/>
  <c r="B126" i="2"/>
  <c r="D124" i="2"/>
  <c r="U124" i="2" s="1"/>
  <c r="E124" i="2"/>
  <c r="AN56" i="2" l="1"/>
  <c r="Y123" i="2"/>
  <c r="AB123" i="2" s="1"/>
  <c r="BC123" i="2"/>
  <c r="AM126" i="2"/>
  <c r="AP126" i="2"/>
  <c r="AU55" i="2"/>
  <c r="AD125" i="2"/>
  <c r="J125" i="2"/>
  <c r="S56" i="2"/>
  <c r="AH55" i="2"/>
  <c r="AI56" i="2" s="1"/>
  <c r="AE55" i="2"/>
  <c r="T56" i="2"/>
  <c r="M57" i="2" s="1"/>
  <c r="X56" i="2"/>
  <c r="AS56" i="2"/>
  <c r="AO56" i="2"/>
  <c r="I56" i="2"/>
  <c r="N56" i="2"/>
  <c r="AQ126" i="2"/>
  <c r="H123" i="2"/>
  <c r="F124" i="2"/>
  <c r="G124" i="2" s="1"/>
  <c r="V124" i="2"/>
  <c r="Y124" i="2" s="1"/>
  <c r="AJ126" i="2"/>
  <c r="AC126" i="2"/>
  <c r="AA126" i="2"/>
  <c r="W126" i="2"/>
  <c r="A127" i="2"/>
  <c r="C126" i="2"/>
  <c r="P126" i="2" s="1"/>
  <c r="K126" i="2"/>
  <c r="L125" i="2" s="1"/>
  <c r="B127" i="2"/>
  <c r="D125" i="2"/>
  <c r="U125" i="2" s="1"/>
  <c r="E125" i="2"/>
  <c r="AB124" i="2" l="1"/>
  <c r="Z123" i="2"/>
  <c r="Z124" i="2" s="1"/>
  <c r="AL55" i="2"/>
  <c r="BA55" i="2" s="1"/>
  <c r="BC124" i="2"/>
  <c r="AT55" i="2"/>
  <c r="BB56" i="2" s="1"/>
  <c r="AP127" i="2"/>
  <c r="AD126" i="2"/>
  <c r="AQ127" i="2"/>
  <c r="AF56" i="2"/>
  <c r="AK56" i="2" s="1"/>
  <c r="Q56" i="2"/>
  <c r="R56" i="2" s="1"/>
  <c r="J126" i="2"/>
  <c r="AJ127" i="2"/>
  <c r="AC127" i="2"/>
  <c r="AA127" i="2"/>
  <c r="W127" i="2"/>
  <c r="F125" i="2"/>
  <c r="G125" i="2" s="1"/>
  <c r="V125" i="2"/>
  <c r="Y125" i="2" s="1"/>
  <c r="H124" i="2"/>
  <c r="A128" i="2"/>
  <c r="B128" i="2"/>
  <c r="K127" i="2"/>
  <c r="L126" i="2" s="1"/>
  <c r="C127" i="2"/>
  <c r="P127" i="2" s="1"/>
  <c r="E126" i="2"/>
  <c r="D126" i="2"/>
  <c r="U126" i="2" s="1"/>
  <c r="AB125" i="2" l="1"/>
  <c r="BC125" i="2"/>
  <c r="T57" i="2"/>
  <c r="M58" i="2" s="1"/>
  <c r="AG56" i="2"/>
  <c r="AP128" i="2"/>
  <c r="AV56" i="2"/>
  <c r="AR56" i="2" s="1"/>
  <c r="AW56" i="2" s="1"/>
  <c r="AU56" i="2" s="1"/>
  <c r="AD127" i="2"/>
  <c r="AH56" i="2"/>
  <c r="AI57" i="2" s="1"/>
  <c r="S57" i="2"/>
  <c r="AE56" i="2"/>
  <c r="O56" i="2"/>
  <c r="J127" i="2"/>
  <c r="AQ128" i="2"/>
  <c r="H125" i="2"/>
  <c r="F126" i="2"/>
  <c r="G126" i="2" s="1"/>
  <c r="V126" i="2"/>
  <c r="Y126" i="2" s="1"/>
  <c r="Z125" i="2"/>
  <c r="AC128" i="2"/>
  <c r="AJ128" i="2"/>
  <c r="AA128" i="2"/>
  <c r="W128" i="2"/>
  <c r="A129" i="2"/>
  <c r="D127" i="2"/>
  <c r="U127" i="2" s="1"/>
  <c r="E127" i="2"/>
  <c r="K128" i="2"/>
  <c r="L127" i="2" s="1"/>
  <c r="C128" i="2"/>
  <c r="P128" i="2" s="1"/>
  <c r="B129" i="2"/>
  <c r="AB126" i="2" l="1"/>
  <c r="AN57" i="2"/>
  <c r="AT56" i="2"/>
  <c r="AL56" i="2"/>
  <c r="BA56" i="2" s="1"/>
  <c r="BC126" i="2"/>
  <c r="AP129" i="2"/>
  <c r="AD128" i="2"/>
  <c r="AF57" i="2"/>
  <c r="X57" i="2"/>
  <c r="I57" i="2"/>
  <c r="AS57" i="2"/>
  <c r="AO57" i="2"/>
  <c r="N57" i="2"/>
  <c r="J128" i="2"/>
  <c r="AC129" i="2"/>
  <c r="AA129" i="2"/>
  <c r="AJ129" i="2"/>
  <c r="W129" i="2"/>
  <c r="H126" i="2"/>
  <c r="AQ129" i="2"/>
  <c r="Z126" i="2"/>
  <c r="F127" i="2"/>
  <c r="G127" i="2" s="1"/>
  <c r="V127" i="2"/>
  <c r="Y127" i="2" s="1"/>
  <c r="A130" i="2"/>
  <c r="B130" i="2"/>
  <c r="C129" i="2"/>
  <c r="P129" i="2" s="1"/>
  <c r="K129" i="2"/>
  <c r="L128" i="2" s="1"/>
  <c r="D128" i="2"/>
  <c r="U128" i="2" s="1"/>
  <c r="E128" i="2"/>
  <c r="AB127" i="2" l="1"/>
  <c r="BC127" i="2"/>
  <c r="BB57" i="2"/>
  <c r="AM130" i="2"/>
  <c r="AP130" i="2"/>
  <c r="AD129" i="2"/>
  <c r="AK57" i="2"/>
  <c r="Q57" i="2"/>
  <c r="AV57" i="2"/>
  <c r="AR57" i="2" s="1"/>
  <c r="AW57" i="2" s="1"/>
  <c r="J129" i="2"/>
  <c r="Z127" i="2"/>
  <c r="AJ130" i="2"/>
  <c r="W130" i="2"/>
  <c r="AA130" i="2"/>
  <c r="AC130" i="2"/>
  <c r="F128" i="2"/>
  <c r="G128" i="2" s="1"/>
  <c r="V128" i="2"/>
  <c r="Y128" i="2" s="1"/>
  <c r="H127" i="2"/>
  <c r="AQ130" i="2"/>
  <c r="A131" i="2"/>
  <c r="D129" i="2"/>
  <c r="U129" i="2" s="1"/>
  <c r="E129" i="2"/>
  <c r="K130" i="2"/>
  <c r="L129" i="2" s="1"/>
  <c r="B131" i="2"/>
  <c r="C130" i="2"/>
  <c r="J130" i="2" s="1"/>
  <c r="AB128" i="2" l="1"/>
  <c r="BC128" i="2"/>
  <c r="AU57" i="2"/>
  <c r="AP131" i="2"/>
  <c r="AM131" i="2"/>
  <c r="AD130" i="2"/>
  <c r="R57" i="2"/>
  <c r="AG57" i="2" s="1"/>
  <c r="O57" i="2"/>
  <c r="P130" i="2"/>
  <c r="AU131" i="2"/>
  <c r="Z128" i="2"/>
  <c r="F129" i="2"/>
  <c r="G129" i="2" s="1"/>
  <c r="V129" i="2"/>
  <c r="Y129" i="2" s="1"/>
  <c r="H128" i="2"/>
  <c r="AC131" i="2"/>
  <c r="AA131" i="2"/>
  <c r="W131" i="2"/>
  <c r="AJ131" i="2"/>
  <c r="AQ131" i="2"/>
  <c r="A132" i="2"/>
  <c r="E130" i="2"/>
  <c r="D130" i="2"/>
  <c r="U130" i="2" s="1"/>
  <c r="B132" i="2"/>
  <c r="K131" i="2"/>
  <c r="L130" i="2" s="1"/>
  <c r="C131" i="2"/>
  <c r="J131" i="2" s="1"/>
  <c r="AB129" i="2" l="1"/>
  <c r="AN58" i="2"/>
  <c r="BC129" i="2"/>
  <c r="AM132" i="2"/>
  <c r="AP132" i="2"/>
  <c r="AD131" i="2"/>
  <c r="P131" i="2"/>
  <c r="X58" i="2"/>
  <c r="I58" i="2"/>
  <c r="AO58" i="2"/>
  <c r="AS58" i="2"/>
  <c r="N58" i="2"/>
  <c r="AH57" i="2"/>
  <c r="AI58" i="2" s="1"/>
  <c r="S58" i="2"/>
  <c r="AE57" i="2"/>
  <c r="T58" i="2"/>
  <c r="M59" i="2" s="1"/>
  <c r="AC132" i="2"/>
  <c r="W132" i="2"/>
  <c r="F130" i="2"/>
  <c r="G130" i="2" s="1"/>
  <c r="V130" i="2"/>
  <c r="Y130" i="2" s="1"/>
  <c r="AQ132" i="2"/>
  <c r="Z129" i="2"/>
  <c r="H129" i="2"/>
  <c r="A133" i="2"/>
  <c r="K132" i="2"/>
  <c r="L131" i="2" s="1"/>
  <c r="C132" i="2"/>
  <c r="P132" i="2" s="1"/>
  <c r="B133" i="2"/>
  <c r="D131" i="2"/>
  <c r="U131" i="2" s="1"/>
  <c r="E131" i="2"/>
  <c r="V131" i="2" s="1"/>
  <c r="AB130" i="2" l="1"/>
  <c r="AL57" i="2"/>
  <c r="BA57" i="2" s="1"/>
  <c r="BC130" i="2"/>
  <c r="BC131" i="2" s="1"/>
  <c r="AT57" i="2"/>
  <c r="BB58" i="2" s="1"/>
  <c r="Y131" i="2"/>
  <c r="AM133" i="2"/>
  <c r="AP133" i="2"/>
  <c r="Q58" i="2"/>
  <c r="O58" i="2" s="1"/>
  <c r="AQ133" i="2"/>
  <c r="AF58" i="2"/>
  <c r="AK58" i="2" s="1"/>
  <c r="J132" i="2"/>
  <c r="H130" i="2"/>
  <c r="F131" i="2"/>
  <c r="G131" i="2" s="1"/>
  <c r="AC133" i="2"/>
  <c r="AJ133" i="2"/>
  <c r="AA133" i="2"/>
  <c r="W133" i="2"/>
  <c r="Z130" i="2"/>
  <c r="A134" i="2"/>
  <c r="C133" i="2"/>
  <c r="P133" i="2" s="1"/>
  <c r="B134" i="2"/>
  <c r="K133" i="2"/>
  <c r="L132" i="2" s="1"/>
  <c r="E132" i="2"/>
  <c r="D132" i="2"/>
  <c r="U132" i="2" s="1"/>
  <c r="AB131" i="2" l="1"/>
  <c r="I59" i="2"/>
  <c r="AN59" i="2"/>
  <c r="AM134" i="2"/>
  <c r="AP134" i="2"/>
  <c r="R58" i="2"/>
  <c r="AS59" i="2"/>
  <c r="N59" i="2"/>
  <c r="X59" i="2"/>
  <c r="AO59" i="2"/>
  <c r="AV58" i="2"/>
  <c r="AR58" i="2" s="1"/>
  <c r="AW58" i="2" s="1"/>
  <c r="AU58" i="2" s="1"/>
  <c r="AQ134" i="2"/>
  <c r="J133" i="2"/>
  <c r="Z131" i="2"/>
  <c r="H131" i="2"/>
  <c r="F132" i="2"/>
  <c r="G132" i="2" s="1"/>
  <c r="V132" i="2"/>
  <c r="AJ134" i="2"/>
  <c r="AA134" i="2"/>
  <c r="AC134" i="2"/>
  <c r="W134" i="2"/>
  <c r="A135" i="2"/>
  <c r="C134" i="2"/>
  <c r="P134" i="2" s="1"/>
  <c r="K134" i="2"/>
  <c r="L133" i="2" s="1"/>
  <c r="B135" i="2"/>
  <c r="D133" i="2"/>
  <c r="U133" i="2" s="1"/>
  <c r="E133" i="2"/>
  <c r="V133" i="2" s="1"/>
  <c r="Y132" i="2" l="1"/>
  <c r="AB132" i="2" s="1"/>
  <c r="BC132" i="2"/>
  <c r="BC133" i="2" s="1"/>
  <c r="AE58" i="2"/>
  <c r="AF59" i="2" s="1"/>
  <c r="AG58" i="2"/>
  <c r="Q59" i="2"/>
  <c r="O59" i="2" s="1"/>
  <c r="Y133" i="2"/>
  <c r="AM135" i="2"/>
  <c r="AP135" i="2"/>
  <c r="S59" i="2"/>
  <c r="AH58" i="2"/>
  <c r="AI59" i="2" s="1"/>
  <c r="T59" i="2"/>
  <c r="M60" i="2" s="1"/>
  <c r="AA132" i="2"/>
  <c r="AD132" i="2" s="1"/>
  <c r="AD133" i="2" s="1"/>
  <c r="AD134" i="2" s="1"/>
  <c r="J134" i="2"/>
  <c r="F133" i="2"/>
  <c r="G133" i="2" s="1"/>
  <c r="AJ135" i="2"/>
  <c r="AA135" i="2"/>
  <c r="W135" i="2"/>
  <c r="AC135" i="2"/>
  <c r="AQ135" i="2"/>
  <c r="H132" i="2"/>
  <c r="A136" i="2"/>
  <c r="B136" i="2"/>
  <c r="C135" i="2"/>
  <c r="P135" i="2" s="1"/>
  <c r="K135" i="2"/>
  <c r="L134" i="2" s="1"/>
  <c r="E134" i="2"/>
  <c r="D134" i="2"/>
  <c r="U134" i="2" s="1"/>
  <c r="Z132" i="2" l="1"/>
  <c r="Z133" i="2" s="1"/>
  <c r="AL58" i="2"/>
  <c r="BA58" i="2" s="1"/>
  <c r="AN60" i="2"/>
  <c r="AB133" i="2"/>
  <c r="AT58" i="2"/>
  <c r="BB59" i="2" s="1"/>
  <c r="AO60" i="2"/>
  <c r="N60" i="2"/>
  <c r="AS60" i="2"/>
  <c r="X60" i="2"/>
  <c r="AM136" i="2"/>
  <c r="AP136" i="2"/>
  <c r="R59" i="2"/>
  <c r="AG59" i="2" s="1"/>
  <c r="I60" i="2"/>
  <c r="AK59" i="2"/>
  <c r="AQ136" i="2"/>
  <c r="AD135" i="2"/>
  <c r="J135" i="2"/>
  <c r="AJ136" i="2"/>
  <c r="AC136" i="2"/>
  <c r="W136" i="2"/>
  <c r="AA136" i="2"/>
  <c r="H133" i="2"/>
  <c r="F134" i="2"/>
  <c r="G134" i="2" s="1"/>
  <c r="V134" i="2"/>
  <c r="A137" i="2"/>
  <c r="D135" i="2"/>
  <c r="U135" i="2" s="1"/>
  <c r="E135" i="2"/>
  <c r="B137" i="2"/>
  <c r="K136" i="2"/>
  <c r="L135" i="2" s="1"/>
  <c r="C136" i="2"/>
  <c r="P136" i="2" s="1"/>
  <c r="Q60" i="2" l="1"/>
  <c r="O60" i="2" s="1"/>
  <c r="AV59" i="2"/>
  <c r="AR59" i="2" s="1"/>
  <c r="AW59" i="2" s="1"/>
  <c r="Y134" i="2"/>
  <c r="AB134" i="2" s="1"/>
  <c r="BC134" i="2"/>
  <c r="AP137" i="2"/>
  <c r="T60" i="2"/>
  <c r="M61" i="2" s="1"/>
  <c r="AE59" i="2"/>
  <c r="S60" i="2"/>
  <c r="AH59" i="2"/>
  <c r="AD136" i="2"/>
  <c r="J136" i="2"/>
  <c r="F135" i="2"/>
  <c r="G135" i="2" s="1"/>
  <c r="V135" i="2"/>
  <c r="Y135" i="2" s="1"/>
  <c r="AJ137" i="2"/>
  <c r="AA137" i="2"/>
  <c r="AC137" i="2"/>
  <c r="W137" i="2"/>
  <c r="AQ137" i="2"/>
  <c r="H134" i="2"/>
  <c r="A138" i="2"/>
  <c r="E136" i="2"/>
  <c r="D136" i="2"/>
  <c r="U136" i="2" s="1"/>
  <c r="B138" i="2"/>
  <c r="K137" i="2"/>
  <c r="L136" i="2" s="1"/>
  <c r="C137" i="2"/>
  <c r="P137" i="2" s="1"/>
  <c r="AB135" i="2" l="1"/>
  <c r="Z134" i="2"/>
  <c r="Z135" i="2" s="1"/>
  <c r="BC135" i="2"/>
  <c r="AN61" i="2"/>
  <c r="AF60" i="2"/>
  <c r="AL59" i="2"/>
  <c r="BA59" i="2" s="1"/>
  <c r="AP138" i="2"/>
  <c r="AJ60" i="2"/>
  <c r="R60" i="2"/>
  <c r="AD137" i="2"/>
  <c r="AQ138" i="2"/>
  <c r="N61" i="2"/>
  <c r="AO61" i="2"/>
  <c r="I61" i="2"/>
  <c r="AS61" i="2"/>
  <c r="X61" i="2"/>
  <c r="J137" i="2"/>
  <c r="H135" i="2"/>
  <c r="AC138" i="2"/>
  <c r="AJ138" i="2"/>
  <c r="W138" i="2"/>
  <c r="AA138" i="2"/>
  <c r="F136" i="2"/>
  <c r="G136" i="2" s="1"/>
  <c r="V136" i="2"/>
  <c r="Y136" i="2" s="1"/>
  <c r="A139" i="2"/>
  <c r="B139" i="2"/>
  <c r="C138" i="2"/>
  <c r="P138" i="2" s="1"/>
  <c r="K138" i="2"/>
  <c r="L137" i="2" s="1"/>
  <c r="E137" i="2"/>
  <c r="D137" i="2"/>
  <c r="U137" i="2" s="1"/>
  <c r="AB136" i="2" l="1"/>
  <c r="BC136" i="2"/>
  <c r="AT59" i="2"/>
  <c r="BB60" i="2" s="1"/>
  <c r="S61" i="2"/>
  <c r="AG60" i="2"/>
  <c r="AM139" i="2"/>
  <c r="AP139" i="2"/>
  <c r="AE60" i="2"/>
  <c r="T61" i="2"/>
  <c r="M62" i="2" s="1"/>
  <c r="AI60" i="2"/>
  <c r="AH60" i="2" s="1"/>
  <c r="AI61" i="2" s="1"/>
  <c r="AD138" i="2"/>
  <c r="Q61" i="2"/>
  <c r="J138" i="2"/>
  <c r="AC139" i="2"/>
  <c r="AJ139" i="2"/>
  <c r="AA139" i="2"/>
  <c r="W139" i="2"/>
  <c r="Z136" i="2"/>
  <c r="AQ139" i="2"/>
  <c r="H136" i="2"/>
  <c r="F137" i="2"/>
  <c r="G137" i="2" s="1"/>
  <c r="V137" i="2"/>
  <c r="Y137" i="2" s="1"/>
  <c r="A140" i="2"/>
  <c r="E138" i="2"/>
  <c r="D138" i="2"/>
  <c r="U138" i="2" s="1"/>
  <c r="K139" i="2"/>
  <c r="L138" i="2" s="1"/>
  <c r="C139" i="2"/>
  <c r="P139" i="2" s="1"/>
  <c r="B140" i="2"/>
  <c r="AB137" i="2" l="1"/>
  <c r="BC137" i="2"/>
  <c r="AF61" i="2"/>
  <c r="AK61" i="2" s="1"/>
  <c r="AL60" i="2"/>
  <c r="AV60" i="2"/>
  <c r="AR60" i="2" s="1"/>
  <c r="AW60" i="2" s="1"/>
  <c r="AU60" i="2" s="1"/>
  <c r="AT60" i="2"/>
  <c r="BB61" i="2" s="1"/>
  <c r="AP140" i="2"/>
  <c r="AM140" i="2"/>
  <c r="AD139" i="2"/>
  <c r="AK60" i="2"/>
  <c r="O61" i="2"/>
  <c r="R61" i="2"/>
  <c r="AG61" i="2" s="1"/>
  <c r="AQ140" i="2"/>
  <c r="J139" i="2"/>
  <c r="F138" i="2"/>
  <c r="G138" i="2" s="1"/>
  <c r="V138" i="2"/>
  <c r="Z137" i="2"/>
  <c r="AC140" i="2"/>
  <c r="AA140" i="2"/>
  <c r="W140" i="2"/>
  <c r="AJ140" i="2"/>
  <c r="H137" i="2"/>
  <c r="A141" i="2"/>
  <c r="B141" i="2"/>
  <c r="K140" i="2"/>
  <c r="L139" i="2" s="1"/>
  <c r="C140" i="2"/>
  <c r="J140" i="2" s="1"/>
  <c r="D139" i="2"/>
  <c r="U139" i="2" s="1"/>
  <c r="E139" i="2"/>
  <c r="AN62" i="2" l="1"/>
  <c r="Y138" i="2"/>
  <c r="AB138" i="2" s="1"/>
  <c r="BC138" i="2"/>
  <c r="AP141" i="2"/>
  <c r="AV61" i="2"/>
  <c r="AR61" i="2" s="1"/>
  <c r="AW61" i="2" s="1"/>
  <c r="AU61" i="2" s="1"/>
  <c r="AD140" i="2"/>
  <c r="BA60" i="2"/>
  <c r="S62" i="2"/>
  <c r="AE61" i="2"/>
  <c r="AH61" i="2"/>
  <c r="AI62" i="2" s="1"/>
  <c r="T62" i="2"/>
  <c r="M63" i="2" s="1"/>
  <c r="X62" i="2"/>
  <c r="AS62" i="2"/>
  <c r="AO62" i="2"/>
  <c r="I62" i="2"/>
  <c r="N62" i="2"/>
  <c r="P140" i="2"/>
  <c r="H138" i="2"/>
  <c r="AC141" i="2"/>
  <c r="AA141" i="2"/>
  <c r="W141" i="2"/>
  <c r="AJ141" i="2"/>
  <c r="AQ141" i="2"/>
  <c r="F139" i="2"/>
  <c r="G139" i="2" s="1"/>
  <c r="V139" i="2"/>
  <c r="Y139" i="2" s="1"/>
  <c r="A142" i="2"/>
  <c r="D140" i="2"/>
  <c r="U140" i="2" s="1"/>
  <c r="E140" i="2"/>
  <c r="V140" i="2" s="1"/>
  <c r="K141" i="2"/>
  <c r="L140" i="2" s="1"/>
  <c r="C141" i="2"/>
  <c r="J141" i="2" s="1"/>
  <c r="B142" i="2"/>
  <c r="Z138" i="2" l="1"/>
  <c r="Z139" i="2" s="1"/>
  <c r="BC139" i="2"/>
  <c r="BC140" i="2" s="1"/>
  <c r="AB139" i="2"/>
  <c r="AL61" i="2"/>
  <c r="BA61" i="2" s="1"/>
  <c r="AT61" i="2"/>
  <c r="BB62" i="2" s="1"/>
  <c r="Y140" i="2"/>
  <c r="AP142" i="2"/>
  <c r="AD141" i="2"/>
  <c r="AF62" i="2"/>
  <c r="AK62" i="2" s="1"/>
  <c r="Q62" i="2"/>
  <c r="P141" i="2"/>
  <c r="F140" i="2"/>
  <c r="G140" i="2" s="1"/>
  <c r="AJ142" i="2"/>
  <c r="AC142" i="2"/>
  <c r="AA142" i="2"/>
  <c r="W142" i="2"/>
  <c r="AQ142" i="2"/>
  <c r="H139" i="2"/>
  <c r="A143" i="2"/>
  <c r="B143" i="2"/>
  <c r="C142" i="2"/>
  <c r="P142" i="2" s="1"/>
  <c r="K142" i="2"/>
  <c r="L141" i="2" s="1"/>
  <c r="E141" i="2"/>
  <c r="D141" i="2"/>
  <c r="U141" i="2" s="1"/>
  <c r="AB140" i="2" l="1"/>
  <c r="H140" i="2"/>
  <c r="AM143" i="2"/>
  <c r="AP143" i="2"/>
  <c r="AD142" i="2"/>
  <c r="Z140" i="2"/>
  <c r="AQ143" i="2"/>
  <c r="O62" i="2"/>
  <c r="R62" i="2"/>
  <c r="AG62" i="2" s="1"/>
  <c r="AV62" i="2"/>
  <c r="AR62" i="2" s="1"/>
  <c r="AW62" i="2" s="1"/>
  <c r="J142" i="2"/>
  <c r="AU143" i="2"/>
  <c r="F141" i="2"/>
  <c r="G141" i="2" s="1"/>
  <c r="V141" i="2"/>
  <c r="AJ143" i="2"/>
  <c r="AC143" i="2"/>
  <c r="AA143" i="2"/>
  <c r="W143" i="2"/>
  <c r="A144" i="2"/>
  <c r="E142" i="2"/>
  <c r="D142" i="2"/>
  <c r="U142" i="2" s="1"/>
  <c r="K143" i="2"/>
  <c r="L142" i="2" s="1"/>
  <c r="B144" i="2"/>
  <c r="C143" i="2"/>
  <c r="J143" i="2" s="1"/>
  <c r="AN63" i="2" l="1"/>
  <c r="Y141" i="2"/>
  <c r="AB141" i="2" s="1"/>
  <c r="BC141" i="2"/>
  <c r="AD143" i="2"/>
  <c r="AQ144" i="2"/>
  <c r="AM144" i="2"/>
  <c r="AP144" i="2"/>
  <c r="AU62" i="2"/>
  <c r="T63" i="2"/>
  <c r="M64" i="2" s="1"/>
  <c r="S63" i="2"/>
  <c r="AH62" i="2"/>
  <c r="AI63" i="2" s="1"/>
  <c r="AE62" i="2"/>
  <c r="AS63" i="2"/>
  <c r="AO63" i="2"/>
  <c r="X63" i="2"/>
  <c r="I63" i="2"/>
  <c r="N63" i="2"/>
  <c r="P143" i="2"/>
  <c r="AC144" i="2"/>
  <c r="W144" i="2"/>
  <c r="H141" i="2"/>
  <c r="F142" i="2"/>
  <c r="G142" i="2" s="1"/>
  <c r="V142" i="2"/>
  <c r="Y142" i="2" s="1"/>
  <c r="A145" i="2"/>
  <c r="E143" i="2"/>
  <c r="D143" i="2"/>
  <c r="U143" i="2" s="1"/>
  <c r="B145" i="2"/>
  <c r="C144" i="2"/>
  <c r="J144" i="2" s="1"/>
  <c r="K144" i="2"/>
  <c r="L143" i="2" s="1"/>
  <c r="AB142" i="2" l="1"/>
  <c r="AL62" i="2"/>
  <c r="BA62" i="2" s="1"/>
  <c r="BC142" i="2"/>
  <c r="Z141" i="2"/>
  <c r="Z142" i="2" s="1"/>
  <c r="AT62" i="2"/>
  <c r="BB63" i="2" s="1"/>
  <c r="AM145" i="2"/>
  <c r="AP145" i="2"/>
  <c r="P144" i="2"/>
  <c r="AF63" i="2"/>
  <c r="AK63" i="2" s="1"/>
  <c r="Q63" i="2"/>
  <c r="O63" i="2" s="1"/>
  <c r="H142" i="2"/>
  <c r="F143" i="2"/>
  <c r="G143" i="2" s="1"/>
  <c r="V143" i="2"/>
  <c r="Y143" i="2" s="1"/>
  <c r="AJ145" i="2"/>
  <c r="AC145" i="2"/>
  <c r="AA145" i="2"/>
  <c r="W145" i="2"/>
  <c r="AQ145" i="2"/>
  <c r="A146" i="2"/>
  <c r="K145" i="2"/>
  <c r="L144" i="2" s="1"/>
  <c r="B146" i="2"/>
  <c r="C145" i="2"/>
  <c r="P145" i="2" s="1"/>
  <c r="D144" i="2"/>
  <c r="U144" i="2" s="1"/>
  <c r="E144" i="2"/>
  <c r="V144" i="2" s="1"/>
  <c r="AB143" i="2" l="1"/>
  <c r="BC143" i="2"/>
  <c r="BC144" i="2" s="1"/>
  <c r="Y144" i="2"/>
  <c r="N64" i="2"/>
  <c r="AN64" i="2"/>
  <c r="AP146" i="2"/>
  <c r="R63" i="2"/>
  <c r="AV63" i="2"/>
  <c r="AR63" i="2" s="1"/>
  <c r="AW63" i="2" s="1"/>
  <c r="AO64" i="2"/>
  <c r="AS64" i="2"/>
  <c r="X64" i="2"/>
  <c r="I64" i="2"/>
  <c r="J145" i="2"/>
  <c r="F144" i="2"/>
  <c r="G144" i="2" s="1"/>
  <c r="AJ146" i="2"/>
  <c r="AA146" i="2"/>
  <c r="W146" i="2"/>
  <c r="AC146" i="2"/>
  <c r="AQ146" i="2"/>
  <c r="Z143" i="2"/>
  <c r="H143" i="2"/>
  <c r="A147" i="2"/>
  <c r="D145" i="2"/>
  <c r="U145" i="2" s="1"/>
  <c r="E145" i="2"/>
  <c r="K146" i="2"/>
  <c r="L145" i="2" s="1"/>
  <c r="B147" i="2"/>
  <c r="C146" i="2"/>
  <c r="J146" i="2" s="1"/>
  <c r="AB144" i="2" l="1"/>
  <c r="S64" i="2"/>
  <c r="AG63" i="2"/>
  <c r="Q64" i="2"/>
  <c r="O64" i="2" s="1"/>
  <c r="H144" i="2"/>
  <c r="AP147" i="2"/>
  <c r="T64" i="2"/>
  <c r="M65" i="2" s="1"/>
  <c r="AE63" i="2"/>
  <c r="AH63" i="2"/>
  <c r="AI64" i="2" s="1"/>
  <c r="P146" i="2"/>
  <c r="AU63" i="2"/>
  <c r="AQ147" i="2"/>
  <c r="Z144" i="2"/>
  <c r="AC147" i="2"/>
  <c r="W147" i="2"/>
  <c r="AJ147" i="2"/>
  <c r="AA147" i="2"/>
  <c r="F145" i="2"/>
  <c r="G145" i="2" s="1"/>
  <c r="V145" i="2"/>
  <c r="Y145" i="2" s="1"/>
  <c r="AA144" i="2"/>
  <c r="AD144" i="2" s="1"/>
  <c r="AD145" i="2" s="1"/>
  <c r="AD146" i="2" s="1"/>
  <c r="A148" i="2"/>
  <c r="D146" i="2"/>
  <c r="U146" i="2" s="1"/>
  <c r="E146" i="2"/>
  <c r="K147" i="2"/>
  <c r="L146" i="2" s="1"/>
  <c r="B148" i="2"/>
  <c r="C147" i="2"/>
  <c r="J147" i="2" s="1"/>
  <c r="AB145" i="2" l="1"/>
  <c r="AN65" i="2"/>
  <c r="AF64" i="2"/>
  <c r="AK64" i="2" s="1"/>
  <c r="AL63" i="2"/>
  <c r="BA63" i="2" s="1"/>
  <c r="BC145" i="2"/>
  <c r="AT63" i="2"/>
  <c r="BB64" i="2" s="1"/>
  <c r="AM148" i="2"/>
  <c r="AP148" i="2"/>
  <c r="R64" i="2"/>
  <c r="T65" i="2" s="1"/>
  <c r="M66" i="2" s="1"/>
  <c r="I65" i="2"/>
  <c r="N65" i="2"/>
  <c r="X65" i="2"/>
  <c r="AS65" i="2"/>
  <c r="AO65" i="2"/>
  <c r="P147" i="2"/>
  <c r="AD147" i="2"/>
  <c r="Z145" i="2"/>
  <c r="H145" i="2"/>
  <c r="F146" i="2"/>
  <c r="G146" i="2" s="1"/>
  <c r="V146" i="2"/>
  <c r="Y146" i="2" s="1"/>
  <c r="AC148" i="2"/>
  <c r="AJ148" i="2"/>
  <c r="W148" i="2"/>
  <c r="AA148" i="2"/>
  <c r="AQ148" i="2"/>
  <c r="A149" i="2"/>
  <c r="C148" i="2"/>
  <c r="P148" i="2" s="1"/>
  <c r="K148" i="2"/>
  <c r="L147" i="2" s="1"/>
  <c r="B149" i="2"/>
  <c r="E147" i="2"/>
  <c r="D147" i="2"/>
  <c r="U147" i="2" s="1"/>
  <c r="AB146" i="2" l="1"/>
  <c r="BC146" i="2"/>
  <c r="AG64" i="2"/>
  <c r="AP149" i="2"/>
  <c r="AH64" i="2"/>
  <c r="AI65" i="2" s="1"/>
  <c r="Q65" i="2"/>
  <c r="O65" i="2" s="1"/>
  <c r="S65" i="2"/>
  <c r="AE64" i="2"/>
  <c r="AV64" i="2"/>
  <c r="AR64" i="2" s="1"/>
  <c r="AW64" i="2" s="1"/>
  <c r="AU64" i="2" s="1"/>
  <c r="AQ149" i="2"/>
  <c r="J148" i="2"/>
  <c r="AD148" i="2"/>
  <c r="H146" i="2"/>
  <c r="AC149" i="2"/>
  <c r="AA149" i="2"/>
  <c r="AJ149" i="2"/>
  <c r="W149" i="2"/>
  <c r="Z146" i="2"/>
  <c r="F147" i="2"/>
  <c r="G147" i="2" s="1"/>
  <c r="V147" i="2"/>
  <c r="Y147" i="2" s="1"/>
  <c r="A150" i="2"/>
  <c r="B150" i="2"/>
  <c r="K149" i="2"/>
  <c r="L148" i="2" s="1"/>
  <c r="C149" i="2"/>
  <c r="P149" i="2" s="1"/>
  <c r="D148" i="2"/>
  <c r="U148" i="2" s="1"/>
  <c r="E148" i="2"/>
  <c r="V148" i="2" s="1"/>
  <c r="AB147" i="2" l="1"/>
  <c r="AT64" i="2"/>
  <c r="BB65" i="2" s="1"/>
  <c r="AN66" i="2"/>
  <c r="BC147" i="2"/>
  <c r="BC148" i="2" s="1"/>
  <c r="AF65" i="2"/>
  <c r="AK65" i="2" s="1"/>
  <c r="AL64" i="2"/>
  <c r="BA64" i="2" s="1"/>
  <c r="Y148" i="2"/>
  <c r="AP150" i="2"/>
  <c r="R65" i="2"/>
  <c r="AG65" i="2" s="1"/>
  <c r="AO66" i="2"/>
  <c r="AS66" i="2"/>
  <c r="X66" i="2"/>
  <c r="I66" i="2"/>
  <c r="N66" i="2"/>
  <c r="AD149" i="2"/>
  <c r="J149" i="2"/>
  <c r="AJ150" i="2"/>
  <c r="AA150" i="2"/>
  <c r="AC150" i="2"/>
  <c r="W150" i="2"/>
  <c r="H147" i="2"/>
  <c r="AQ150" i="2"/>
  <c r="F148" i="2"/>
  <c r="G148" i="2" s="1"/>
  <c r="Z147" i="2"/>
  <c r="A151" i="2"/>
  <c r="E149" i="2"/>
  <c r="D149" i="2"/>
  <c r="U149" i="2" s="1"/>
  <c r="B151" i="2"/>
  <c r="C150" i="2"/>
  <c r="P150" i="2" s="1"/>
  <c r="K150" i="2"/>
  <c r="L149" i="2" s="1"/>
  <c r="AB148" i="2" l="1"/>
  <c r="AV65" i="2"/>
  <c r="AR65" i="2" s="1"/>
  <c r="AW65" i="2" s="1"/>
  <c r="AU65" i="2" s="1"/>
  <c r="AP151" i="2"/>
  <c r="T66" i="2"/>
  <c r="M67" i="2" s="1"/>
  <c r="S66" i="2"/>
  <c r="AE65" i="2"/>
  <c r="AH65" i="2"/>
  <c r="AI66" i="2" s="1"/>
  <c r="Q66" i="2"/>
  <c r="O66" i="2" s="1"/>
  <c r="AD150" i="2"/>
  <c r="J150" i="2"/>
  <c r="Z148" i="2"/>
  <c r="AJ151" i="2"/>
  <c r="AA151" i="2"/>
  <c r="W151" i="2"/>
  <c r="AC151" i="2"/>
  <c r="H148" i="2"/>
  <c r="F149" i="2"/>
  <c r="G149" i="2" s="1"/>
  <c r="V149" i="2"/>
  <c r="AQ151" i="2"/>
  <c r="A152" i="2"/>
  <c r="D150" i="2"/>
  <c r="U150" i="2" s="1"/>
  <c r="E150" i="2"/>
  <c r="V150" i="2" s="1"/>
  <c r="K151" i="2"/>
  <c r="L150" i="2" s="1"/>
  <c r="B152" i="2"/>
  <c r="C151" i="2"/>
  <c r="P151" i="2" s="1"/>
  <c r="AF66" i="2" l="1"/>
  <c r="AK66" i="2" s="1"/>
  <c r="AL65" i="2"/>
  <c r="BA65" i="2" s="1"/>
  <c r="AN67" i="2"/>
  <c r="Y149" i="2"/>
  <c r="AB149" i="2" s="1"/>
  <c r="BC149" i="2"/>
  <c r="BC150" i="2" s="1"/>
  <c r="AT65" i="2"/>
  <c r="BB66" i="2" s="1"/>
  <c r="Y150" i="2"/>
  <c r="AM152" i="2"/>
  <c r="AP152" i="2"/>
  <c r="N67" i="2"/>
  <c r="AD151" i="2"/>
  <c r="R66" i="2"/>
  <c r="AS67" i="2"/>
  <c r="AO67" i="2"/>
  <c r="X67" i="2"/>
  <c r="I67" i="2"/>
  <c r="J151" i="2"/>
  <c r="AQ152" i="2"/>
  <c r="H149" i="2"/>
  <c r="AJ152" i="2"/>
  <c r="AC152" i="2"/>
  <c r="AA152" i="2"/>
  <c r="W152" i="2"/>
  <c r="F150" i="2"/>
  <c r="G150" i="2" s="1"/>
  <c r="A153" i="2"/>
  <c r="C152" i="2"/>
  <c r="P152" i="2" s="1"/>
  <c r="B153" i="2"/>
  <c r="K152" i="2"/>
  <c r="L151" i="2" s="1"/>
  <c r="E151" i="2"/>
  <c r="D151" i="2"/>
  <c r="U151" i="2" s="1"/>
  <c r="Z149" i="2" l="1"/>
  <c r="Z150" i="2" s="1"/>
  <c r="AV66" i="2"/>
  <c r="AR66" i="2" s="1"/>
  <c r="AW66" i="2" s="1"/>
  <c r="AU66" i="2" s="1"/>
  <c r="AB150" i="2"/>
  <c r="T67" i="2"/>
  <c r="M68" i="2" s="1"/>
  <c r="AG66" i="2"/>
  <c r="AP153" i="2"/>
  <c r="AM153" i="2"/>
  <c r="AD152" i="2"/>
  <c r="AE66" i="2"/>
  <c r="AH66" i="2"/>
  <c r="AI67" i="2" s="1"/>
  <c r="S67" i="2"/>
  <c r="Q67" i="2"/>
  <c r="J152" i="2"/>
  <c r="H150" i="2"/>
  <c r="AQ153" i="2"/>
  <c r="F151" i="2"/>
  <c r="G151" i="2" s="1"/>
  <c r="V151" i="2"/>
  <c r="Y151" i="2" s="1"/>
  <c r="AJ153" i="2"/>
  <c r="W153" i="2"/>
  <c r="AC153" i="2"/>
  <c r="AA153" i="2"/>
  <c r="A154" i="2"/>
  <c r="B154" i="2"/>
  <c r="K153" i="2"/>
  <c r="L152" i="2" s="1"/>
  <c r="C153" i="2"/>
  <c r="P153" i="2" s="1"/>
  <c r="D152" i="2"/>
  <c r="U152" i="2" s="1"/>
  <c r="E152" i="2"/>
  <c r="AB151" i="2" l="1"/>
  <c r="AT66" i="2"/>
  <c r="BB67" i="2" s="1"/>
  <c r="AL66" i="2"/>
  <c r="BA66" i="2" s="1"/>
  <c r="BC151" i="2"/>
  <c r="AM154" i="2"/>
  <c r="AP154" i="2"/>
  <c r="AD153" i="2"/>
  <c r="AF67" i="2"/>
  <c r="AK67" i="2" s="1"/>
  <c r="O67" i="2"/>
  <c r="R67" i="2"/>
  <c r="AG67" i="2" s="1"/>
  <c r="AQ154" i="2"/>
  <c r="J153" i="2"/>
  <c r="F152" i="2"/>
  <c r="G152" i="2" s="1"/>
  <c r="V152" i="2"/>
  <c r="Y152" i="2" s="1"/>
  <c r="H151" i="2"/>
  <c r="AC154" i="2"/>
  <c r="AJ154" i="2"/>
  <c r="AA154" i="2"/>
  <c r="W154" i="2"/>
  <c r="Z151" i="2"/>
  <c r="A155" i="2"/>
  <c r="E153" i="2"/>
  <c r="D153" i="2"/>
  <c r="U153" i="2" s="1"/>
  <c r="C154" i="2"/>
  <c r="P154" i="2" s="1"/>
  <c r="B155" i="2"/>
  <c r="K154" i="2"/>
  <c r="L153" i="2" s="1"/>
  <c r="AB152" i="2" l="1"/>
  <c r="BC152" i="2"/>
  <c r="AN68" i="2"/>
  <c r="AP155" i="2"/>
  <c r="AD154" i="2"/>
  <c r="AV67" i="2"/>
  <c r="AR67" i="2" s="1"/>
  <c r="AW67" i="2" s="1"/>
  <c r="AU67" i="2" s="1"/>
  <c r="S68" i="2"/>
  <c r="AH67" i="2"/>
  <c r="AI68" i="2" s="1"/>
  <c r="AE67" i="2"/>
  <c r="T68" i="2"/>
  <c r="M69" i="2" s="1"/>
  <c r="AS68" i="2"/>
  <c r="X68" i="2"/>
  <c r="AO68" i="2"/>
  <c r="N68" i="2"/>
  <c r="I68" i="2"/>
  <c r="J154" i="2"/>
  <c r="AQ155" i="2"/>
  <c r="AU155" i="2"/>
  <c r="H152" i="2"/>
  <c r="F153" i="2"/>
  <c r="G153" i="2" s="1"/>
  <c r="V153" i="2"/>
  <c r="Y153" i="2" s="1"/>
  <c r="Z152" i="2"/>
  <c r="AC155" i="2"/>
  <c r="AJ155" i="2"/>
  <c r="W155" i="2"/>
  <c r="AA155" i="2"/>
  <c r="A156" i="2"/>
  <c r="K155" i="2"/>
  <c r="L154" i="2" s="1"/>
  <c r="B156" i="2"/>
  <c r="C155" i="2"/>
  <c r="J155" i="2" s="1"/>
  <c r="E154" i="2"/>
  <c r="D154" i="2"/>
  <c r="U154" i="2" s="1"/>
  <c r="AT67" i="2" l="1"/>
  <c r="BB68" i="2" s="1"/>
  <c r="AB153" i="2"/>
  <c r="AL67" i="2"/>
  <c r="BA67" i="2" s="1"/>
  <c r="BC153" i="2"/>
  <c r="AP156" i="2"/>
  <c r="AM156" i="2"/>
  <c r="AD155" i="2"/>
  <c r="P155" i="2"/>
  <c r="AF68" i="2"/>
  <c r="AK68" i="2" s="1"/>
  <c r="Q68" i="2"/>
  <c r="AQ156" i="2"/>
  <c r="F154" i="2"/>
  <c r="G154" i="2" s="1"/>
  <c r="V154" i="2"/>
  <c r="Y154" i="2" s="1"/>
  <c r="H153" i="2"/>
  <c r="Z153" i="2"/>
  <c r="AC156" i="2"/>
  <c r="W156" i="2"/>
  <c r="A157" i="2"/>
  <c r="D155" i="2"/>
  <c r="U155" i="2" s="1"/>
  <c r="E155" i="2"/>
  <c r="K156" i="2"/>
  <c r="L155" i="2" s="1"/>
  <c r="B157" i="2"/>
  <c r="C156" i="2"/>
  <c r="J156" i="2" s="1"/>
  <c r="AB154" i="2" l="1"/>
  <c r="BC154" i="2"/>
  <c r="AM157" i="2"/>
  <c r="AP157" i="2"/>
  <c r="AV68" i="2"/>
  <c r="AR68" i="2" s="1"/>
  <c r="AW68" i="2" s="1"/>
  <c r="O68" i="2"/>
  <c r="R68" i="2"/>
  <c r="AG68" i="2" s="1"/>
  <c r="Z154" i="2"/>
  <c r="AC157" i="2"/>
  <c r="AJ157" i="2"/>
  <c r="AA157" i="2"/>
  <c r="W157" i="2"/>
  <c r="P156" i="2"/>
  <c r="H154" i="2"/>
  <c r="F155" i="2"/>
  <c r="G155" i="2" s="1"/>
  <c r="V155" i="2"/>
  <c r="Y155" i="2" s="1"/>
  <c r="AQ157" i="2"/>
  <c r="A158" i="2"/>
  <c r="D156" i="2"/>
  <c r="U156" i="2" s="1"/>
  <c r="E156" i="2"/>
  <c r="K157" i="2"/>
  <c r="L156" i="2" s="1"/>
  <c r="B158" i="2"/>
  <c r="C157" i="2"/>
  <c r="P157" i="2" s="1"/>
  <c r="AB155" i="2" l="1"/>
  <c r="AN69" i="2"/>
  <c r="BC155" i="2"/>
  <c r="AM158" i="2"/>
  <c r="AP158" i="2"/>
  <c r="AU68" i="2"/>
  <c r="S69" i="2"/>
  <c r="AE68" i="2"/>
  <c r="AH68" i="2"/>
  <c r="AI69" i="2" s="1"/>
  <c r="T69" i="2"/>
  <c r="M70" i="2" s="1"/>
  <c r="AO69" i="2"/>
  <c r="I69" i="2"/>
  <c r="AS69" i="2"/>
  <c r="X69" i="2"/>
  <c r="N69" i="2"/>
  <c r="J157" i="2"/>
  <c r="AQ158" i="2"/>
  <c r="AA158" i="2"/>
  <c r="AC158" i="2"/>
  <c r="AJ158" i="2"/>
  <c r="W158" i="2"/>
  <c r="F156" i="2"/>
  <c r="G156" i="2" s="1"/>
  <c r="V156" i="2"/>
  <c r="Y156" i="2" s="1"/>
  <c r="H155" i="2"/>
  <c r="Z155" i="2"/>
  <c r="A159" i="2"/>
  <c r="E157" i="2"/>
  <c r="D157" i="2"/>
  <c r="U157" i="2" s="1"/>
  <c r="B159" i="2"/>
  <c r="C158" i="2"/>
  <c r="P158" i="2" s="1"/>
  <c r="K158" i="2"/>
  <c r="L157" i="2" s="1"/>
  <c r="AB156" i="2" l="1"/>
  <c r="AL68" i="2"/>
  <c r="BA68" i="2" s="1"/>
  <c r="BC156" i="2"/>
  <c r="AT68" i="2"/>
  <c r="BB69" i="2" s="1"/>
  <c r="AM69" i="2"/>
  <c r="AM159" i="2"/>
  <c r="AP159" i="2"/>
  <c r="Q69" i="2"/>
  <c r="O69" i="2" s="1"/>
  <c r="AF69" i="2"/>
  <c r="AK69" i="2" s="1"/>
  <c r="AQ159" i="2"/>
  <c r="J158" i="2"/>
  <c r="AA156" i="2"/>
  <c r="AD156" i="2" s="1"/>
  <c r="AD157" i="2" s="1"/>
  <c r="AD158" i="2" s="1"/>
  <c r="H156" i="2"/>
  <c r="AA159" i="2"/>
  <c r="AC159" i="2"/>
  <c r="AJ159" i="2"/>
  <c r="W159" i="2"/>
  <c r="F157" i="2"/>
  <c r="G157" i="2" s="1"/>
  <c r="V157" i="2"/>
  <c r="Y157" i="2" s="1"/>
  <c r="Z156" i="2"/>
  <c r="A160" i="2"/>
  <c r="D158" i="2"/>
  <c r="U158" i="2" s="1"/>
  <c r="E158" i="2"/>
  <c r="K159" i="2"/>
  <c r="L158" i="2" s="1"/>
  <c r="B160" i="2"/>
  <c r="C159" i="2"/>
  <c r="P159" i="2" s="1"/>
  <c r="AB157" i="2" l="1"/>
  <c r="AV69" i="2"/>
  <c r="AR69" i="2" s="1"/>
  <c r="AW69" i="2" s="1"/>
  <c r="AU69" i="2" s="1"/>
  <c r="BC157" i="2"/>
  <c r="N70" i="2"/>
  <c r="AN70" i="2"/>
  <c r="AP160" i="2"/>
  <c r="R69" i="2"/>
  <c r="AO70" i="2"/>
  <c r="X70" i="2"/>
  <c r="I70" i="2"/>
  <c r="AS70" i="2"/>
  <c r="J159" i="2"/>
  <c r="AD159" i="2"/>
  <c r="Z157" i="2"/>
  <c r="H157" i="2"/>
  <c r="F158" i="2"/>
  <c r="G158" i="2" s="1"/>
  <c r="V158" i="2"/>
  <c r="Y158" i="2" s="1"/>
  <c r="AJ160" i="2"/>
  <c r="AC160" i="2"/>
  <c r="AA160" i="2"/>
  <c r="W160" i="2"/>
  <c r="B161" i="2"/>
  <c r="AQ160" i="2"/>
  <c r="A161" i="2"/>
  <c r="K160" i="2"/>
  <c r="L159" i="2" s="1"/>
  <c r="C160" i="2"/>
  <c r="P160" i="2" s="1"/>
  <c r="E159" i="2"/>
  <c r="D159" i="2"/>
  <c r="U159" i="2" s="1"/>
  <c r="AB158" i="2" l="1"/>
  <c r="BC158" i="2"/>
  <c r="AH69" i="2"/>
  <c r="AI70" i="2" s="1"/>
  <c r="AG69" i="2"/>
  <c r="AP161" i="2"/>
  <c r="AM161" i="2"/>
  <c r="AD160" i="2"/>
  <c r="AE69" i="2"/>
  <c r="S70" i="2"/>
  <c r="T70" i="2"/>
  <c r="M71" i="2" s="1"/>
  <c r="Q70" i="2"/>
  <c r="J160" i="2"/>
  <c r="AQ161" i="2"/>
  <c r="F159" i="2"/>
  <c r="G159" i="2" s="1"/>
  <c r="V159" i="2"/>
  <c r="Y159" i="2" s="1"/>
  <c r="Z158" i="2"/>
  <c r="B162" i="2"/>
  <c r="AJ161" i="2"/>
  <c r="AA161" i="2"/>
  <c r="AC161" i="2"/>
  <c r="W161" i="2"/>
  <c r="K161" i="2"/>
  <c r="L160" i="2" s="1"/>
  <c r="C161" i="2"/>
  <c r="J161" i="2" s="1"/>
  <c r="H158" i="2"/>
  <c r="A162" i="2"/>
  <c r="D160" i="2"/>
  <c r="U160" i="2" s="1"/>
  <c r="E160" i="2"/>
  <c r="AB159" i="2" l="1"/>
  <c r="BC159" i="2"/>
  <c r="AL69" i="2"/>
  <c r="BA69" i="2" s="1"/>
  <c r="AT69" i="2"/>
  <c r="BB70" i="2" s="1"/>
  <c r="AD161" i="2"/>
  <c r="AP162" i="2"/>
  <c r="AF70" i="2"/>
  <c r="AK70" i="2" s="1"/>
  <c r="R70" i="2"/>
  <c r="T71" i="2" s="1"/>
  <c r="M72" i="2" s="1"/>
  <c r="O70" i="2"/>
  <c r="AQ162" i="2"/>
  <c r="H159" i="2"/>
  <c r="B163" i="2"/>
  <c r="AJ162" i="2"/>
  <c r="W162" i="2"/>
  <c r="AA162" i="2"/>
  <c r="AC162" i="2"/>
  <c r="K162" i="2"/>
  <c r="L161" i="2" s="1"/>
  <c r="C162" i="2"/>
  <c r="P162" i="2" s="1"/>
  <c r="E161" i="2"/>
  <c r="V161" i="2" s="1"/>
  <c r="D161" i="2"/>
  <c r="U161" i="2" s="1"/>
  <c r="Z159" i="2"/>
  <c r="F160" i="2"/>
  <c r="G160" i="2" s="1"/>
  <c r="V160" i="2"/>
  <c r="Y160" i="2" s="1"/>
  <c r="P161" i="2"/>
  <c r="A163" i="2"/>
  <c r="AB160" i="2" l="1"/>
  <c r="AN71" i="2"/>
  <c r="AV70" i="2"/>
  <c r="AR70" i="2" s="1"/>
  <c r="AW70" i="2" s="1"/>
  <c r="AU70" i="2" s="1"/>
  <c r="BC160" i="2"/>
  <c r="BC161" i="2" s="1"/>
  <c r="AG70" i="2"/>
  <c r="Y161" i="2"/>
  <c r="AD162" i="2"/>
  <c r="AP163" i="2"/>
  <c r="AE70" i="2"/>
  <c r="AH70" i="2"/>
  <c r="AI71" i="2" s="1"/>
  <c r="S71" i="2"/>
  <c r="X71" i="2"/>
  <c r="AS71" i="2"/>
  <c r="AO71" i="2"/>
  <c r="I71" i="2"/>
  <c r="N71" i="2"/>
  <c r="J162" i="2"/>
  <c r="AQ163" i="2"/>
  <c r="Z160" i="2"/>
  <c r="F161" i="2"/>
  <c r="G161" i="2" s="1"/>
  <c r="H160" i="2"/>
  <c r="B164" i="2"/>
  <c r="AC163" i="2"/>
  <c r="AJ163" i="2"/>
  <c r="AA163" i="2"/>
  <c r="W163" i="2"/>
  <c r="K163" i="2"/>
  <c r="L162" i="2" s="1"/>
  <c r="C163" i="2"/>
  <c r="P163" i="2" s="1"/>
  <c r="E162" i="2"/>
  <c r="V162" i="2" s="1"/>
  <c r="D162" i="2"/>
  <c r="U162" i="2" s="1"/>
  <c r="A164" i="2"/>
  <c r="AB161" i="2" l="1"/>
  <c r="BC162" i="2"/>
  <c r="AF71" i="2"/>
  <c r="AK71" i="2" s="1"/>
  <c r="AL70" i="2"/>
  <c r="BA70" i="2" s="1"/>
  <c r="AT70" i="2"/>
  <c r="BB71" i="2" s="1"/>
  <c r="Y162" i="2"/>
  <c r="AD163" i="2"/>
  <c r="AM164" i="2"/>
  <c r="AP164" i="2"/>
  <c r="J163" i="2"/>
  <c r="Q71" i="2"/>
  <c r="R71" i="2" s="1"/>
  <c r="BE76" i="2" s="1"/>
  <c r="F162" i="2"/>
  <c r="G162" i="2" s="1"/>
  <c r="Z161" i="2"/>
  <c r="H161" i="2"/>
  <c r="B165" i="2"/>
  <c r="AC164" i="2"/>
  <c r="W164" i="2"/>
  <c r="AJ164" i="2"/>
  <c r="AA164" i="2"/>
  <c r="C164" i="2"/>
  <c r="J164" i="2" s="1"/>
  <c r="K164" i="2"/>
  <c r="L163" i="2" s="1"/>
  <c r="AQ164" i="2"/>
  <c r="D163" i="2"/>
  <c r="U163" i="2" s="1"/>
  <c r="E163" i="2"/>
  <c r="V163" i="2" s="1"/>
  <c r="A165" i="2"/>
  <c r="BC163" i="2" l="1"/>
  <c r="AB162" i="2"/>
  <c r="AG71" i="2"/>
  <c r="AD164" i="2"/>
  <c r="Y163" i="2"/>
  <c r="H162" i="2"/>
  <c r="AP165" i="2"/>
  <c r="AM165" i="2"/>
  <c r="AQ165" i="2"/>
  <c r="AV71" i="2"/>
  <c r="AR71" i="2" s="1"/>
  <c r="AW71" i="2" s="1"/>
  <c r="F163" i="2"/>
  <c r="G163" i="2" s="1"/>
  <c r="S72" i="2"/>
  <c r="AH71" i="2"/>
  <c r="BF76" i="2" s="1"/>
  <c r="AE71" i="2"/>
  <c r="T72" i="2"/>
  <c r="M73" i="2" s="1"/>
  <c r="O71" i="2"/>
  <c r="Z162" i="2"/>
  <c r="E164" i="2"/>
  <c r="V164" i="2" s="1"/>
  <c r="D164" i="2"/>
  <c r="U164" i="2" s="1"/>
  <c r="P164" i="2"/>
  <c r="B166" i="2"/>
  <c r="AC165" i="2"/>
  <c r="AJ165" i="2"/>
  <c r="AA165" i="2"/>
  <c r="W165" i="2"/>
  <c r="C165" i="2"/>
  <c r="P165" i="2" s="1"/>
  <c r="K165" i="2"/>
  <c r="L164" i="2" s="1"/>
  <c r="A166" i="2"/>
  <c r="BC164" i="2" l="1"/>
  <c r="AB163" i="2"/>
  <c r="AL71" i="2"/>
  <c r="BA71" i="2" s="1"/>
  <c r="AN72" i="2"/>
  <c r="AD165" i="2"/>
  <c r="Y164" i="2"/>
  <c r="H163" i="2"/>
  <c r="BE75" i="2"/>
  <c r="AM72" i="2"/>
  <c r="BE72" i="2"/>
  <c r="AP166" i="2"/>
  <c r="X72" i="2"/>
  <c r="AO72" i="2"/>
  <c r="AS72" i="2"/>
  <c r="I72" i="2"/>
  <c r="N72" i="2"/>
  <c r="Z163" i="2"/>
  <c r="AF72" i="2"/>
  <c r="AJ72" i="2"/>
  <c r="AT71" i="2" s="1"/>
  <c r="J165" i="2"/>
  <c r="AQ166" i="2"/>
  <c r="B167" i="2"/>
  <c r="AA166" i="2"/>
  <c r="AC166" i="2"/>
  <c r="AJ166" i="2"/>
  <c r="W166" i="2"/>
  <c r="C166" i="2"/>
  <c r="J166" i="2" s="1"/>
  <c r="K166" i="2"/>
  <c r="L165" i="2" s="1"/>
  <c r="F164" i="2"/>
  <c r="G164" i="2" s="1"/>
  <c r="E165" i="2"/>
  <c r="V165" i="2" s="1"/>
  <c r="BC165" i="2" s="1"/>
  <c r="D165" i="2"/>
  <c r="U165" i="2" s="1"/>
  <c r="A167" i="2"/>
  <c r="AB164" i="2" l="1"/>
  <c r="BB72" i="2"/>
  <c r="AD166" i="2"/>
  <c r="Y165" i="2"/>
  <c r="AP167" i="2"/>
  <c r="Q72" i="2"/>
  <c r="AI72" i="2"/>
  <c r="AK72" i="2" s="1"/>
  <c r="AV72" i="2"/>
  <c r="AR72" i="2" s="1"/>
  <c r="AW72" i="2" s="1"/>
  <c r="Z164" i="2"/>
  <c r="AQ167" i="2"/>
  <c r="AU167" i="2"/>
  <c r="E166" i="2"/>
  <c r="V166" i="2" s="1"/>
  <c r="BC166" i="2" s="1"/>
  <c r="D166" i="2"/>
  <c r="U166" i="2" s="1"/>
  <c r="F165" i="2"/>
  <c r="G165" i="2" s="1"/>
  <c r="B168" i="2"/>
  <c r="AJ167" i="2"/>
  <c r="AA167" i="2"/>
  <c r="W167" i="2"/>
  <c r="AC167" i="2"/>
  <c r="K167" i="2"/>
  <c r="L166" i="2" s="1"/>
  <c r="C167" i="2"/>
  <c r="J167" i="2" s="1"/>
  <c r="P166" i="2"/>
  <c r="H164" i="2"/>
  <c r="A168" i="2"/>
  <c r="AD167" i="2" l="1"/>
  <c r="AB165" i="2"/>
  <c r="Y166" i="2"/>
  <c r="AM168" i="2"/>
  <c r="AP168" i="2"/>
  <c r="AU72" i="2"/>
  <c r="AQ168" i="2"/>
  <c r="O72" i="2"/>
  <c r="R72" i="2"/>
  <c r="AG72" i="2" s="1"/>
  <c r="Z165" i="2"/>
  <c r="P167" i="2"/>
  <c r="F166" i="2"/>
  <c r="G166" i="2" s="1"/>
  <c r="B169" i="2"/>
  <c r="AC168" i="2"/>
  <c r="W168" i="2"/>
  <c r="K168" i="2"/>
  <c r="L167" i="2" s="1"/>
  <c r="C168" i="2"/>
  <c r="J168" i="2" s="1"/>
  <c r="H165" i="2"/>
  <c r="D167" i="2"/>
  <c r="U167" i="2" s="1"/>
  <c r="E167" i="2"/>
  <c r="V167" i="2" s="1"/>
  <c r="BC167" i="2" s="1"/>
  <c r="A169" i="2"/>
  <c r="AB166" i="2" l="1"/>
  <c r="AN73" i="2"/>
  <c r="Y167" i="2"/>
  <c r="AP169" i="2"/>
  <c r="AQ169" i="2"/>
  <c r="S73" i="2"/>
  <c r="AE72" i="2"/>
  <c r="T73" i="2"/>
  <c r="M74" i="2" s="1"/>
  <c r="Z166" i="2"/>
  <c r="X73" i="2"/>
  <c r="AO73" i="2"/>
  <c r="I73" i="2"/>
  <c r="AS73" i="2"/>
  <c r="N73" i="2"/>
  <c r="AH72" i="2"/>
  <c r="AI73" i="2" s="1"/>
  <c r="P168" i="2"/>
  <c r="H166" i="2"/>
  <c r="B170" i="2"/>
  <c r="AJ169" i="2"/>
  <c r="AA169" i="2"/>
  <c r="AC169" i="2"/>
  <c r="W169" i="2"/>
  <c r="K169" i="2"/>
  <c r="L168" i="2" s="1"/>
  <c r="C169" i="2"/>
  <c r="P169" i="2" s="1"/>
  <c r="D168" i="2"/>
  <c r="U168" i="2" s="1"/>
  <c r="E168" i="2"/>
  <c r="V168" i="2" s="1"/>
  <c r="BC168" i="2" s="1"/>
  <c r="F167" i="2"/>
  <c r="G167" i="2" s="1"/>
  <c r="A170" i="2"/>
  <c r="AB167" i="2" l="1"/>
  <c r="AL72" i="2"/>
  <c r="BA72" i="2" s="1"/>
  <c r="AT72" i="2"/>
  <c r="BB73" i="2" s="1"/>
  <c r="Y168" i="2"/>
  <c r="AP170" i="2"/>
  <c r="J169" i="2"/>
  <c r="Q73" i="2"/>
  <c r="O73" i="2" s="1"/>
  <c r="AF73" i="2"/>
  <c r="AK73" i="2" s="1"/>
  <c r="Z167" i="2"/>
  <c r="H167" i="2"/>
  <c r="B171" i="2"/>
  <c r="AJ170" i="2"/>
  <c r="AC170" i="2"/>
  <c r="W170" i="2"/>
  <c r="AA170" i="2"/>
  <c r="K170" i="2"/>
  <c r="L169" i="2" s="1"/>
  <c r="C170" i="2"/>
  <c r="P170" i="2" s="1"/>
  <c r="AQ170" i="2"/>
  <c r="E169" i="2"/>
  <c r="V169" i="2" s="1"/>
  <c r="BC169" i="2" s="1"/>
  <c r="D169" i="2"/>
  <c r="U169" i="2" s="1"/>
  <c r="F168" i="2"/>
  <c r="G168" i="2" s="1"/>
  <c r="A171" i="2"/>
  <c r="AB168" i="2" l="1"/>
  <c r="Y169" i="2"/>
  <c r="N74" i="2"/>
  <c r="AN74" i="2"/>
  <c r="AM171" i="2"/>
  <c r="AP171" i="2"/>
  <c r="R73" i="2"/>
  <c r="AG73" i="2" s="1"/>
  <c r="Z168" i="2"/>
  <c r="AA168" i="2"/>
  <c r="AD168" i="2" s="1"/>
  <c r="AD169" i="2" s="1"/>
  <c r="AD170" i="2" s="1"/>
  <c r="AV73" i="2"/>
  <c r="AR73" i="2" s="1"/>
  <c r="AW73" i="2" s="1"/>
  <c r="X74" i="2"/>
  <c r="I74" i="2"/>
  <c r="AS74" i="2"/>
  <c r="AO74" i="2"/>
  <c r="AQ171" i="2"/>
  <c r="J170" i="2"/>
  <c r="F169" i="2"/>
  <c r="G169" i="2" s="1"/>
  <c r="B172" i="2"/>
  <c r="AC171" i="2"/>
  <c r="AJ171" i="2"/>
  <c r="W171" i="2"/>
  <c r="AA171" i="2"/>
  <c r="K171" i="2"/>
  <c r="L170" i="2" s="1"/>
  <c r="C171" i="2"/>
  <c r="J171" i="2" s="1"/>
  <c r="H168" i="2"/>
  <c r="E170" i="2"/>
  <c r="V170" i="2" s="1"/>
  <c r="BC170" i="2" s="1"/>
  <c r="D170" i="2"/>
  <c r="U170" i="2" s="1"/>
  <c r="A172" i="2"/>
  <c r="AB169" i="2" l="1"/>
  <c r="Q74" i="2"/>
  <c r="O74" i="2" s="1"/>
  <c r="Y170" i="2"/>
  <c r="H169" i="2"/>
  <c r="AP172" i="2"/>
  <c r="AU73" i="2"/>
  <c r="S74" i="2"/>
  <c r="T74" i="2"/>
  <c r="M75" i="2" s="1"/>
  <c r="AH73" i="2"/>
  <c r="AI74" i="2" s="1"/>
  <c r="AE73" i="2"/>
  <c r="AD171" i="2"/>
  <c r="Z169" i="2"/>
  <c r="P171" i="2"/>
  <c r="F170" i="2"/>
  <c r="G170" i="2" s="1"/>
  <c r="B173" i="2"/>
  <c r="AC172" i="2"/>
  <c r="AJ172" i="2"/>
  <c r="AA172" i="2"/>
  <c r="W172" i="2"/>
  <c r="C172" i="2"/>
  <c r="J172" i="2" s="1"/>
  <c r="K172" i="2"/>
  <c r="L171" i="2" s="1"/>
  <c r="E171" i="2"/>
  <c r="V171" i="2" s="1"/>
  <c r="BC171" i="2" s="1"/>
  <c r="D171" i="2"/>
  <c r="U171" i="2" s="1"/>
  <c r="AQ172" i="2"/>
  <c r="A173" i="2"/>
  <c r="AB170" i="2" l="1"/>
  <c r="AN75" i="2"/>
  <c r="AF74" i="2"/>
  <c r="AK74" i="2" s="1"/>
  <c r="AL73" i="2"/>
  <c r="BA73" i="2" s="1"/>
  <c r="AT73" i="2"/>
  <c r="BB74" i="2" s="1"/>
  <c r="Y171" i="2"/>
  <c r="H170" i="2"/>
  <c r="AP173" i="2"/>
  <c r="AD172" i="2"/>
  <c r="R74" i="2"/>
  <c r="AG74" i="2" s="1"/>
  <c r="X75" i="2"/>
  <c r="AO75" i="2"/>
  <c r="AS75" i="2"/>
  <c r="I75" i="2"/>
  <c r="N75" i="2"/>
  <c r="Z170" i="2"/>
  <c r="B174" i="2"/>
  <c r="AC173" i="2"/>
  <c r="AJ173" i="2"/>
  <c r="W173" i="2"/>
  <c r="AA173" i="2"/>
  <c r="C173" i="2"/>
  <c r="J173" i="2" s="1"/>
  <c r="K173" i="2"/>
  <c r="L172" i="2" s="1"/>
  <c r="E172" i="2"/>
  <c r="V172" i="2" s="1"/>
  <c r="BC172" i="2" s="1"/>
  <c r="D172" i="2"/>
  <c r="U172" i="2" s="1"/>
  <c r="AQ173" i="2"/>
  <c r="P172" i="2"/>
  <c r="F171" i="2"/>
  <c r="G171" i="2" s="1"/>
  <c r="A174" i="2"/>
  <c r="AB171" i="2" l="1"/>
  <c r="Y172" i="2"/>
  <c r="AP174" i="2"/>
  <c r="AM174" i="2"/>
  <c r="AD173" i="2"/>
  <c r="Q75" i="2"/>
  <c r="O75" i="2" s="1"/>
  <c r="AV74" i="2"/>
  <c r="AR74" i="2" s="1"/>
  <c r="AW74" i="2" s="1"/>
  <c r="AU74" i="2" s="1"/>
  <c r="T75" i="2"/>
  <c r="M76" i="2" s="1"/>
  <c r="AE74" i="2"/>
  <c r="AH74" i="2"/>
  <c r="AI75" i="2" s="1"/>
  <c r="S75" i="2"/>
  <c r="Z171" i="2"/>
  <c r="P173" i="2"/>
  <c r="F172" i="2"/>
  <c r="G172" i="2" s="1"/>
  <c r="H171" i="2"/>
  <c r="B175" i="2"/>
  <c r="AJ174" i="2"/>
  <c r="AC174" i="2"/>
  <c r="AA174" i="2"/>
  <c r="W174" i="2"/>
  <c r="C174" i="2"/>
  <c r="J174" i="2" s="1"/>
  <c r="K174" i="2"/>
  <c r="L173" i="2" s="1"/>
  <c r="AQ174" i="2"/>
  <c r="E173" i="2"/>
  <c r="V173" i="2" s="1"/>
  <c r="BC173" i="2" s="1"/>
  <c r="D173" i="2"/>
  <c r="U173" i="2" s="1"/>
  <c r="A175" i="2"/>
  <c r="AB172" i="2" l="1"/>
  <c r="AF75" i="2"/>
  <c r="AK75" i="2" s="1"/>
  <c r="AL74" i="2"/>
  <c r="BA74" i="2" s="1"/>
  <c r="AT74" i="2"/>
  <c r="BB75" i="2" s="1"/>
  <c r="Y173" i="2"/>
  <c r="H172" i="2"/>
  <c r="AO76" i="2"/>
  <c r="AN76" i="2"/>
  <c r="AQ175" i="2"/>
  <c r="AP175" i="2"/>
  <c r="AD174" i="2"/>
  <c r="R75" i="2"/>
  <c r="Z172" i="2"/>
  <c r="AS76" i="2"/>
  <c r="I76" i="2"/>
  <c r="N76" i="2"/>
  <c r="X76" i="2"/>
  <c r="F173" i="2"/>
  <c r="G173" i="2" s="1"/>
  <c r="B176" i="2"/>
  <c r="AA175" i="2"/>
  <c r="AC175" i="2"/>
  <c r="AJ175" i="2"/>
  <c r="W175" i="2"/>
  <c r="K175" i="2"/>
  <c r="L174" i="2" s="1"/>
  <c r="C175" i="2"/>
  <c r="P175" i="2" s="1"/>
  <c r="D174" i="2"/>
  <c r="U174" i="2" s="1"/>
  <c r="E174" i="2"/>
  <c r="V174" i="2" s="1"/>
  <c r="BC174" i="2" s="1"/>
  <c r="P174" i="2"/>
  <c r="A176" i="2"/>
  <c r="AB173" i="2" l="1"/>
  <c r="T76" i="2"/>
  <c r="M77" i="2" s="1"/>
  <c r="AG75" i="2"/>
  <c r="Y174" i="2"/>
  <c r="H173" i="2"/>
  <c r="AD175" i="2"/>
  <c r="AM176" i="2"/>
  <c r="AP176" i="2"/>
  <c r="AH75" i="2"/>
  <c r="AI76" i="2" s="1"/>
  <c r="S76" i="2"/>
  <c r="AE75" i="2"/>
  <c r="AV75" i="2"/>
  <c r="AR75" i="2" s="1"/>
  <c r="AW75" i="2" s="1"/>
  <c r="Q76" i="2"/>
  <c r="Z173" i="2"/>
  <c r="J175" i="2"/>
  <c r="AQ176" i="2"/>
  <c r="F174" i="2"/>
  <c r="G174" i="2" s="1"/>
  <c r="D175" i="2"/>
  <c r="U175" i="2" s="1"/>
  <c r="E175" i="2"/>
  <c r="V175" i="2" s="1"/>
  <c r="BC175" i="2" s="1"/>
  <c r="B177" i="2"/>
  <c r="AC176" i="2"/>
  <c r="AA176" i="2"/>
  <c r="AJ176" i="2"/>
  <c r="W176" i="2"/>
  <c r="C176" i="2"/>
  <c r="J176" i="2" s="1"/>
  <c r="K176" i="2"/>
  <c r="L175" i="2" s="1"/>
  <c r="A177" i="2"/>
  <c r="AB174" i="2" l="1"/>
  <c r="AL75" i="2"/>
  <c r="BA75" i="2" s="1"/>
  <c r="AT75" i="2"/>
  <c r="BB76" i="2" s="1"/>
  <c r="Y175" i="2"/>
  <c r="H174" i="2"/>
  <c r="AD176" i="2"/>
  <c r="AP177" i="2"/>
  <c r="AM177" i="2"/>
  <c r="R76" i="2"/>
  <c r="S77" i="2" s="1"/>
  <c r="AF76" i="2"/>
  <c r="AK76" i="2" s="1"/>
  <c r="AU75" i="2"/>
  <c r="O76" i="2"/>
  <c r="Z174" i="2"/>
  <c r="AQ177" i="2"/>
  <c r="D176" i="2"/>
  <c r="U176" i="2" s="1"/>
  <c r="E176" i="2"/>
  <c r="V176" i="2" s="1"/>
  <c r="BC176" i="2" s="1"/>
  <c r="P176" i="2"/>
  <c r="B178" i="2"/>
  <c r="AJ177" i="2"/>
  <c r="AA177" i="2"/>
  <c r="AC177" i="2"/>
  <c r="W177" i="2"/>
  <c r="K177" i="2"/>
  <c r="L176" i="2" s="1"/>
  <c r="C177" i="2"/>
  <c r="J177" i="2" s="1"/>
  <c r="F175" i="2"/>
  <c r="G175" i="2" s="1"/>
  <c r="A178" i="2"/>
  <c r="AB175" i="2" l="1"/>
  <c r="AG76" i="2"/>
  <c r="Y176" i="2"/>
  <c r="AS77" i="2"/>
  <c r="AN77" i="2"/>
  <c r="AD177" i="2"/>
  <c r="AP178" i="2"/>
  <c r="T77" i="2"/>
  <c r="M78" i="2" s="1"/>
  <c r="AH76" i="2"/>
  <c r="AI77" i="2" s="1"/>
  <c r="AE76" i="2"/>
  <c r="AV76" i="2"/>
  <c r="AR76" i="2" s="1"/>
  <c r="AW76" i="2" s="1"/>
  <c r="AU76" i="2" s="1"/>
  <c r="N77" i="2"/>
  <c r="X77" i="2"/>
  <c r="I77" i="2"/>
  <c r="AO77" i="2"/>
  <c r="P177" i="2"/>
  <c r="Z175" i="2"/>
  <c r="AQ178" i="2"/>
  <c r="F176" i="2"/>
  <c r="G176" i="2" s="1"/>
  <c r="H175" i="2"/>
  <c r="B179" i="2"/>
  <c r="AJ178" i="2"/>
  <c r="W178" i="2"/>
  <c r="AA178" i="2"/>
  <c r="AC178" i="2"/>
  <c r="K178" i="2"/>
  <c r="L177" i="2" s="1"/>
  <c r="C178" i="2"/>
  <c r="P178" i="2" s="1"/>
  <c r="D177" i="2"/>
  <c r="U177" i="2" s="1"/>
  <c r="E177" i="2"/>
  <c r="V177" i="2" s="1"/>
  <c r="BC177" i="2" s="1"/>
  <c r="A179" i="2"/>
  <c r="AB176" i="2" l="1"/>
  <c r="AL76" i="2"/>
  <c r="BA76" i="2" s="1"/>
  <c r="AT76" i="2"/>
  <c r="BB77" i="2" s="1"/>
  <c r="Y177" i="2"/>
  <c r="H176" i="2"/>
  <c r="AD178" i="2"/>
  <c r="AP179" i="2"/>
  <c r="AF77" i="2"/>
  <c r="AK77" i="2" s="1"/>
  <c r="Q77" i="2"/>
  <c r="R77" i="2" s="1"/>
  <c r="AG77" i="2" s="1"/>
  <c r="J178" i="2"/>
  <c r="AQ179" i="2"/>
  <c r="AU179" i="2"/>
  <c r="E178" i="2"/>
  <c r="V178" i="2" s="1"/>
  <c r="BC178" i="2" s="1"/>
  <c r="D178" i="2"/>
  <c r="U178" i="2" s="1"/>
  <c r="B180" i="2"/>
  <c r="AC179" i="2"/>
  <c r="AJ179" i="2"/>
  <c r="W179" i="2"/>
  <c r="AA179" i="2"/>
  <c r="K179" i="2"/>
  <c r="L178" i="2" s="1"/>
  <c r="C179" i="2"/>
  <c r="P179" i="2" s="1"/>
  <c r="F177" i="2"/>
  <c r="G177" i="2" s="1"/>
  <c r="Z176" i="2"/>
  <c r="A180" i="2"/>
  <c r="AB177" i="2" l="1"/>
  <c r="AV77" i="2"/>
  <c r="AR77" i="2" s="1"/>
  <c r="AW77" i="2" s="1"/>
  <c r="AU77" i="2" s="1"/>
  <c r="Y178" i="2"/>
  <c r="AD179" i="2"/>
  <c r="AM180" i="2"/>
  <c r="AP180" i="2"/>
  <c r="O77" i="2"/>
  <c r="J179" i="2"/>
  <c r="S78" i="2"/>
  <c r="AH77" i="2"/>
  <c r="AI78" i="2" s="1"/>
  <c r="AE77" i="2"/>
  <c r="T78" i="2"/>
  <c r="M79" i="2" s="1"/>
  <c r="Z177" i="2"/>
  <c r="F178" i="2"/>
  <c r="G178" i="2" s="1"/>
  <c r="H177" i="2"/>
  <c r="B181" i="2"/>
  <c r="AC180" i="2"/>
  <c r="W180" i="2"/>
  <c r="C180" i="2"/>
  <c r="P180" i="2" s="1"/>
  <c r="K180" i="2"/>
  <c r="L179" i="2" s="1"/>
  <c r="E179" i="2"/>
  <c r="V179" i="2" s="1"/>
  <c r="BC179" i="2" s="1"/>
  <c r="D179" i="2"/>
  <c r="U179" i="2" s="1"/>
  <c r="AQ180" i="2"/>
  <c r="A181" i="2"/>
  <c r="AB178" i="2" l="1"/>
  <c r="AL77" i="2"/>
  <c r="BA77" i="2" s="1"/>
  <c r="AT77" i="2"/>
  <c r="Y179" i="2"/>
  <c r="AO78" i="2"/>
  <c r="AN78" i="2"/>
  <c r="H178" i="2"/>
  <c r="AP181" i="2"/>
  <c r="N78" i="2"/>
  <c r="AS78" i="2"/>
  <c r="I78" i="2"/>
  <c r="X78" i="2"/>
  <c r="AQ181" i="2"/>
  <c r="AF78" i="2"/>
  <c r="Z178" i="2"/>
  <c r="J180" i="2"/>
  <c r="F179" i="2"/>
  <c r="G179" i="2" s="1"/>
  <c r="B182" i="2"/>
  <c r="AC181" i="2"/>
  <c r="AJ181" i="2"/>
  <c r="AA181" i="2"/>
  <c r="W181" i="2"/>
  <c r="C181" i="2"/>
  <c r="J181" i="2" s="1"/>
  <c r="K181" i="2"/>
  <c r="L180" i="2" s="1"/>
  <c r="E180" i="2"/>
  <c r="V180" i="2" s="1"/>
  <c r="BC180" i="2" s="1"/>
  <c r="D180" i="2"/>
  <c r="U180" i="2" s="1"/>
  <c r="A182" i="2"/>
  <c r="AB179" i="2" l="1"/>
  <c r="BB78" i="2"/>
  <c r="Y180" i="2"/>
  <c r="H179" i="2"/>
  <c r="AM182" i="2"/>
  <c r="AP182" i="2"/>
  <c r="Q78" i="2"/>
  <c r="R78" i="2" s="1"/>
  <c r="AK78" i="2"/>
  <c r="AV78" i="2"/>
  <c r="AR78" i="2" s="1"/>
  <c r="AW78" i="2" s="1"/>
  <c r="Z179" i="2"/>
  <c r="AQ182" i="2"/>
  <c r="E181" i="2"/>
  <c r="V181" i="2" s="1"/>
  <c r="BC181" i="2" s="1"/>
  <c r="D181" i="2"/>
  <c r="U181" i="2" s="1"/>
  <c r="F180" i="2"/>
  <c r="G180" i="2" s="1"/>
  <c r="P181" i="2"/>
  <c r="B183" i="2"/>
  <c r="AC182" i="2"/>
  <c r="AA182" i="2"/>
  <c r="W182" i="2"/>
  <c r="AJ182" i="2"/>
  <c r="C182" i="2"/>
  <c r="J182" i="2" s="1"/>
  <c r="K182" i="2"/>
  <c r="L181" i="2" s="1"/>
  <c r="A183" i="2"/>
  <c r="AB180" i="2" l="1"/>
  <c r="T79" i="2"/>
  <c r="M80" i="2" s="1"/>
  <c r="AG78" i="2"/>
  <c r="Y181" i="2"/>
  <c r="AP183" i="2"/>
  <c r="AU78" i="2"/>
  <c r="AH78" i="2"/>
  <c r="AI79" i="2" s="1"/>
  <c r="S79" i="2"/>
  <c r="O78" i="2"/>
  <c r="AE78" i="2"/>
  <c r="AA180" i="2"/>
  <c r="AD180" i="2" s="1"/>
  <c r="AD181" i="2" s="1"/>
  <c r="AD182" i="2" s="1"/>
  <c r="P182" i="2"/>
  <c r="Z180" i="2"/>
  <c r="AQ183" i="2"/>
  <c r="H180" i="2"/>
  <c r="B184" i="2"/>
  <c r="AJ183" i="2"/>
  <c r="W183" i="2"/>
  <c r="AC183" i="2"/>
  <c r="AA183" i="2"/>
  <c r="K183" i="2"/>
  <c r="L182" i="2" s="1"/>
  <c r="C183" i="2"/>
  <c r="J183" i="2" s="1"/>
  <c r="E182" i="2"/>
  <c r="V182" i="2" s="1"/>
  <c r="BC182" i="2" s="1"/>
  <c r="D182" i="2"/>
  <c r="U182" i="2" s="1"/>
  <c r="F181" i="2"/>
  <c r="G181" i="2" s="1"/>
  <c r="A184" i="2"/>
  <c r="AB181" i="2" l="1"/>
  <c r="AT78" i="2"/>
  <c r="AF79" i="2"/>
  <c r="AL78" i="2"/>
  <c r="BA78" i="2" s="1"/>
  <c r="Y182" i="2"/>
  <c r="N79" i="2"/>
  <c r="AN79" i="2"/>
  <c r="AP184" i="2"/>
  <c r="X79" i="2"/>
  <c r="I79" i="2"/>
  <c r="AS79" i="2"/>
  <c r="AO79" i="2"/>
  <c r="AD183" i="2"/>
  <c r="Z181" i="2"/>
  <c r="F182" i="2"/>
  <c r="G182" i="2" s="1"/>
  <c r="D183" i="2"/>
  <c r="U183" i="2" s="1"/>
  <c r="E183" i="2"/>
  <c r="V183" i="2" s="1"/>
  <c r="BC183" i="2" s="1"/>
  <c r="B185" i="2"/>
  <c r="AC184" i="2"/>
  <c r="AA184" i="2"/>
  <c r="AJ184" i="2"/>
  <c r="W184" i="2"/>
  <c r="K184" i="2"/>
  <c r="L183" i="2" s="1"/>
  <c r="C184" i="2"/>
  <c r="J184" i="2" s="1"/>
  <c r="H181" i="2"/>
  <c r="P183" i="2"/>
  <c r="AQ184" i="2"/>
  <c r="A185" i="2"/>
  <c r="AB182" i="2" l="1"/>
  <c r="BB79" i="2"/>
  <c r="Q79" i="2"/>
  <c r="R79" i="2" s="1"/>
  <c r="Y183" i="2"/>
  <c r="H182" i="2"/>
  <c r="AP185" i="2"/>
  <c r="AM185" i="2"/>
  <c r="AK79" i="2"/>
  <c r="AV79" i="2"/>
  <c r="AR79" i="2" s="1"/>
  <c r="AW79" i="2" s="1"/>
  <c r="AD184" i="2"/>
  <c r="P184" i="2"/>
  <c r="AQ185" i="2"/>
  <c r="Z182" i="2"/>
  <c r="F183" i="2"/>
  <c r="G183" i="2" s="1"/>
  <c r="B186" i="2"/>
  <c r="AJ185" i="2"/>
  <c r="AA185" i="2"/>
  <c r="W185" i="2"/>
  <c r="AC185" i="2"/>
  <c r="K185" i="2"/>
  <c r="L184" i="2" s="1"/>
  <c r="C185" i="2"/>
  <c r="P185" i="2" s="1"/>
  <c r="D184" i="2"/>
  <c r="U184" i="2" s="1"/>
  <c r="E184" i="2"/>
  <c r="V184" i="2" s="1"/>
  <c r="BC184" i="2" s="1"/>
  <c r="A186" i="2"/>
  <c r="AB183" i="2" l="1"/>
  <c r="AH79" i="2"/>
  <c r="AI80" i="2" s="1"/>
  <c r="AG79" i="2"/>
  <c r="O79" i="2"/>
  <c r="AN80" i="2" s="1"/>
  <c r="S80" i="2"/>
  <c r="AE79" i="2"/>
  <c r="T80" i="2"/>
  <c r="M81" i="2" s="1"/>
  <c r="Y184" i="2"/>
  <c r="H183" i="2"/>
  <c r="AP186" i="2"/>
  <c r="AU79" i="2"/>
  <c r="AD185" i="2"/>
  <c r="AQ186" i="2"/>
  <c r="J185" i="2"/>
  <c r="Z183" i="2"/>
  <c r="F184" i="2"/>
  <c r="G184" i="2" s="1"/>
  <c r="B187" i="2"/>
  <c r="AJ186" i="2"/>
  <c r="AC186" i="2"/>
  <c r="AA186" i="2"/>
  <c r="W186" i="2"/>
  <c r="K186" i="2"/>
  <c r="L185" i="2" s="1"/>
  <c r="C186" i="2"/>
  <c r="J186" i="2" s="1"/>
  <c r="D185" i="2"/>
  <c r="U185" i="2" s="1"/>
  <c r="E185" i="2"/>
  <c r="V185" i="2" s="1"/>
  <c r="BC185" i="2" s="1"/>
  <c r="A187" i="2"/>
  <c r="AB184" i="2" l="1"/>
  <c r="AL79" i="2"/>
  <c r="BA79" i="2" s="1"/>
  <c r="I80" i="2"/>
  <c r="AT79" i="2"/>
  <c r="N80" i="2"/>
  <c r="X80" i="2"/>
  <c r="AS80" i="2"/>
  <c r="AO80" i="2"/>
  <c r="AF80" i="2"/>
  <c r="Y185" i="2"/>
  <c r="AP187" i="2"/>
  <c r="AD186" i="2"/>
  <c r="Z184" i="2"/>
  <c r="AQ187" i="2"/>
  <c r="H184" i="2"/>
  <c r="E186" i="2"/>
  <c r="V186" i="2" s="1"/>
  <c r="BC186" i="2" s="1"/>
  <c r="D186" i="2"/>
  <c r="U186" i="2" s="1"/>
  <c r="F185" i="2"/>
  <c r="G185" i="2" s="1"/>
  <c r="P186" i="2"/>
  <c r="B188" i="2"/>
  <c r="AC187" i="2"/>
  <c r="AJ187" i="2"/>
  <c r="W187" i="2"/>
  <c r="AA187" i="2"/>
  <c r="K187" i="2"/>
  <c r="L186" i="2" s="1"/>
  <c r="C187" i="2"/>
  <c r="J187" i="2" s="1"/>
  <c r="A188" i="2"/>
  <c r="AB185" i="2" l="1"/>
  <c r="AK80" i="2"/>
  <c r="Q80" i="2"/>
  <c r="O80" i="2" s="1"/>
  <c r="N81" i="2" s="1"/>
  <c r="BB80" i="2"/>
  <c r="AV80" i="2"/>
  <c r="AR80" i="2" s="1"/>
  <c r="AW80" i="2" s="1"/>
  <c r="Y186" i="2"/>
  <c r="AP188" i="2"/>
  <c r="AM188" i="2"/>
  <c r="AD187" i="2"/>
  <c r="Z185" i="2"/>
  <c r="P187" i="2"/>
  <c r="F186" i="2"/>
  <c r="G186" i="2" s="1"/>
  <c r="B189" i="2"/>
  <c r="AC188" i="2"/>
  <c r="AJ188" i="2"/>
  <c r="W188" i="2"/>
  <c r="AA188" i="2"/>
  <c r="C188" i="2"/>
  <c r="J188" i="2" s="1"/>
  <c r="K188" i="2"/>
  <c r="L187" i="2" s="1"/>
  <c r="AQ188" i="2"/>
  <c r="H185" i="2"/>
  <c r="D187" i="2"/>
  <c r="U187" i="2" s="1"/>
  <c r="E187" i="2"/>
  <c r="V187" i="2" s="1"/>
  <c r="BC187" i="2" s="1"/>
  <c r="A189" i="2"/>
  <c r="AB186" i="2" l="1"/>
  <c r="R80" i="2"/>
  <c r="AH80" i="2" s="1"/>
  <c r="AI81" i="2" s="1"/>
  <c r="X81" i="2"/>
  <c r="AN81" i="2"/>
  <c r="AS81" i="2"/>
  <c r="AO81" i="2"/>
  <c r="I81" i="2"/>
  <c r="Q81" i="2" s="1"/>
  <c r="O81" i="2" s="1"/>
  <c r="AU80" i="2"/>
  <c r="Y187" i="2"/>
  <c r="H186" i="2"/>
  <c r="AM189" i="2"/>
  <c r="AP189" i="2"/>
  <c r="AD188" i="2"/>
  <c r="Z186" i="2"/>
  <c r="P188" i="2"/>
  <c r="AQ189" i="2"/>
  <c r="F187" i="2"/>
  <c r="G187" i="2" s="1"/>
  <c r="B190" i="2"/>
  <c r="AC189" i="2"/>
  <c r="AJ189" i="2"/>
  <c r="AA189" i="2"/>
  <c r="W189" i="2"/>
  <c r="C189" i="2"/>
  <c r="J189" i="2" s="1"/>
  <c r="K189" i="2"/>
  <c r="L188" i="2" s="1"/>
  <c r="E188" i="2"/>
  <c r="V188" i="2" s="1"/>
  <c r="BC188" i="2" s="1"/>
  <c r="D188" i="2"/>
  <c r="U188" i="2" s="1"/>
  <c r="A190" i="2"/>
  <c r="AB187" i="2" l="1"/>
  <c r="AE80" i="2"/>
  <c r="AF81" i="2" s="1"/>
  <c r="AG80" i="2"/>
  <c r="T81" i="2"/>
  <c r="M82" i="2" s="1"/>
  <c r="N82" i="2" s="1"/>
  <c r="S81" i="2"/>
  <c r="Y188" i="2"/>
  <c r="H187" i="2"/>
  <c r="X82" i="2"/>
  <c r="AN82" i="2"/>
  <c r="AM190" i="2"/>
  <c r="AP190" i="2"/>
  <c r="AO82" i="2"/>
  <c r="AS82" i="2"/>
  <c r="AD189" i="2"/>
  <c r="Z187" i="2"/>
  <c r="P189" i="2"/>
  <c r="F188" i="2"/>
  <c r="G188" i="2" s="1"/>
  <c r="B191" i="2"/>
  <c r="AC190" i="2"/>
  <c r="AJ190" i="2"/>
  <c r="AA190" i="2"/>
  <c r="W190" i="2"/>
  <c r="C190" i="2"/>
  <c r="J190" i="2" s="1"/>
  <c r="K190" i="2"/>
  <c r="L189" i="2" s="1"/>
  <c r="E189" i="2"/>
  <c r="V189" i="2" s="1"/>
  <c r="BC189" i="2" s="1"/>
  <c r="D189" i="2"/>
  <c r="U189" i="2" s="1"/>
  <c r="AQ190" i="2"/>
  <c r="A191" i="2"/>
  <c r="AB188" i="2" l="1"/>
  <c r="I82" i="2"/>
  <c r="Q82" i="2" s="1"/>
  <c r="O82" i="2" s="1"/>
  <c r="AL80" i="2"/>
  <c r="BA80" i="2" s="1"/>
  <c r="R81" i="2"/>
  <c r="T82" i="2" s="1"/>
  <c r="M83" i="2" s="1"/>
  <c r="AK81" i="2"/>
  <c r="AT80" i="2"/>
  <c r="BB81" i="2" s="1"/>
  <c r="Y189" i="2"/>
  <c r="H188" i="2"/>
  <c r="AP191" i="2"/>
  <c r="AD190" i="2"/>
  <c r="Z188" i="2"/>
  <c r="AU191" i="2"/>
  <c r="D190" i="2"/>
  <c r="U190" i="2" s="1"/>
  <c r="E190" i="2"/>
  <c r="V190" i="2" s="1"/>
  <c r="BC190" i="2" s="1"/>
  <c r="B192" i="2"/>
  <c r="AJ191" i="2"/>
  <c r="AC191" i="2"/>
  <c r="AA191" i="2"/>
  <c r="W191" i="2"/>
  <c r="K191" i="2"/>
  <c r="L190" i="2" s="1"/>
  <c r="C191" i="2"/>
  <c r="P191" i="2" s="1"/>
  <c r="AQ191" i="2"/>
  <c r="F189" i="2"/>
  <c r="G189" i="2" s="1"/>
  <c r="P190" i="2"/>
  <c r="A192" i="2"/>
  <c r="AB189" i="2" l="1"/>
  <c r="S82" i="2"/>
  <c r="R82" i="2" s="1"/>
  <c r="AH81" i="2"/>
  <c r="AI82" i="2" s="1"/>
  <c r="AG81" i="2"/>
  <c r="AE81" i="2"/>
  <c r="AF82" i="2" s="1"/>
  <c r="AV81" i="2"/>
  <c r="AR81" i="2" s="1"/>
  <c r="AW81" i="2" s="1"/>
  <c r="AU81" i="2" s="1"/>
  <c r="AN83" i="2"/>
  <c r="Y190" i="2"/>
  <c r="AO83" i="2"/>
  <c r="AM192" i="2"/>
  <c r="AP192" i="2"/>
  <c r="N83" i="2"/>
  <c r="AS83" i="2"/>
  <c r="I83" i="2"/>
  <c r="X83" i="2"/>
  <c r="AD191" i="2"/>
  <c r="Z189" i="2"/>
  <c r="AQ192" i="2"/>
  <c r="J191" i="2"/>
  <c r="H189" i="2"/>
  <c r="B193" i="2"/>
  <c r="AC192" i="2"/>
  <c r="W192" i="2"/>
  <c r="K192" i="2"/>
  <c r="L191" i="2" s="1"/>
  <c r="C192" i="2"/>
  <c r="P192" i="2" s="1"/>
  <c r="D191" i="2"/>
  <c r="U191" i="2" s="1"/>
  <c r="E191" i="2"/>
  <c r="V191" i="2" s="1"/>
  <c r="BC191" i="2" s="1"/>
  <c r="F190" i="2"/>
  <c r="G190" i="2" s="1"/>
  <c r="A193" i="2"/>
  <c r="AB190" i="2" l="1"/>
  <c r="AK82" i="2"/>
  <c r="AT81" i="2"/>
  <c r="BB82" i="2" s="1"/>
  <c r="AL81" i="2"/>
  <c r="BA81" i="2" s="1"/>
  <c r="AE82" i="2"/>
  <c r="AF83" i="2" s="1"/>
  <c r="AG82" i="2"/>
  <c r="Y191" i="2"/>
  <c r="AP193" i="2"/>
  <c r="Q83" i="2"/>
  <c r="O83" i="2" s="1"/>
  <c r="AH82" i="2"/>
  <c r="AI83" i="2" s="1"/>
  <c r="T83" i="2"/>
  <c r="M84" i="2" s="1"/>
  <c r="S83" i="2"/>
  <c r="Z190" i="2"/>
  <c r="J192" i="2"/>
  <c r="AQ193" i="2"/>
  <c r="B194" i="2"/>
  <c r="AA193" i="2"/>
  <c r="AJ193" i="2"/>
  <c r="AC193" i="2"/>
  <c r="W193" i="2"/>
  <c r="K193" i="2"/>
  <c r="L192" i="2" s="1"/>
  <c r="C193" i="2"/>
  <c r="J193" i="2" s="1"/>
  <c r="D192" i="2"/>
  <c r="U192" i="2" s="1"/>
  <c r="E192" i="2"/>
  <c r="V192" i="2" s="1"/>
  <c r="BC192" i="2" s="1"/>
  <c r="H190" i="2"/>
  <c r="F191" i="2"/>
  <c r="G191" i="2" s="1"/>
  <c r="A194" i="2"/>
  <c r="AB191" i="2" l="1"/>
  <c r="AV82" i="2"/>
  <c r="AR82" i="2" s="1"/>
  <c r="AW82" i="2" s="1"/>
  <c r="AU82" i="2" s="1"/>
  <c r="AL82" i="2"/>
  <c r="BA82" i="2" s="1"/>
  <c r="AT82" i="2"/>
  <c r="BB83" i="2" s="1"/>
  <c r="Y192" i="2"/>
  <c r="AS84" i="2"/>
  <c r="AN84" i="2"/>
  <c r="AM83" i="2"/>
  <c r="AM194" i="2"/>
  <c r="AP194" i="2"/>
  <c r="X84" i="2"/>
  <c r="I84" i="2"/>
  <c r="AO84" i="2"/>
  <c r="R83" i="2"/>
  <c r="T84" i="2" s="1"/>
  <c r="M85" i="2" s="1"/>
  <c r="N84" i="2"/>
  <c r="AK83" i="2"/>
  <c r="Z191" i="2"/>
  <c r="P193" i="2"/>
  <c r="B195" i="2"/>
  <c r="AA194" i="2"/>
  <c r="W194" i="2"/>
  <c r="AJ194" i="2"/>
  <c r="AC194" i="2"/>
  <c r="K194" i="2"/>
  <c r="L193" i="2" s="1"/>
  <c r="C194" i="2"/>
  <c r="J194" i="2" s="1"/>
  <c r="E193" i="2"/>
  <c r="V193" i="2" s="1"/>
  <c r="BC193" i="2" s="1"/>
  <c r="D193" i="2"/>
  <c r="U193" i="2" s="1"/>
  <c r="H191" i="2"/>
  <c r="F192" i="2"/>
  <c r="G192" i="2" s="1"/>
  <c r="AQ194" i="2"/>
  <c r="A195" i="2"/>
  <c r="AB192" i="2" l="1"/>
  <c r="AG83" i="2"/>
  <c r="Y193" i="2"/>
  <c r="AM195" i="2"/>
  <c r="AP195" i="2"/>
  <c r="Q84" i="2"/>
  <c r="O84" i="2" s="1"/>
  <c r="AH83" i="2"/>
  <c r="S84" i="2"/>
  <c r="AE83" i="2"/>
  <c r="AV83" i="2"/>
  <c r="AR83" i="2" s="1"/>
  <c r="AW83" i="2" s="1"/>
  <c r="AA192" i="2"/>
  <c r="AD192" i="2" s="1"/>
  <c r="AD193" i="2" s="1"/>
  <c r="AD194" i="2" s="1"/>
  <c r="Z192" i="2"/>
  <c r="P194" i="2"/>
  <c r="AQ195" i="2"/>
  <c r="F193" i="2"/>
  <c r="G193" i="2" s="1"/>
  <c r="H192" i="2"/>
  <c r="E194" i="2"/>
  <c r="V194" i="2" s="1"/>
  <c r="BC194" i="2" s="1"/>
  <c r="D194" i="2"/>
  <c r="U194" i="2" s="1"/>
  <c r="B196" i="2"/>
  <c r="AJ195" i="2"/>
  <c r="AC195" i="2"/>
  <c r="AA195" i="2"/>
  <c r="W195" i="2"/>
  <c r="K195" i="2"/>
  <c r="L194" i="2" s="1"/>
  <c r="C195" i="2"/>
  <c r="J195" i="2" s="1"/>
  <c r="A196" i="2"/>
  <c r="AB193" i="2" l="1"/>
  <c r="AF84" i="2"/>
  <c r="AL83" i="2"/>
  <c r="BA83" i="2" s="1"/>
  <c r="Y194" i="2"/>
  <c r="N85" i="2"/>
  <c r="AN85" i="2"/>
  <c r="AP196" i="2"/>
  <c r="R84" i="2"/>
  <c r="T85" i="2" s="1"/>
  <c r="M86" i="2" s="1"/>
  <c r="AJ84" i="2"/>
  <c r="AT83" i="2" s="1"/>
  <c r="BB84" i="2" s="1"/>
  <c r="Z193" i="2"/>
  <c r="X85" i="2"/>
  <c r="AO85" i="2"/>
  <c r="I85" i="2"/>
  <c r="AS85" i="2"/>
  <c r="AQ196" i="2"/>
  <c r="AD195" i="2"/>
  <c r="F194" i="2"/>
  <c r="G194" i="2" s="1"/>
  <c r="B197" i="2"/>
  <c r="AJ196" i="2"/>
  <c r="AC196" i="2"/>
  <c r="AA196" i="2"/>
  <c r="W196" i="2"/>
  <c r="C196" i="2"/>
  <c r="P196" i="2" s="1"/>
  <c r="K196" i="2"/>
  <c r="L195" i="2" s="1"/>
  <c r="H193" i="2"/>
  <c r="E195" i="2"/>
  <c r="V195" i="2" s="1"/>
  <c r="BC195" i="2" s="1"/>
  <c r="D195" i="2"/>
  <c r="U195" i="2" s="1"/>
  <c r="P195" i="2"/>
  <c r="A197" i="2"/>
  <c r="AB194" i="2" l="1"/>
  <c r="AV84" i="2"/>
  <c r="AR84" i="2" s="1"/>
  <c r="AW84" i="2" s="1"/>
  <c r="AU84" i="2" s="1"/>
  <c r="AG84" i="2"/>
  <c r="Q85" i="2"/>
  <c r="O85" i="2" s="1"/>
  <c r="Y195" i="2"/>
  <c r="H194" i="2"/>
  <c r="AP197" i="2"/>
  <c r="S85" i="2"/>
  <c r="AE84" i="2"/>
  <c r="AI84" i="2"/>
  <c r="AH84" i="2" s="1"/>
  <c r="Z194" i="2"/>
  <c r="AD196" i="2"/>
  <c r="J196" i="2"/>
  <c r="AQ197" i="2"/>
  <c r="B198" i="2"/>
  <c r="AJ197" i="2"/>
  <c r="AC197" i="2"/>
  <c r="AA197" i="2"/>
  <c r="W197" i="2"/>
  <c r="C197" i="2"/>
  <c r="J197" i="2" s="1"/>
  <c r="K197" i="2"/>
  <c r="L196" i="2" s="1"/>
  <c r="F195" i="2"/>
  <c r="G195" i="2" s="1"/>
  <c r="E196" i="2"/>
  <c r="V196" i="2" s="1"/>
  <c r="BC196" i="2" s="1"/>
  <c r="D196" i="2"/>
  <c r="U196" i="2" s="1"/>
  <c r="A198" i="2"/>
  <c r="AB195" i="2" l="1"/>
  <c r="AT84" i="2"/>
  <c r="BB85" i="2" s="1"/>
  <c r="AN86" i="2"/>
  <c r="AF85" i="2"/>
  <c r="AL84" i="2"/>
  <c r="R85" i="2"/>
  <c r="T86" i="2" s="1"/>
  <c r="M87" i="2" s="1"/>
  <c r="Y196" i="2"/>
  <c r="AP198" i="2"/>
  <c r="AI85" i="2"/>
  <c r="AK84" i="2"/>
  <c r="Z195" i="2"/>
  <c r="N86" i="2"/>
  <c r="AS86" i="2"/>
  <c r="I86" i="2"/>
  <c r="AO86" i="2"/>
  <c r="X86" i="2"/>
  <c r="AD197" i="2"/>
  <c r="F196" i="2"/>
  <c r="G196" i="2" s="1"/>
  <c r="B199" i="2"/>
  <c r="AJ198" i="2"/>
  <c r="AC198" i="2"/>
  <c r="AA198" i="2"/>
  <c r="W198" i="2"/>
  <c r="C198" i="2"/>
  <c r="J198" i="2" s="1"/>
  <c r="K198" i="2"/>
  <c r="L197" i="2" s="1"/>
  <c r="H195" i="2"/>
  <c r="E197" i="2"/>
  <c r="V197" i="2" s="1"/>
  <c r="BC197" i="2" s="1"/>
  <c r="D197" i="2"/>
  <c r="U197" i="2" s="1"/>
  <c r="AQ198" i="2"/>
  <c r="P197" i="2"/>
  <c r="A199" i="2"/>
  <c r="AB196" i="2" l="1"/>
  <c r="AV85" i="2"/>
  <c r="AR85" i="2" s="1"/>
  <c r="AW85" i="2" s="1"/>
  <c r="AU85" i="2" s="1"/>
  <c r="AG85" i="2"/>
  <c r="S86" i="2"/>
  <c r="AH85" i="2"/>
  <c r="AI86" i="2" s="1"/>
  <c r="AE85" i="2"/>
  <c r="Y197" i="2"/>
  <c r="H196" i="2"/>
  <c r="BA84" i="2"/>
  <c r="AP199" i="2"/>
  <c r="AK85" i="2"/>
  <c r="Z196" i="2"/>
  <c r="Q86" i="2"/>
  <c r="AD198" i="2"/>
  <c r="P198" i="2"/>
  <c r="F197" i="2"/>
  <c r="G197" i="2" s="1"/>
  <c r="B200" i="2"/>
  <c r="W199" i="2"/>
  <c r="AA199" i="2"/>
  <c r="AJ199" i="2"/>
  <c r="AC199" i="2"/>
  <c r="K199" i="2"/>
  <c r="L198" i="2" s="1"/>
  <c r="C199" i="2"/>
  <c r="J199" i="2" s="1"/>
  <c r="AQ199" i="2"/>
  <c r="E198" i="2"/>
  <c r="V198" i="2" s="1"/>
  <c r="BC198" i="2" s="1"/>
  <c r="D198" i="2"/>
  <c r="U198" i="2" s="1"/>
  <c r="A200" i="2"/>
  <c r="AM86" i="2" l="1"/>
  <c r="AB197" i="2"/>
  <c r="AF86" i="2"/>
  <c r="AK86" i="2" s="1"/>
  <c r="AL85" i="2"/>
  <c r="BA85" i="2" s="1"/>
  <c r="AT85" i="2"/>
  <c r="BB86" i="2" s="1"/>
  <c r="Y198" i="2"/>
  <c r="AM200" i="2"/>
  <c r="AP200" i="2"/>
  <c r="Z197" i="2"/>
  <c r="O86" i="2"/>
  <c r="R86" i="2"/>
  <c r="AG86" i="2" s="1"/>
  <c r="AD199" i="2"/>
  <c r="P199" i="2"/>
  <c r="F198" i="2"/>
  <c r="G198" i="2" s="1"/>
  <c r="H197" i="2"/>
  <c r="B201" i="2"/>
  <c r="AJ200" i="2"/>
  <c r="AC200" i="2"/>
  <c r="AA200" i="2"/>
  <c r="W200" i="2"/>
  <c r="C200" i="2"/>
  <c r="J200" i="2" s="1"/>
  <c r="K200" i="2"/>
  <c r="L199" i="2" s="1"/>
  <c r="D199" i="2"/>
  <c r="U199" i="2" s="1"/>
  <c r="E199" i="2"/>
  <c r="V199" i="2" s="1"/>
  <c r="BC199" i="2" s="1"/>
  <c r="AQ200" i="2"/>
  <c r="A201" i="2"/>
  <c r="AB198" i="2" l="1"/>
  <c r="AN87" i="2"/>
  <c r="AV86" i="2"/>
  <c r="AR86" i="2" s="1"/>
  <c r="AW86" i="2" s="1"/>
  <c r="AU86" i="2" s="1"/>
  <c r="Y199" i="2"/>
  <c r="H198" i="2"/>
  <c r="AQ201" i="2"/>
  <c r="AP201" i="2"/>
  <c r="AD200" i="2"/>
  <c r="AE86" i="2"/>
  <c r="S87" i="2"/>
  <c r="AH86" i="2"/>
  <c r="AI87" i="2" s="1"/>
  <c r="T87" i="2"/>
  <c r="M88" i="2" s="1"/>
  <c r="N87" i="2"/>
  <c r="X87" i="2"/>
  <c r="AS87" i="2"/>
  <c r="I87" i="2"/>
  <c r="AO87" i="2"/>
  <c r="Z198" i="2"/>
  <c r="D200" i="2"/>
  <c r="U200" i="2" s="1"/>
  <c r="E200" i="2"/>
  <c r="V200" i="2" s="1"/>
  <c r="BC200" i="2" s="1"/>
  <c r="F199" i="2"/>
  <c r="G199" i="2" s="1"/>
  <c r="P200" i="2"/>
  <c r="B202" i="2"/>
  <c r="AA201" i="2"/>
  <c r="AC201" i="2"/>
  <c r="W201" i="2"/>
  <c r="AJ201" i="2"/>
  <c r="K201" i="2"/>
  <c r="L200" i="2" s="1"/>
  <c r="C201" i="2"/>
  <c r="P201" i="2" s="1"/>
  <c r="A202" i="2"/>
  <c r="AB199" i="2" l="1"/>
  <c r="AL86" i="2"/>
  <c r="BA86" i="2" s="1"/>
  <c r="AT86" i="2"/>
  <c r="BB87" i="2" s="1"/>
  <c r="Y200" i="2"/>
  <c r="AP202" i="2"/>
  <c r="AD201" i="2"/>
  <c r="Q87" i="2"/>
  <c r="AF87" i="2"/>
  <c r="AK87" i="2" s="1"/>
  <c r="J201" i="2"/>
  <c r="AQ202" i="2"/>
  <c r="E201" i="2"/>
  <c r="V201" i="2" s="1"/>
  <c r="BC201" i="2" s="1"/>
  <c r="D201" i="2"/>
  <c r="U201" i="2" s="1"/>
  <c r="H199" i="2"/>
  <c r="B203" i="2"/>
  <c r="AJ202" i="2"/>
  <c r="AC202" i="2"/>
  <c r="AA202" i="2"/>
  <c r="W202" i="2"/>
  <c r="K202" i="2"/>
  <c r="L201" i="2" s="1"/>
  <c r="C202" i="2"/>
  <c r="P202" i="2" s="1"/>
  <c r="Z199" i="2"/>
  <c r="F200" i="2"/>
  <c r="G200" i="2" s="1"/>
  <c r="M111" i="2"/>
  <c r="A203" i="2"/>
  <c r="AB200" i="2" l="1"/>
  <c r="Y201" i="2"/>
  <c r="AD202" i="2"/>
  <c r="AP203" i="2"/>
  <c r="AV87" i="2"/>
  <c r="AR87" i="2" s="1"/>
  <c r="AW87" i="2" s="1"/>
  <c r="O87" i="2"/>
  <c r="R87" i="2"/>
  <c r="AG87" i="2" s="1"/>
  <c r="AQ203" i="2"/>
  <c r="AU203" i="2"/>
  <c r="J202" i="2"/>
  <c r="Z200" i="2"/>
  <c r="H200" i="2"/>
  <c r="F201" i="2"/>
  <c r="G201" i="2" s="1"/>
  <c r="B204" i="2"/>
  <c r="AJ203" i="2"/>
  <c r="AC203" i="2"/>
  <c r="AA203" i="2"/>
  <c r="W203" i="2"/>
  <c r="K203" i="2"/>
  <c r="L202" i="2" s="1"/>
  <c r="C203" i="2"/>
  <c r="J203" i="2" s="1"/>
  <c r="E202" i="2"/>
  <c r="V202" i="2" s="1"/>
  <c r="BC202" i="2" s="1"/>
  <c r="D202" i="2"/>
  <c r="U202" i="2" s="1"/>
  <c r="A204" i="2"/>
  <c r="AB201" i="2" l="1"/>
  <c r="AN88" i="2"/>
  <c r="Y202" i="2"/>
  <c r="AD203" i="2"/>
  <c r="AP204" i="2"/>
  <c r="AU87" i="2"/>
  <c r="AE87" i="2"/>
  <c r="S88" i="2"/>
  <c r="AH87" i="2"/>
  <c r="AI88" i="2" s="1"/>
  <c r="T88" i="2"/>
  <c r="M89" i="2" s="1"/>
  <c r="X88" i="2"/>
  <c r="AS88" i="2"/>
  <c r="AO88" i="2"/>
  <c r="I88" i="2"/>
  <c r="N88" i="2"/>
  <c r="F202" i="2"/>
  <c r="G202" i="2" s="1"/>
  <c r="Z201" i="2"/>
  <c r="P203" i="2"/>
  <c r="E203" i="2"/>
  <c r="V203" i="2" s="1"/>
  <c r="BC203" i="2" s="1"/>
  <c r="D203" i="2"/>
  <c r="U203" i="2" s="1"/>
  <c r="H201" i="2"/>
  <c r="B205" i="2"/>
  <c r="AC204" i="2"/>
  <c r="W204" i="2"/>
  <c r="C204" i="2"/>
  <c r="J204" i="2" s="1"/>
  <c r="K204" i="2"/>
  <c r="L203" i="2" s="1"/>
  <c r="AQ204" i="2"/>
  <c r="A205" i="2"/>
  <c r="AB202" i="2" l="1"/>
  <c r="AL87" i="2"/>
  <c r="BA87" i="2" s="1"/>
  <c r="AT87" i="2"/>
  <c r="BB88" i="2" s="1"/>
  <c r="Y203" i="2"/>
  <c r="H202" i="2"/>
  <c r="AM205" i="2"/>
  <c r="AP205" i="2"/>
  <c r="Q88" i="2"/>
  <c r="O88" i="2" s="1"/>
  <c r="AF88" i="2"/>
  <c r="AK88" i="2" s="1"/>
  <c r="Z202" i="2"/>
  <c r="P204" i="2"/>
  <c r="F203" i="2"/>
  <c r="G203" i="2" s="1"/>
  <c r="AQ205" i="2"/>
  <c r="B206" i="2"/>
  <c r="AJ205" i="2"/>
  <c r="AC205" i="2"/>
  <c r="AA205" i="2"/>
  <c r="W205" i="2"/>
  <c r="C205" i="2"/>
  <c r="P205" i="2" s="1"/>
  <c r="K205" i="2"/>
  <c r="L204" i="2" s="1"/>
  <c r="E204" i="2"/>
  <c r="V204" i="2" s="1"/>
  <c r="BC204" i="2" s="1"/>
  <c r="D204" i="2"/>
  <c r="U204" i="2" s="1"/>
  <c r="A206" i="2"/>
  <c r="AB203" i="2" l="1"/>
  <c r="Y204" i="2"/>
  <c r="N89" i="2"/>
  <c r="AN89" i="2"/>
  <c r="H203" i="2"/>
  <c r="AM206" i="2"/>
  <c r="AP206" i="2"/>
  <c r="R88" i="2"/>
  <c r="AO89" i="2"/>
  <c r="AS89" i="2"/>
  <c r="X89" i="2"/>
  <c r="I89" i="2"/>
  <c r="Z203" i="2"/>
  <c r="AV88" i="2"/>
  <c r="AR88" i="2" s="1"/>
  <c r="AW88" i="2" s="1"/>
  <c r="J205" i="2"/>
  <c r="AQ206" i="2"/>
  <c r="E205" i="2"/>
  <c r="V205" i="2" s="1"/>
  <c r="BC205" i="2" s="1"/>
  <c r="D205" i="2"/>
  <c r="U205" i="2" s="1"/>
  <c r="B207" i="2"/>
  <c r="AJ206" i="2"/>
  <c r="AC206" i="2"/>
  <c r="W206" i="2"/>
  <c r="AA206" i="2"/>
  <c r="C206" i="2"/>
  <c r="J206" i="2" s="1"/>
  <c r="K206" i="2"/>
  <c r="L205" i="2" s="1"/>
  <c r="F204" i="2"/>
  <c r="G204" i="2" s="1"/>
  <c r="A207" i="2"/>
  <c r="AB204" i="2" l="1"/>
  <c r="T89" i="2"/>
  <c r="M90" i="2" s="1"/>
  <c r="AG88" i="2"/>
  <c r="Y205" i="2"/>
  <c r="Q89" i="2"/>
  <c r="O89" i="2" s="1"/>
  <c r="AM207" i="2"/>
  <c r="AP207" i="2"/>
  <c r="S89" i="2"/>
  <c r="AE88" i="2"/>
  <c r="AH88" i="2"/>
  <c r="AI89" i="2" s="1"/>
  <c r="AU88" i="2"/>
  <c r="Z204" i="2"/>
  <c r="AA204" i="2"/>
  <c r="AD204" i="2" s="1"/>
  <c r="AD205" i="2" s="1"/>
  <c r="AD206" i="2" s="1"/>
  <c r="AQ207" i="2"/>
  <c r="P206" i="2"/>
  <c r="B208" i="2"/>
  <c r="AJ207" i="2"/>
  <c r="AC207" i="2"/>
  <c r="AA207" i="2"/>
  <c r="W207" i="2"/>
  <c r="K207" i="2"/>
  <c r="L206" i="2" s="1"/>
  <c r="C207" i="2"/>
  <c r="J207" i="2" s="1"/>
  <c r="E206" i="2"/>
  <c r="V206" i="2" s="1"/>
  <c r="BC206" i="2" s="1"/>
  <c r="D206" i="2"/>
  <c r="U206" i="2" s="1"/>
  <c r="H204" i="2"/>
  <c r="F205" i="2"/>
  <c r="G205" i="2" s="1"/>
  <c r="A208" i="2"/>
  <c r="AB205" i="2" l="1"/>
  <c r="AN90" i="2"/>
  <c r="AF89" i="2"/>
  <c r="AK89" i="2" s="1"/>
  <c r="AL88" i="2"/>
  <c r="BA88" i="2" s="1"/>
  <c r="AT88" i="2"/>
  <c r="BB89" i="2" s="1"/>
  <c r="R89" i="2"/>
  <c r="T90" i="2" s="1"/>
  <c r="M91" i="2" s="1"/>
  <c r="AS90" i="2"/>
  <c r="I90" i="2"/>
  <c r="X90" i="2"/>
  <c r="N90" i="2"/>
  <c r="AO90" i="2"/>
  <c r="Y206" i="2"/>
  <c r="AP208" i="2"/>
  <c r="F206" i="2"/>
  <c r="G206" i="2" s="1"/>
  <c r="AD207" i="2"/>
  <c r="Z205" i="2"/>
  <c r="B209" i="2"/>
  <c r="AC208" i="2"/>
  <c r="AJ208" i="2"/>
  <c r="W208" i="2"/>
  <c r="AA208" i="2"/>
  <c r="K208" i="2"/>
  <c r="L207" i="2" s="1"/>
  <c r="C208" i="2"/>
  <c r="J208" i="2" s="1"/>
  <c r="D207" i="2"/>
  <c r="U207" i="2" s="1"/>
  <c r="E207" i="2"/>
  <c r="V207" i="2" s="1"/>
  <c r="BC207" i="2" s="1"/>
  <c r="H205" i="2"/>
  <c r="P207" i="2"/>
  <c r="AQ208" i="2"/>
  <c r="A209" i="2"/>
  <c r="AB206" i="2" l="1"/>
  <c r="AV89" i="2"/>
  <c r="AR89" i="2" s="1"/>
  <c r="AW89" i="2" s="1"/>
  <c r="AU89" i="2" s="1"/>
  <c r="AG89" i="2"/>
  <c r="Q90" i="2"/>
  <c r="O90" i="2" s="1"/>
  <c r="AE89" i="2"/>
  <c r="S90" i="2"/>
  <c r="AH89" i="2"/>
  <c r="AI90" i="2" s="1"/>
  <c r="Y207" i="2"/>
  <c r="H206" i="2"/>
  <c r="AM209" i="2"/>
  <c r="AP209" i="2"/>
  <c r="AD208" i="2"/>
  <c r="Z206" i="2"/>
  <c r="AQ209" i="2"/>
  <c r="P208" i="2"/>
  <c r="B210" i="2"/>
  <c r="AJ209" i="2"/>
  <c r="AA209" i="2"/>
  <c r="AC209" i="2"/>
  <c r="W209" i="2"/>
  <c r="K209" i="2"/>
  <c r="L208" i="2" s="1"/>
  <c r="C209" i="2"/>
  <c r="J209" i="2" s="1"/>
  <c r="F207" i="2"/>
  <c r="G207" i="2" s="1"/>
  <c r="D208" i="2"/>
  <c r="U208" i="2" s="1"/>
  <c r="E208" i="2"/>
  <c r="V208" i="2" s="1"/>
  <c r="BC208" i="2" s="1"/>
  <c r="A210" i="2"/>
  <c r="AB207" i="2" l="1"/>
  <c r="AF90" i="2"/>
  <c r="AK90" i="2" s="1"/>
  <c r="AL89" i="2"/>
  <c r="BA89" i="2" s="1"/>
  <c r="AT89" i="2"/>
  <c r="BB90" i="2" s="1"/>
  <c r="R90" i="2"/>
  <c r="T91" i="2" s="1"/>
  <c r="M92" i="2" s="1"/>
  <c r="Y208" i="2"/>
  <c r="N91" i="2"/>
  <c r="AN91" i="2"/>
  <c r="AP210" i="2"/>
  <c r="AS91" i="2"/>
  <c r="X91" i="2"/>
  <c r="I91" i="2"/>
  <c r="AO91" i="2"/>
  <c r="AD209" i="2"/>
  <c r="Z207" i="2"/>
  <c r="AQ210" i="2"/>
  <c r="F208" i="2"/>
  <c r="G208" i="2" s="1"/>
  <c r="D209" i="2"/>
  <c r="U209" i="2" s="1"/>
  <c r="E209" i="2"/>
  <c r="V209" i="2" s="1"/>
  <c r="BC209" i="2" s="1"/>
  <c r="P209" i="2"/>
  <c r="H207" i="2"/>
  <c r="B211" i="2"/>
  <c r="AA210" i="2"/>
  <c r="W210" i="2"/>
  <c r="AC210" i="2"/>
  <c r="AJ210" i="2"/>
  <c r="K210" i="2"/>
  <c r="L209" i="2" s="1"/>
  <c r="C210" i="2"/>
  <c r="J210" i="2" s="1"/>
  <c r="A211" i="2"/>
  <c r="AB208" i="2" l="1"/>
  <c r="AG90" i="2"/>
  <c r="AE90" i="2"/>
  <c r="AH90" i="2"/>
  <c r="AI91" i="2" s="1"/>
  <c r="S91" i="2"/>
  <c r="AV90" i="2"/>
  <c r="AR90" i="2" s="1"/>
  <c r="AW90" i="2" s="1"/>
  <c r="AU90" i="2" s="1"/>
  <c r="Q91" i="2"/>
  <c r="O91" i="2" s="1"/>
  <c r="Y209" i="2"/>
  <c r="H208" i="2"/>
  <c r="AP211" i="2"/>
  <c r="AD210" i="2"/>
  <c r="Z208" i="2"/>
  <c r="AQ211" i="2"/>
  <c r="F209" i="2"/>
  <c r="G209" i="2" s="1"/>
  <c r="B212" i="2"/>
  <c r="AC211" i="2"/>
  <c r="AA211" i="2"/>
  <c r="W211" i="2"/>
  <c r="AJ211" i="2"/>
  <c r="K211" i="2"/>
  <c r="L210" i="2" s="1"/>
  <c r="C211" i="2"/>
  <c r="J211" i="2" s="1"/>
  <c r="E210" i="2"/>
  <c r="V210" i="2" s="1"/>
  <c r="BC210" i="2" s="1"/>
  <c r="D210" i="2"/>
  <c r="U210" i="2" s="1"/>
  <c r="P210" i="2"/>
  <c r="A212" i="2"/>
  <c r="AB209" i="2" l="1"/>
  <c r="AF91" i="2"/>
  <c r="AK91" i="2" s="1"/>
  <c r="AL90" i="2"/>
  <c r="BA90" i="2" s="1"/>
  <c r="AT90" i="2"/>
  <c r="BB91" i="2" s="1"/>
  <c r="AN92" i="2"/>
  <c r="R91" i="2"/>
  <c r="T92" i="2" s="1"/>
  <c r="M93" i="2" s="1"/>
  <c r="AS92" i="2"/>
  <c r="AO92" i="2"/>
  <c r="N92" i="2"/>
  <c r="X92" i="2"/>
  <c r="I92" i="2"/>
  <c r="Y210" i="2"/>
  <c r="H209" i="2"/>
  <c r="AP212" i="2"/>
  <c r="AQ212" i="2"/>
  <c r="AD211" i="2"/>
  <c r="Z209" i="2"/>
  <c r="B213" i="2"/>
  <c r="AJ212" i="2"/>
  <c r="AC212" i="2"/>
  <c r="AA212" i="2"/>
  <c r="W212" i="2"/>
  <c r="C212" i="2"/>
  <c r="J212" i="2" s="1"/>
  <c r="K212" i="2"/>
  <c r="L211" i="2" s="1"/>
  <c r="D211" i="2"/>
  <c r="U211" i="2" s="1"/>
  <c r="E211" i="2"/>
  <c r="V211" i="2" s="1"/>
  <c r="BC211" i="2" s="1"/>
  <c r="F210" i="2"/>
  <c r="G210" i="2" s="1"/>
  <c r="P211" i="2"/>
  <c r="A213" i="2"/>
  <c r="AB210" i="2" l="1"/>
  <c r="AG91" i="2"/>
  <c r="AV91" i="2"/>
  <c r="AR91" i="2" s="1"/>
  <c r="AW91" i="2" s="1"/>
  <c r="AU91" i="2" s="1"/>
  <c r="AH91" i="2"/>
  <c r="AI92" i="2" s="1"/>
  <c r="S92" i="2"/>
  <c r="Q92" i="2"/>
  <c r="O92" i="2" s="1"/>
  <c r="AE91" i="2"/>
  <c r="Y211" i="2"/>
  <c r="AP213" i="2"/>
  <c r="AD212" i="2"/>
  <c r="AQ213" i="2"/>
  <c r="Z210" i="2"/>
  <c r="F211" i="2"/>
  <c r="G211" i="2" s="1"/>
  <c r="B214" i="2"/>
  <c r="AJ213" i="2"/>
  <c r="AC213" i="2"/>
  <c r="AA213" i="2"/>
  <c r="W213" i="2"/>
  <c r="C213" i="2"/>
  <c r="J213" i="2" s="1"/>
  <c r="K213" i="2"/>
  <c r="L212" i="2" s="1"/>
  <c r="H210" i="2"/>
  <c r="E212" i="2"/>
  <c r="V212" i="2" s="1"/>
  <c r="BC212" i="2" s="1"/>
  <c r="D212" i="2"/>
  <c r="U212" i="2" s="1"/>
  <c r="P212" i="2"/>
  <c r="A214" i="2"/>
  <c r="AM92" i="2" l="1"/>
  <c r="AB211" i="2"/>
  <c r="N93" i="2"/>
  <c r="AF92" i="2"/>
  <c r="AK92" i="2" s="1"/>
  <c r="AL91" i="2"/>
  <c r="BA91" i="2" s="1"/>
  <c r="AT91" i="2"/>
  <c r="BB92" i="2" s="1"/>
  <c r="AN93" i="2"/>
  <c r="AO93" i="2"/>
  <c r="X93" i="2"/>
  <c r="I93" i="2"/>
  <c r="AS93" i="2"/>
  <c r="R92" i="2"/>
  <c r="S93" i="2" s="1"/>
  <c r="Y212" i="2"/>
  <c r="H211" i="2"/>
  <c r="AP214" i="2"/>
  <c r="AD213" i="2"/>
  <c r="F212" i="2"/>
  <c r="G212" i="2" s="1"/>
  <c r="Z211" i="2"/>
  <c r="B215" i="2"/>
  <c r="AJ214" i="2"/>
  <c r="AC214" i="2"/>
  <c r="AA214" i="2"/>
  <c r="W214" i="2"/>
  <c r="C214" i="2"/>
  <c r="P214" i="2" s="1"/>
  <c r="K214" i="2"/>
  <c r="L213" i="2" s="1"/>
  <c r="AQ214" i="2"/>
  <c r="E213" i="2"/>
  <c r="V213" i="2" s="1"/>
  <c r="BC213" i="2" s="1"/>
  <c r="D213" i="2"/>
  <c r="U213" i="2" s="1"/>
  <c r="P213" i="2"/>
  <c r="A215" i="2"/>
  <c r="AB212" i="2" l="1"/>
  <c r="Q93" i="2"/>
  <c r="O93" i="2" s="1"/>
  <c r="X94" i="2" s="1"/>
  <c r="AG92" i="2"/>
  <c r="AE92" i="2"/>
  <c r="AH92" i="2"/>
  <c r="AI93" i="2" s="1"/>
  <c r="T93" i="2"/>
  <c r="M94" i="2" s="1"/>
  <c r="AV92" i="2"/>
  <c r="AR92" i="2" s="1"/>
  <c r="AW92" i="2" s="1"/>
  <c r="AU92" i="2" s="1"/>
  <c r="Y213" i="2"/>
  <c r="H212" i="2"/>
  <c r="AP215" i="2"/>
  <c r="AD214" i="2"/>
  <c r="Z212" i="2"/>
  <c r="J214" i="2"/>
  <c r="AU215" i="2"/>
  <c r="F213" i="2"/>
  <c r="G213" i="2" s="1"/>
  <c r="AQ215" i="2"/>
  <c r="E214" i="2"/>
  <c r="V214" i="2" s="1"/>
  <c r="BC214" i="2" s="1"/>
  <c r="D214" i="2"/>
  <c r="U214" i="2" s="1"/>
  <c r="B216" i="2"/>
  <c r="AJ215" i="2"/>
  <c r="AA215" i="2"/>
  <c r="W215" i="2"/>
  <c r="AC215" i="2"/>
  <c r="K215" i="2"/>
  <c r="L214" i="2" s="1"/>
  <c r="C215" i="2"/>
  <c r="P215" i="2" s="1"/>
  <c r="A216" i="2"/>
  <c r="AB213" i="2" l="1"/>
  <c r="AS94" i="2"/>
  <c r="N94" i="2"/>
  <c r="AO94" i="2"/>
  <c r="AN94" i="2"/>
  <c r="AF93" i="2"/>
  <c r="AK93" i="2" s="1"/>
  <c r="AL92" i="2"/>
  <c r="BA92" i="2" s="1"/>
  <c r="AT92" i="2"/>
  <c r="BB93" i="2" s="1"/>
  <c r="R93" i="2"/>
  <c r="I94" i="2"/>
  <c r="Y214" i="2"/>
  <c r="H213" i="2"/>
  <c r="AM216" i="2"/>
  <c r="AP216" i="2"/>
  <c r="AD215" i="2"/>
  <c r="Z213" i="2"/>
  <c r="AQ216" i="2"/>
  <c r="J215" i="2"/>
  <c r="F214" i="2"/>
  <c r="G214" i="2" s="1"/>
  <c r="B217" i="2"/>
  <c r="AC216" i="2"/>
  <c r="W216" i="2"/>
  <c r="K216" i="2"/>
  <c r="L215" i="2" s="1"/>
  <c r="C216" i="2"/>
  <c r="P216" i="2" s="1"/>
  <c r="D215" i="2"/>
  <c r="U215" i="2" s="1"/>
  <c r="E215" i="2"/>
  <c r="V215" i="2" s="1"/>
  <c r="BC215" i="2" s="1"/>
  <c r="A217" i="2"/>
  <c r="AB214" i="2" l="1"/>
  <c r="Q94" i="2"/>
  <c r="O94" i="2" s="1"/>
  <c r="T94" i="2"/>
  <c r="AG93" i="2"/>
  <c r="S94" i="2"/>
  <c r="AE93" i="2"/>
  <c r="AH93" i="2"/>
  <c r="AI94" i="2" s="1"/>
  <c r="AV93" i="2"/>
  <c r="AR93" i="2" s="1"/>
  <c r="AW93" i="2" s="1"/>
  <c r="AU93" i="2" s="1"/>
  <c r="Y215" i="2"/>
  <c r="AP217" i="2"/>
  <c r="J216" i="2"/>
  <c r="AQ217" i="2"/>
  <c r="Z214" i="2"/>
  <c r="F215" i="2"/>
  <c r="G215" i="2" s="1"/>
  <c r="B218" i="2"/>
  <c r="AJ217" i="2"/>
  <c r="W217" i="2"/>
  <c r="AA217" i="2"/>
  <c r="AC217" i="2"/>
  <c r="K217" i="2"/>
  <c r="L216" i="2" s="1"/>
  <c r="C217" i="2"/>
  <c r="P217" i="2" s="1"/>
  <c r="H214" i="2"/>
  <c r="D216" i="2"/>
  <c r="U216" i="2" s="1"/>
  <c r="E216" i="2"/>
  <c r="V216" i="2" s="1"/>
  <c r="BC216" i="2" s="1"/>
  <c r="A218" i="2"/>
  <c r="AB215" i="2" l="1"/>
  <c r="R94" i="2"/>
  <c r="AG94" i="2" s="1"/>
  <c r="AF94" i="2"/>
  <c r="AK94" i="2" s="1"/>
  <c r="AL93" i="2"/>
  <c r="BA93" i="2" s="1"/>
  <c r="AN95" i="2"/>
  <c r="AT93" i="2"/>
  <c r="BB94" i="2" s="1"/>
  <c r="M95" i="2"/>
  <c r="Y216" i="2"/>
  <c r="H215" i="2"/>
  <c r="AM218" i="2"/>
  <c r="AP218" i="2"/>
  <c r="AQ218" i="2"/>
  <c r="Z215" i="2"/>
  <c r="AO95" i="2"/>
  <c r="X95" i="2"/>
  <c r="AS95" i="2"/>
  <c r="J217" i="2"/>
  <c r="F216" i="2"/>
  <c r="G216" i="2" s="1"/>
  <c r="E217" i="2"/>
  <c r="V217" i="2" s="1"/>
  <c r="BC217" i="2" s="1"/>
  <c r="D217" i="2"/>
  <c r="U217" i="2" s="1"/>
  <c r="B219" i="2"/>
  <c r="AJ218" i="2"/>
  <c r="AC218" i="2"/>
  <c r="W218" i="2"/>
  <c r="AA218" i="2"/>
  <c r="K218" i="2"/>
  <c r="L217" i="2" s="1"/>
  <c r="C218" i="2"/>
  <c r="P218" i="2" s="1"/>
  <c r="A219" i="2"/>
  <c r="AB216" i="2" l="1"/>
  <c r="AH94" i="2"/>
  <c r="AI95" i="2" s="1"/>
  <c r="S95" i="2"/>
  <c r="T95" i="2"/>
  <c r="M96" i="2" s="1"/>
  <c r="I95" i="2"/>
  <c r="N95" i="2"/>
  <c r="AE94" i="2"/>
  <c r="AF95" i="2" s="1"/>
  <c r="AV94" i="2"/>
  <c r="AR94" i="2" s="1"/>
  <c r="AW94" i="2" s="1"/>
  <c r="AU94" i="2" s="1"/>
  <c r="Y217" i="2"/>
  <c r="AM219" i="2"/>
  <c r="AP219" i="2"/>
  <c r="AA216" i="2"/>
  <c r="AD216" i="2" s="1"/>
  <c r="AD217" i="2" s="1"/>
  <c r="AD218" i="2" s="1"/>
  <c r="Z216" i="2"/>
  <c r="J218" i="2"/>
  <c r="F217" i="2"/>
  <c r="G217" i="2" s="1"/>
  <c r="H216" i="2"/>
  <c r="B220" i="2"/>
  <c r="AC219" i="2"/>
  <c r="AA219" i="2"/>
  <c r="AJ219" i="2"/>
  <c r="W219" i="2"/>
  <c r="K219" i="2"/>
  <c r="L218" i="2" s="1"/>
  <c r="C219" i="2"/>
  <c r="J219" i="2" s="1"/>
  <c r="E218" i="2"/>
  <c r="V218" i="2" s="1"/>
  <c r="BC218" i="2" s="1"/>
  <c r="D218" i="2"/>
  <c r="U218" i="2" s="1"/>
  <c r="AQ219" i="2"/>
  <c r="A220" i="2"/>
  <c r="AB217" i="2" l="1"/>
  <c r="AK95" i="2"/>
  <c r="Q95" i="2"/>
  <c r="O95" i="2" s="1"/>
  <c r="AT94" i="2"/>
  <c r="BB95" i="2" s="1"/>
  <c r="AL94" i="2"/>
  <c r="BA94" i="2" s="1"/>
  <c r="Y218" i="2"/>
  <c r="H217" i="2"/>
  <c r="AP220" i="2"/>
  <c r="AQ220" i="2"/>
  <c r="Z217" i="2"/>
  <c r="AD219" i="2"/>
  <c r="E219" i="2"/>
  <c r="V219" i="2" s="1"/>
  <c r="BC219" i="2" s="1"/>
  <c r="D219" i="2"/>
  <c r="U219" i="2" s="1"/>
  <c r="B221" i="2"/>
  <c r="AC220" i="2"/>
  <c r="AJ220" i="2"/>
  <c r="AA220" i="2"/>
  <c r="W220" i="2"/>
  <c r="C220" i="2"/>
  <c r="J220" i="2" s="1"/>
  <c r="K220" i="2"/>
  <c r="L219" i="2" s="1"/>
  <c r="P219" i="2"/>
  <c r="F218" i="2"/>
  <c r="G218" i="2" s="1"/>
  <c r="A221" i="2"/>
  <c r="AB218" i="2" l="1"/>
  <c r="AV95" i="2"/>
  <c r="AR95" i="2" s="1"/>
  <c r="AW95" i="2" s="1"/>
  <c r="R95" i="2"/>
  <c r="AG95" i="2" s="1"/>
  <c r="AN96" i="2"/>
  <c r="Y219" i="2"/>
  <c r="AP221" i="2"/>
  <c r="I96" i="2"/>
  <c r="AO96" i="2"/>
  <c r="AS96" i="2"/>
  <c r="X96" i="2"/>
  <c r="N96" i="2"/>
  <c r="Z218" i="2"/>
  <c r="AD220" i="2"/>
  <c r="E220" i="2"/>
  <c r="V220" i="2" s="1"/>
  <c r="BC220" i="2" s="1"/>
  <c r="D220" i="2"/>
  <c r="U220" i="2" s="1"/>
  <c r="F219" i="2"/>
  <c r="G219" i="2" s="1"/>
  <c r="P220" i="2"/>
  <c r="B222" i="2"/>
  <c r="AJ221" i="2"/>
  <c r="AC221" i="2"/>
  <c r="W221" i="2"/>
  <c r="AA221" i="2"/>
  <c r="C221" i="2"/>
  <c r="P221" i="2" s="1"/>
  <c r="K221" i="2"/>
  <c r="L220" i="2" s="1"/>
  <c r="H218" i="2"/>
  <c r="AQ221" i="2"/>
  <c r="A222" i="2"/>
  <c r="AB219" i="2" l="1"/>
  <c r="AE95" i="2"/>
  <c r="AF96" i="2" s="1"/>
  <c r="S96" i="2"/>
  <c r="T96" i="2"/>
  <c r="M97" i="2" s="1"/>
  <c r="AH95" i="2"/>
  <c r="Y220" i="2"/>
  <c r="AP222" i="2"/>
  <c r="AQ222" i="2"/>
  <c r="Q96" i="2"/>
  <c r="Z219" i="2"/>
  <c r="J221" i="2"/>
  <c r="AD221" i="2"/>
  <c r="B223" i="2"/>
  <c r="AJ222" i="2"/>
  <c r="AC222" i="2"/>
  <c r="AA222" i="2"/>
  <c r="W222" i="2"/>
  <c r="C222" i="2"/>
  <c r="J222" i="2" s="1"/>
  <c r="K222" i="2"/>
  <c r="L221" i="2" s="1"/>
  <c r="H219" i="2"/>
  <c r="E221" i="2"/>
  <c r="V221" i="2" s="1"/>
  <c r="BC221" i="2" s="1"/>
  <c r="D221" i="2"/>
  <c r="U221" i="2" s="1"/>
  <c r="F220" i="2"/>
  <c r="G220" i="2" s="1"/>
  <c r="A223" i="2"/>
  <c r="AB220" i="2" l="1"/>
  <c r="AL95" i="2"/>
  <c r="BA95" i="2" s="1"/>
  <c r="AJ96" i="2"/>
  <c r="AT95" i="2" s="1"/>
  <c r="BB96" i="2" s="1"/>
  <c r="Y221" i="2"/>
  <c r="AM223" i="2"/>
  <c r="AP223" i="2"/>
  <c r="O96" i="2"/>
  <c r="R96" i="2"/>
  <c r="AG96" i="2" s="1"/>
  <c r="Z220" i="2"/>
  <c r="AD222" i="2"/>
  <c r="H220" i="2"/>
  <c r="D222" i="2"/>
  <c r="U222" i="2" s="1"/>
  <c r="E222" i="2"/>
  <c r="V222" i="2" s="1"/>
  <c r="BC222" i="2" s="1"/>
  <c r="B224" i="2"/>
  <c r="AJ223" i="2"/>
  <c r="AC223" i="2"/>
  <c r="AA223" i="2"/>
  <c r="W223" i="2"/>
  <c r="K223" i="2"/>
  <c r="L222" i="2" s="1"/>
  <c r="C223" i="2"/>
  <c r="J223" i="2" s="1"/>
  <c r="F221" i="2"/>
  <c r="G221" i="2" s="1"/>
  <c r="P222" i="2"/>
  <c r="AQ223" i="2"/>
  <c r="A224" i="2"/>
  <c r="AB221" i="2" l="1"/>
  <c r="AI96" i="2"/>
  <c r="AK96" i="2" s="1"/>
  <c r="AV96" i="2"/>
  <c r="AR96" i="2" s="1"/>
  <c r="AW96" i="2" s="1"/>
  <c r="AU96" i="2" s="1"/>
  <c r="AN97" i="2"/>
  <c r="AQ224" i="2"/>
  <c r="Y222" i="2"/>
  <c r="AM224" i="2"/>
  <c r="AP224" i="2"/>
  <c r="P223" i="2"/>
  <c r="Z221" i="2"/>
  <c r="S97" i="2"/>
  <c r="AE96" i="2"/>
  <c r="T97" i="2"/>
  <c r="M98" i="2" s="1"/>
  <c r="AO97" i="2"/>
  <c r="I97" i="2"/>
  <c r="AS97" i="2"/>
  <c r="X97" i="2"/>
  <c r="N97" i="2"/>
  <c r="AD223" i="2"/>
  <c r="F222" i="2"/>
  <c r="G222" i="2" s="1"/>
  <c r="H221" i="2"/>
  <c r="B225" i="2"/>
  <c r="AC224" i="2"/>
  <c r="AJ224" i="2"/>
  <c r="AA224" i="2"/>
  <c r="W224" i="2"/>
  <c r="C224" i="2"/>
  <c r="P224" i="2" s="1"/>
  <c r="K224" i="2"/>
  <c r="L223" i="2" s="1"/>
  <c r="D223" i="2"/>
  <c r="U223" i="2" s="1"/>
  <c r="E223" i="2"/>
  <c r="V223" i="2" s="1"/>
  <c r="BC223" i="2" s="1"/>
  <c r="A225" i="2"/>
  <c r="AB222" i="2" l="1"/>
  <c r="AH96" i="2"/>
  <c r="AI97" i="2" s="1"/>
  <c r="Y223" i="2"/>
  <c r="AP225" i="2"/>
  <c r="AM225" i="2"/>
  <c r="Z222" i="2"/>
  <c r="AF97" i="2"/>
  <c r="Q97" i="2"/>
  <c r="R97" i="2" s="1"/>
  <c r="J224" i="2"/>
  <c r="AQ225" i="2"/>
  <c r="AD224" i="2"/>
  <c r="B226" i="2"/>
  <c r="AJ225" i="2"/>
  <c r="AA225" i="2"/>
  <c r="AC225" i="2"/>
  <c r="W225" i="2"/>
  <c r="K225" i="2"/>
  <c r="L224" i="2" s="1"/>
  <c r="C225" i="2"/>
  <c r="P225" i="2" s="1"/>
  <c r="F223" i="2"/>
  <c r="G223" i="2" s="1"/>
  <c r="D224" i="2"/>
  <c r="U224" i="2" s="1"/>
  <c r="E224" i="2"/>
  <c r="V224" i="2" s="1"/>
  <c r="BC224" i="2" s="1"/>
  <c r="H222" i="2"/>
  <c r="A226" i="2"/>
  <c r="AB223" i="2" l="1"/>
  <c r="AK97" i="2"/>
  <c r="AT96" i="2"/>
  <c r="BB97" i="2" s="1"/>
  <c r="AL96" i="2"/>
  <c r="BA96" i="2" s="1"/>
  <c r="T98" i="2"/>
  <c r="M99" i="2" s="1"/>
  <c r="AG97" i="2"/>
  <c r="Y224" i="2"/>
  <c r="AM226" i="2"/>
  <c r="AP226" i="2"/>
  <c r="J225" i="2"/>
  <c r="S98" i="2"/>
  <c r="AE97" i="2"/>
  <c r="AH97" i="2"/>
  <c r="AI98" i="2" s="1"/>
  <c r="O97" i="2"/>
  <c r="Z223" i="2"/>
  <c r="AQ226" i="2"/>
  <c r="F224" i="2"/>
  <c r="G224" i="2" s="1"/>
  <c r="AD225" i="2"/>
  <c r="H223" i="2"/>
  <c r="B227" i="2"/>
  <c r="AJ226" i="2"/>
  <c r="W226" i="2"/>
  <c r="AA226" i="2"/>
  <c r="AC226" i="2"/>
  <c r="K226" i="2"/>
  <c r="L225" i="2" s="1"/>
  <c r="C226" i="2"/>
  <c r="J226" i="2" s="1"/>
  <c r="D225" i="2"/>
  <c r="U225" i="2" s="1"/>
  <c r="E225" i="2"/>
  <c r="V225" i="2" s="1"/>
  <c r="BC225" i="2" s="1"/>
  <c r="A227" i="2"/>
  <c r="AB224" i="2" l="1"/>
  <c r="AV97" i="2"/>
  <c r="AR97" i="2" s="1"/>
  <c r="AW97" i="2" s="1"/>
  <c r="AU97" i="2" s="1"/>
  <c r="AN98" i="2"/>
  <c r="AT97" i="2"/>
  <c r="AL97" i="2"/>
  <c r="BA97" i="2" s="1"/>
  <c r="Y225" i="2"/>
  <c r="H224" i="2"/>
  <c r="AP227" i="2"/>
  <c r="AQ227" i="2"/>
  <c r="AF98" i="2"/>
  <c r="AO98" i="2"/>
  <c r="X98" i="2"/>
  <c r="AS98" i="2"/>
  <c r="I98" i="2"/>
  <c r="N98" i="2"/>
  <c r="P226" i="2"/>
  <c r="AU227" i="2"/>
  <c r="Z224" i="2"/>
  <c r="AD226" i="2"/>
  <c r="B228" i="2"/>
  <c r="AC227" i="2"/>
  <c r="AA227" i="2"/>
  <c r="AJ227" i="2"/>
  <c r="W227" i="2"/>
  <c r="K227" i="2"/>
  <c r="L226" i="2" s="1"/>
  <c r="C227" i="2"/>
  <c r="P227" i="2" s="1"/>
  <c r="F225" i="2"/>
  <c r="G225" i="2" s="1"/>
  <c r="E226" i="2"/>
  <c r="V226" i="2" s="1"/>
  <c r="BC226" i="2" s="1"/>
  <c r="D226" i="2"/>
  <c r="U226" i="2" s="1"/>
  <c r="A228" i="2"/>
  <c r="AB225" i="2" l="1"/>
  <c r="BB98" i="2"/>
  <c r="Y226" i="2"/>
  <c r="AM228" i="2"/>
  <c r="AP228" i="2"/>
  <c r="AK98" i="2"/>
  <c r="Q98" i="2"/>
  <c r="R98" i="2" s="1"/>
  <c r="AG98" i="2" s="1"/>
  <c r="AV98" i="2"/>
  <c r="AR98" i="2" s="1"/>
  <c r="AW98" i="2" s="1"/>
  <c r="J227" i="2"/>
  <c r="F226" i="2"/>
  <c r="G226" i="2" s="1"/>
  <c r="AQ228" i="2"/>
  <c r="Z225" i="2"/>
  <c r="AD227" i="2"/>
  <c r="B229" i="2"/>
  <c r="AC228" i="2"/>
  <c r="W228" i="2"/>
  <c r="C228" i="2"/>
  <c r="P228" i="2" s="1"/>
  <c r="K228" i="2"/>
  <c r="L227" i="2" s="1"/>
  <c r="H225" i="2"/>
  <c r="D227" i="2"/>
  <c r="U227" i="2" s="1"/>
  <c r="E227" i="2"/>
  <c r="V227" i="2" s="1"/>
  <c r="BC227" i="2" s="1"/>
  <c r="A229" i="2"/>
  <c r="AB226" i="2" l="1"/>
  <c r="Y227" i="2"/>
  <c r="H226" i="2"/>
  <c r="AP229" i="2"/>
  <c r="AM229" i="2"/>
  <c r="AU98" i="2"/>
  <c r="O98" i="2"/>
  <c r="J228" i="2"/>
  <c r="Z226" i="2"/>
  <c r="S99" i="2"/>
  <c r="AH98" i="2"/>
  <c r="AI99" i="2" s="1"/>
  <c r="AE98" i="2"/>
  <c r="T99" i="2"/>
  <c r="M100" i="2" s="1"/>
  <c r="AQ229" i="2"/>
  <c r="F227" i="2"/>
  <c r="G227" i="2" s="1"/>
  <c r="E228" i="2"/>
  <c r="V228" i="2" s="1"/>
  <c r="BC228" i="2" s="1"/>
  <c r="D228" i="2"/>
  <c r="U228" i="2" s="1"/>
  <c r="B230" i="2"/>
  <c r="AC229" i="2"/>
  <c r="AA229" i="2"/>
  <c r="AJ229" i="2"/>
  <c r="W229" i="2"/>
  <c r="C229" i="2"/>
  <c r="J229" i="2" s="1"/>
  <c r="K229" i="2"/>
  <c r="L228" i="2" s="1"/>
  <c r="A230" i="2"/>
  <c r="AB227" i="2" l="1"/>
  <c r="AL98" i="2"/>
  <c r="BA98" i="2" s="1"/>
  <c r="AT98" i="2"/>
  <c r="Y228" i="2"/>
  <c r="H227" i="2"/>
  <c r="AO99" i="2"/>
  <c r="AN99" i="2"/>
  <c r="AM230" i="2"/>
  <c r="AP230" i="2"/>
  <c r="X99" i="2"/>
  <c r="N99" i="2"/>
  <c r="AS99" i="2"/>
  <c r="I99" i="2"/>
  <c r="Z227" i="2"/>
  <c r="AF99" i="2"/>
  <c r="P229" i="2"/>
  <c r="B231" i="2"/>
  <c r="AJ230" i="2"/>
  <c r="AC230" i="2"/>
  <c r="AA230" i="2"/>
  <c r="W230" i="2"/>
  <c r="C230" i="2"/>
  <c r="J230" i="2" s="1"/>
  <c r="K230" i="2"/>
  <c r="L229" i="2" s="1"/>
  <c r="F228" i="2"/>
  <c r="G228" i="2" s="1"/>
  <c r="AQ230" i="2"/>
  <c r="E229" i="2"/>
  <c r="V229" i="2" s="1"/>
  <c r="BC229" i="2" s="1"/>
  <c r="D229" i="2"/>
  <c r="U229" i="2" s="1"/>
  <c r="A231" i="2"/>
  <c r="AB228" i="2" l="1"/>
  <c r="BB99" i="2"/>
  <c r="Y229" i="2"/>
  <c r="AM231" i="2"/>
  <c r="AP231" i="2"/>
  <c r="AK99" i="2"/>
  <c r="Q99" i="2"/>
  <c r="O99" i="2" s="1"/>
  <c r="Z228" i="2"/>
  <c r="AV99" i="2"/>
  <c r="AR99" i="2" s="1"/>
  <c r="AW99" i="2" s="1"/>
  <c r="P230" i="2"/>
  <c r="AQ231" i="2"/>
  <c r="AA228" i="2"/>
  <c r="AD228" i="2" s="1"/>
  <c r="AD229" i="2" s="1"/>
  <c r="AD230" i="2" s="1"/>
  <c r="B232" i="2"/>
  <c r="AJ231" i="2"/>
  <c r="W231" i="2"/>
  <c r="AC231" i="2"/>
  <c r="AA231" i="2"/>
  <c r="K231" i="2"/>
  <c r="L230" i="2" s="1"/>
  <c r="C231" i="2"/>
  <c r="P231" i="2" s="1"/>
  <c r="H228" i="2"/>
  <c r="F229" i="2"/>
  <c r="G229" i="2" s="1"/>
  <c r="E230" i="2"/>
  <c r="V230" i="2" s="1"/>
  <c r="BC230" i="2" s="1"/>
  <c r="D230" i="2"/>
  <c r="U230" i="2" s="1"/>
  <c r="A232" i="2"/>
  <c r="AB229" i="2" l="1"/>
  <c r="AN100" i="2"/>
  <c r="Y230" i="2"/>
  <c r="AP232" i="2"/>
  <c r="R99" i="2"/>
  <c r="AG99" i="2" s="1"/>
  <c r="AU99" i="2"/>
  <c r="F230" i="2"/>
  <c r="G230" i="2" s="1"/>
  <c r="AQ232" i="2"/>
  <c r="AO100" i="2"/>
  <c r="AS100" i="2"/>
  <c r="X100" i="2"/>
  <c r="N100" i="2"/>
  <c r="I100" i="2"/>
  <c r="J231" i="2"/>
  <c r="AD231" i="2"/>
  <c r="B233" i="2"/>
  <c r="AJ232" i="2"/>
  <c r="AC232" i="2"/>
  <c r="AA232" i="2"/>
  <c r="W232" i="2"/>
  <c r="K232" i="2"/>
  <c r="L231" i="2" s="1"/>
  <c r="C232" i="2"/>
  <c r="P232" i="2" s="1"/>
  <c r="H229" i="2"/>
  <c r="D231" i="2"/>
  <c r="U231" i="2" s="1"/>
  <c r="E231" i="2"/>
  <c r="V231" i="2" s="1"/>
  <c r="BC231" i="2" s="1"/>
  <c r="Z229" i="2"/>
  <c r="A233" i="2"/>
  <c r="AB230" i="2" l="1"/>
  <c r="Y231" i="2"/>
  <c r="H230" i="2"/>
  <c r="AP233" i="2"/>
  <c r="AM233" i="2"/>
  <c r="S100" i="2"/>
  <c r="T100" i="2"/>
  <c r="M101" i="2" s="1"/>
  <c r="AH99" i="2"/>
  <c r="AI100" i="2" s="1"/>
  <c r="AE99" i="2"/>
  <c r="AD232" i="2"/>
  <c r="Q100" i="2"/>
  <c r="Z230" i="2"/>
  <c r="J232" i="2"/>
  <c r="B234" i="2"/>
  <c r="AJ233" i="2"/>
  <c r="AA233" i="2"/>
  <c r="AC233" i="2"/>
  <c r="W233" i="2"/>
  <c r="K233" i="2"/>
  <c r="L232" i="2" s="1"/>
  <c r="C233" i="2"/>
  <c r="J233" i="2" s="1"/>
  <c r="F231" i="2"/>
  <c r="G231" i="2" s="1"/>
  <c r="AQ233" i="2"/>
  <c r="D232" i="2"/>
  <c r="U232" i="2" s="1"/>
  <c r="E232" i="2"/>
  <c r="V232" i="2" s="1"/>
  <c r="BC232" i="2" s="1"/>
  <c r="A234" i="2"/>
  <c r="AB231" i="2" l="1"/>
  <c r="AF100" i="2"/>
  <c r="AK100" i="2" s="1"/>
  <c r="AL99" i="2"/>
  <c r="BA99" i="2" s="1"/>
  <c r="AT99" i="2"/>
  <c r="BB100" i="2" s="1"/>
  <c r="Y232" i="2"/>
  <c r="AM234" i="2"/>
  <c r="AP234" i="2"/>
  <c r="R100" i="2"/>
  <c r="AD233" i="2"/>
  <c r="P233" i="2"/>
  <c r="O100" i="2"/>
  <c r="Z231" i="2"/>
  <c r="F232" i="2"/>
  <c r="G232" i="2" s="1"/>
  <c r="H231" i="2"/>
  <c r="E233" i="2"/>
  <c r="V233" i="2" s="1"/>
  <c r="BC233" i="2" s="1"/>
  <c r="D233" i="2"/>
  <c r="U233" i="2" s="1"/>
  <c r="B235" i="2"/>
  <c r="AC234" i="2"/>
  <c r="W234" i="2"/>
  <c r="AJ234" i="2"/>
  <c r="AA234" i="2"/>
  <c r="K234" i="2"/>
  <c r="L233" i="2" s="1"/>
  <c r="C234" i="2"/>
  <c r="J234" i="2" s="1"/>
  <c r="AQ234" i="2"/>
  <c r="A235" i="2"/>
  <c r="AB232" i="2" l="1"/>
  <c r="AV100" i="2"/>
  <c r="AR100" i="2" s="1"/>
  <c r="AW100" i="2" s="1"/>
  <c r="AU100" i="2" s="1"/>
  <c r="AN101" i="2"/>
  <c r="T101" i="2"/>
  <c r="M102" i="2" s="1"/>
  <c r="AG100" i="2"/>
  <c r="Y233" i="2"/>
  <c r="AQ235" i="2"/>
  <c r="AM235" i="2"/>
  <c r="AP235" i="2"/>
  <c r="S101" i="2"/>
  <c r="AE100" i="2"/>
  <c r="AH100" i="2"/>
  <c r="AI101" i="2" s="1"/>
  <c r="AD234" i="2"/>
  <c r="AO101" i="2"/>
  <c r="X101" i="2"/>
  <c r="I101" i="2"/>
  <c r="AS101" i="2"/>
  <c r="N101" i="2"/>
  <c r="Z232" i="2"/>
  <c r="F233" i="2"/>
  <c r="G233" i="2" s="1"/>
  <c r="E234" i="2"/>
  <c r="V234" i="2" s="1"/>
  <c r="BC234" i="2" s="1"/>
  <c r="D234" i="2"/>
  <c r="U234" i="2" s="1"/>
  <c r="H232" i="2"/>
  <c r="P234" i="2"/>
  <c r="B236" i="2"/>
  <c r="AC235" i="2"/>
  <c r="AJ235" i="2"/>
  <c r="W235" i="2"/>
  <c r="AA235" i="2"/>
  <c r="K235" i="2"/>
  <c r="L234" i="2" s="1"/>
  <c r="C235" i="2"/>
  <c r="P235" i="2" s="1"/>
  <c r="A236" i="2"/>
  <c r="AB233" i="2" l="1"/>
  <c r="AF101" i="2"/>
  <c r="AK101" i="2" s="1"/>
  <c r="AL100" i="2"/>
  <c r="BA100" i="2" s="1"/>
  <c r="AT100" i="2"/>
  <c r="BB101" i="2" s="1"/>
  <c r="Y234" i="2"/>
  <c r="AM236" i="2"/>
  <c r="AP236" i="2"/>
  <c r="AD235" i="2"/>
  <c r="Q101" i="2"/>
  <c r="O101" i="2" s="1"/>
  <c r="F234" i="2"/>
  <c r="G234" i="2" s="1"/>
  <c r="Z233" i="2"/>
  <c r="J235" i="2"/>
  <c r="AQ236" i="2"/>
  <c r="H233" i="2"/>
  <c r="E235" i="2"/>
  <c r="V235" i="2" s="1"/>
  <c r="BC235" i="2" s="1"/>
  <c r="D235" i="2"/>
  <c r="U235" i="2" s="1"/>
  <c r="B237" i="2"/>
  <c r="AC236" i="2"/>
  <c r="AA236" i="2"/>
  <c r="W236" i="2"/>
  <c r="AJ236" i="2"/>
  <c r="C236" i="2"/>
  <c r="J236" i="2" s="1"/>
  <c r="K236" i="2"/>
  <c r="L235" i="2" s="1"/>
  <c r="A237" i="2"/>
  <c r="AB234" i="2" l="1"/>
  <c r="AN102" i="2"/>
  <c r="Y235" i="2"/>
  <c r="H234" i="2"/>
  <c r="AM237" i="2"/>
  <c r="AP237" i="2"/>
  <c r="AV101" i="2"/>
  <c r="AR101" i="2" s="1"/>
  <c r="AW101" i="2" s="1"/>
  <c r="AU101" i="2" s="1"/>
  <c r="AD236" i="2"/>
  <c r="Z234" i="2"/>
  <c r="R101" i="2"/>
  <c r="AS102" i="2"/>
  <c r="X102" i="2"/>
  <c r="AO102" i="2"/>
  <c r="I102" i="2"/>
  <c r="N102" i="2"/>
  <c r="P236" i="2"/>
  <c r="B238" i="2"/>
  <c r="AC237" i="2"/>
  <c r="AJ237" i="2"/>
  <c r="AA237" i="2"/>
  <c r="W237" i="2"/>
  <c r="C237" i="2"/>
  <c r="J237" i="2" s="1"/>
  <c r="K237" i="2"/>
  <c r="L236" i="2" s="1"/>
  <c r="AQ237" i="2"/>
  <c r="F235" i="2"/>
  <c r="G235" i="2" s="1"/>
  <c r="E236" i="2"/>
  <c r="V236" i="2" s="1"/>
  <c r="BC236" i="2" s="1"/>
  <c r="D236" i="2"/>
  <c r="U236" i="2" s="1"/>
  <c r="A238" i="2"/>
  <c r="AB235" i="2" l="1"/>
  <c r="S102" i="2"/>
  <c r="AG101" i="2"/>
  <c r="Y236" i="2"/>
  <c r="AQ238" i="2"/>
  <c r="AP238" i="2"/>
  <c r="AM238" i="2"/>
  <c r="AD237" i="2"/>
  <c r="Z235" i="2"/>
  <c r="T102" i="2"/>
  <c r="M103" i="2" s="1"/>
  <c r="AE101" i="2"/>
  <c r="AH101" i="2"/>
  <c r="AI102" i="2" s="1"/>
  <c r="Q102" i="2"/>
  <c r="F236" i="2"/>
  <c r="G236" i="2" s="1"/>
  <c r="E237" i="2"/>
  <c r="V237" i="2" s="1"/>
  <c r="BC237" i="2" s="1"/>
  <c r="D237" i="2"/>
  <c r="U237" i="2" s="1"/>
  <c r="H235" i="2"/>
  <c r="P237" i="2"/>
  <c r="B239" i="2"/>
  <c r="AJ238" i="2"/>
  <c r="AC238" i="2"/>
  <c r="AA238" i="2"/>
  <c r="W238" i="2"/>
  <c r="C238" i="2"/>
  <c r="J238" i="2" s="1"/>
  <c r="K238" i="2"/>
  <c r="L237" i="2" s="1"/>
  <c r="A239" i="2"/>
  <c r="AB236" i="2" l="1"/>
  <c r="AF102" i="2"/>
  <c r="AK102" i="2" s="1"/>
  <c r="AL101" i="2"/>
  <c r="BA101" i="2" s="1"/>
  <c r="AT101" i="2"/>
  <c r="BB102" i="2" s="1"/>
  <c r="Y237" i="2"/>
  <c r="H236" i="2"/>
  <c r="AQ239" i="2"/>
  <c r="AP239" i="2"/>
  <c r="R102" i="2"/>
  <c r="S103" i="2" s="1"/>
  <c r="AD238" i="2"/>
  <c r="O102" i="2"/>
  <c r="Z236" i="2"/>
  <c r="AU239" i="2"/>
  <c r="E238" i="2"/>
  <c r="V238" i="2" s="1"/>
  <c r="BC238" i="2" s="1"/>
  <c r="D238" i="2"/>
  <c r="U238" i="2" s="1"/>
  <c r="F237" i="2"/>
  <c r="G237" i="2" s="1"/>
  <c r="P238" i="2"/>
  <c r="B240" i="2"/>
  <c r="AJ239" i="2"/>
  <c r="AC239" i="2"/>
  <c r="AA239" i="2"/>
  <c r="W239" i="2"/>
  <c r="K239" i="2"/>
  <c r="L238" i="2" s="1"/>
  <c r="C239" i="2"/>
  <c r="P239" i="2" s="1"/>
  <c r="A240" i="2"/>
  <c r="AB237" i="2" l="1"/>
  <c r="AG102" i="2"/>
  <c r="Y238" i="2"/>
  <c r="N103" i="2"/>
  <c r="AN103" i="2"/>
  <c r="AM240" i="2"/>
  <c r="AP240" i="2"/>
  <c r="T103" i="2"/>
  <c r="M104" i="2" s="1"/>
  <c r="AE102" i="2"/>
  <c r="AH102" i="2"/>
  <c r="AI103" i="2" s="1"/>
  <c r="AD239" i="2"/>
  <c r="AS103" i="2"/>
  <c r="X103" i="2"/>
  <c r="AO103" i="2"/>
  <c r="I103" i="2"/>
  <c r="AV102" i="2"/>
  <c r="AR102" i="2" s="1"/>
  <c r="AW102" i="2" s="1"/>
  <c r="Z237" i="2"/>
  <c r="J239" i="2"/>
  <c r="AQ240" i="2"/>
  <c r="B241" i="2"/>
  <c r="AC240" i="2"/>
  <c r="W240" i="2"/>
  <c r="K240" i="2"/>
  <c r="L239" i="2" s="1"/>
  <c r="C240" i="2"/>
  <c r="P240" i="2" s="1"/>
  <c r="D239" i="2"/>
  <c r="U239" i="2" s="1"/>
  <c r="E239" i="2"/>
  <c r="V239" i="2" s="1"/>
  <c r="BC239" i="2" s="1"/>
  <c r="F238" i="2"/>
  <c r="G238" i="2" s="1"/>
  <c r="H237" i="2"/>
  <c r="A241" i="2"/>
  <c r="AB238" i="2" l="1"/>
  <c r="Q103" i="2"/>
  <c r="R103" i="2" s="1"/>
  <c r="S104" i="2" s="1"/>
  <c r="AF103" i="2"/>
  <c r="AK103" i="2" s="1"/>
  <c r="AL102" i="2"/>
  <c r="BA102" i="2" s="1"/>
  <c r="AT102" i="2"/>
  <c r="BB103" i="2" s="1"/>
  <c r="Y239" i="2"/>
  <c r="AP241" i="2"/>
  <c r="AU102" i="2"/>
  <c r="Z238" i="2"/>
  <c r="AQ241" i="2"/>
  <c r="J240" i="2"/>
  <c r="F239" i="2"/>
  <c r="G239" i="2" s="1"/>
  <c r="D240" i="2"/>
  <c r="U240" i="2" s="1"/>
  <c r="E240" i="2"/>
  <c r="V240" i="2" s="1"/>
  <c r="BC240" i="2" s="1"/>
  <c r="B242" i="2"/>
  <c r="AJ241" i="2"/>
  <c r="AC241" i="2"/>
  <c r="AA241" i="2"/>
  <c r="W241" i="2"/>
  <c r="K241" i="2"/>
  <c r="L240" i="2" s="1"/>
  <c r="C241" i="2"/>
  <c r="P241" i="2" s="1"/>
  <c r="H238" i="2"/>
  <c r="A242" i="2"/>
  <c r="AB239" i="2" l="1"/>
  <c r="O103" i="2"/>
  <c r="N104" i="2" s="1"/>
  <c r="AG103" i="2"/>
  <c r="AH103" i="2"/>
  <c r="AI104" i="2" s="1"/>
  <c r="T104" i="2"/>
  <c r="M105" i="2" s="1"/>
  <c r="AE103" i="2"/>
  <c r="Y240" i="2"/>
  <c r="AM104" i="2"/>
  <c r="AP242" i="2"/>
  <c r="AV103" i="2"/>
  <c r="AR103" i="2" s="1"/>
  <c r="AW103" i="2" s="1"/>
  <c r="AU103" i="2" s="1"/>
  <c r="Z239" i="2"/>
  <c r="J241" i="2"/>
  <c r="F240" i="2"/>
  <c r="G240" i="2" s="1"/>
  <c r="B243" i="2"/>
  <c r="AJ242" i="2"/>
  <c r="AA242" i="2"/>
  <c r="W242" i="2"/>
  <c r="AC242" i="2"/>
  <c r="K242" i="2"/>
  <c r="L241" i="2" s="1"/>
  <c r="C242" i="2"/>
  <c r="J242" i="2" s="1"/>
  <c r="AQ242" i="2"/>
  <c r="H239" i="2"/>
  <c r="E241" i="2"/>
  <c r="V241" i="2" s="1"/>
  <c r="BC241" i="2" s="1"/>
  <c r="D241" i="2"/>
  <c r="U241" i="2" s="1"/>
  <c r="A243" i="2"/>
  <c r="AB240" i="2" l="1"/>
  <c r="AN104" i="2"/>
  <c r="AO104" i="2"/>
  <c r="AS104" i="2"/>
  <c r="I104" i="2"/>
  <c r="Q104" i="2" s="1"/>
  <c r="R104" i="2" s="1"/>
  <c r="T105" i="2" s="1"/>
  <c r="M106" i="2" s="1"/>
  <c r="X104" i="2"/>
  <c r="AF104" i="2"/>
  <c r="AL103" i="2"/>
  <c r="BA103" i="2" s="1"/>
  <c r="AT103" i="2"/>
  <c r="Y241" i="2"/>
  <c r="H240" i="2"/>
  <c r="AQ243" i="2"/>
  <c r="AM243" i="2"/>
  <c r="AP243" i="2"/>
  <c r="Z240" i="2"/>
  <c r="AA240" i="2"/>
  <c r="AD240" i="2" s="1"/>
  <c r="AD241" i="2" s="1"/>
  <c r="AD242" i="2" s="1"/>
  <c r="F241" i="2"/>
  <c r="G241" i="2" s="1"/>
  <c r="E242" i="2"/>
  <c r="V242" i="2" s="1"/>
  <c r="BC242" i="2" s="1"/>
  <c r="D242" i="2"/>
  <c r="U242" i="2" s="1"/>
  <c r="P242" i="2"/>
  <c r="B244" i="2"/>
  <c r="AC243" i="2"/>
  <c r="AJ243" i="2"/>
  <c r="W243" i="2"/>
  <c r="AA243" i="2"/>
  <c r="K243" i="2"/>
  <c r="L242" i="2" s="1"/>
  <c r="C243" i="2"/>
  <c r="P243" i="2" s="1"/>
  <c r="A244" i="2"/>
  <c r="AB241" i="2" l="1"/>
  <c r="AK104" i="2"/>
  <c r="BB104" i="2"/>
  <c r="AG104" i="2"/>
  <c r="AV104" i="2"/>
  <c r="AR104" i="2" s="1"/>
  <c r="AW104" i="2" s="1"/>
  <c r="Y242" i="2"/>
  <c r="H241" i="2"/>
  <c r="AQ244" i="2"/>
  <c r="AP244" i="2"/>
  <c r="S105" i="2"/>
  <c r="AH104" i="2"/>
  <c r="AI105" i="2" s="1"/>
  <c r="O104" i="2"/>
  <c r="AE104" i="2"/>
  <c r="J243" i="2"/>
  <c r="F242" i="2"/>
  <c r="G242" i="2" s="1"/>
  <c r="AD243" i="2"/>
  <c r="Z241" i="2"/>
  <c r="B245" i="2"/>
  <c r="AC244" i="2"/>
  <c r="AJ244" i="2"/>
  <c r="W244" i="2"/>
  <c r="AA244" i="2"/>
  <c r="C244" i="2"/>
  <c r="P244" i="2" s="1"/>
  <c r="K244" i="2"/>
  <c r="L243" i="2" s="1"/>
  <c r="E243" i="2"/>
  <c r="V243" i="2" s="1"/>
  <c r="BC243" i="2" s="1"/>
  <c r="D243" i="2"/>
  <c r="U243" i="2" s="1"/>
  <c r="A245" i="2"/>
  <c r="AU104" i="2" l="1"/>
  <c r="AB242" i="2"/>
  <c r="AF105" i="2"/>
  <c r="AL104" i="2"/>
  <c r="BA104" i="2" s="1"/>
  <c r="AT104" i="2"/>
  <c r="Y243" i="2"/>
  <c r="AS105" i="2"/>
  <c r="AN105" i="2"/>
  <c r="H242" i="2"/>
  <c r="AQ245" i="2"/>
  <c r="AP245" i="2"/>
  <c r="AO105" i="2"/>
  <c r="X105" i="2"/>
  <c r="N105" i="2"/>
  <c r="I105" i="2"/>
  <c r="AD244" i="2"/>
  <c r="Z242" i="2"/>
  <c r="J244" i="2"/>
  <c r="F243" i="2"/>
  <c r="G243" i="2" s="1"/>
  <c r="B246" i="2"/>
  <c r="AC245" i="2"/>
  <c r="AA245" i="2"/>
  <c r="AJ245" i="2"/>
  <c r="W245" i="2"/>
  <c r="C245" i="2"/>
  <c r="J245" i="2" s="1"/>
  <c r="K245" i="2"/>
  <c r="L244" i="2" s="1"/>
  <c r="E244" i="2"/>
  <c r="V244" i="2" s="1"/>
  <c r="BC244" i="2" s="1"/>
  <c r="D244" i="2"/>
  <c r="U244" i="2" s="1"/>
  <c r="A246" i="2"/>
  <c r="AB243" i="2" l="1"/>
  <c r="AK105" i="2"/>
  <c r="BB105" i="2"/>
  <c r="Y244" i="2"/>
  <c r="H243" i="2"/>
  <c r="AM246" i="2"/>
  <c r="AP246" i="2"/>
  <c r="AV105" i="2"/>
  <c r="AR105" i="2" s="1"/>
  <c r="AW105" i="2" s="1"/>
  <c r="Q105" i="2"/>
  <c r="R105" i="2" s="1"/>
  <c r="AG105" i="2" s="1"/>
  <c r="AD245" i="2"/>
  <c r="Z243" i="2"/>
  <c r="AQ246" i="2"/>
  <c r="F244" i="2"/>
  <c r="G244" i="2" s="1"/>
  <c r="E245" i="2"/>
  <c r="V245" i="2" s="1"/>
  <c r="BC245" i="2" s="1"/>
  <c r="D245" i="2"/>
  <c r="U245" i="2" s="1"/>
  <c r="P245" i="2"/>
  <c r="B247" i="2"/>
  <c r="AA246" i="2"/>
  <c r="AC246" i="2"/>
  <c r="W246" i="2"/>
  <c r="AJ246" i="2"/>
  <c r="C246" i="2"/>
  <c r="P246" i="2" s="1"/>
  <c r="K246" i="2"/>
  <c r="L245" i="2" s="1"/>
  <c r="A247" i="2"/>
  <c r="AB244" i="2" l="1"/>
  <c r="Y245" i="2"/>
  <c r="H244" i="2"/>
  <c r="AP247" i="2"/>
  <c r="AU105" i="2"/>
  <c r="O105" i="2"/>
  <c r="AD246" i="2"/>
  <c r="S106" i="2"/>
  <c r="AH105" i="2"/>
  <c r="AI106" i="2" s="1"/>
  <c r="AE105" i="2"/>
  <c r="T106" i="2"/>
  <c r="M107" i="2" s="1"/>
  <c r="Z244" i="2"/>
  <c r="J246" i="2"/>
  <c r="AQ247" i="2"/>
  <c r="B248" i="2"/>
  <c r="AJ247" i="2"/>
  <c r="AA247" i="2"/>
  <c r="W247" i="2"/>
  <c r="AC247" i="2"/>
  <c r="K247" i="2"/>
  <c r="L246" i="2" s="1"/>
  <c r="C247" i="2"/>
  <c r="P247" i="2" s="1"/>
  <c r="F245" i="2"/>
  <c r="G245" i="2" s="1"/>
  <c r="E246" i="2"/>
  <c r="V246" i="2" s="1"/>
  <c r="BC246" i="2" s="1"/>
  <c r="D246" i="2"/>
  <c r="U246" i="2" s="1"/>
  <c r="A248" i="2"/>
  <c r="AB245" i="2" l="1"/>
  <c r="AT105" i="2"/>
  <c r="AL105" i="2"/>
  <c r="BA105" i="2" s="1"/>
  <c r="Y246" i="2"/>
  <c r="AO106" i="2"/>
  <c r="AN106" i="2"/>
  <c r="AP248" i="2"/>
  <c r="X106" i="2"/>
  <c r="AD247" i="2"/>
  <c r="N106" i="2"/>
  <c r="I106" i="2"/>
  <c r="AS106" i="2"/>
  <c r="AF106" i="2"/>
  <c r="Z245" i="2"/>
  <c r="J247" i="2"/>
  <c r="H245" i="2"/>
  <c r="B249" i="2"/>
  <c r="AJ248" i="2"/>
  <c r="AC248" i="2"/>
  <c r="AA248" i="2"/>
  <c r="W248" i="2"/>
  <c r="C248" i="2"/>
  <c r="J248" i="2" s="1"/>
  <c r="K248" i="2"/>
  <c r="L247" i="2" s="1"/>
  <c r="D247" i="2"/>
  <c r="U247" i="2" s="1"/>
  <c r="E247" i="2"/>
  <c r="V247" i="2" s="1"/>
  <c r="BC247" i="2" s="1"/>
  <c r="F246" i="2"/>
  <c r="G246" i="2" s="1"/>
  <c r="AQ248" i="2"/>
  <c r="A249" i="2"/>
  <c r="AB246" i="2" l="1"/>
  <c r="BB106" i="2"/>
  <c r="Y247" i="2"/>
  <c r="AD248" i="2"/>
  <c r="AP249" i="2"/>
  <c r="AK106" i="2"/>
  <c r="Q106" i="2"/>
  <c r="O106" i="2" s="1"/>
  <c r="AV106" i="2"/>
  <c r="AR106" i="2" s="1"/>
  <c r="AW106" i="2" s="1"/>
  <c r="Z246" i="2"/>
  <c r="B250" i="2"/>
  <c r="AJ249" i="2"/>
  <c r="AA249" i="2"/>
  <c r="W249" i="2"/>
  <c r="AC249" i="2"/>
  <c r="K249" i="2"/>
  <c r="L248" i="2" s="1"/>
  <c r="C249" i="2"/>
  <c r="J249" i="2" s="1"/>
  <c r="P248" i="2"/>
  <c r="H246" i="2"/>
  <c r="D248" i="2"/>
  <c r="U248" i="2" s="1"/>
  <c r="E248" i="2"/>
  <c r="V248" i="2" s="1"/>
  <c r="BC248" i="2" s="1"/>
  <c r="AQ249" i="2"/>
  <c r="F247" i="2"/>
  <c r="G247" i="2" s="1"/>
  <c r="A250" i="2"/>
  <c r="AB247" i="2" l="1"/>
  <c r="AN107" i="2"/>
  <c r="Y248" i="2"/>
  <c r="AU106" i="2"/>
  <c r="AD249" i="2"/>
  <c r="AP250" i="2"/>
  <c r="R106" i="2"/>
  <c r="AS107" i="2"/>
  <c r="N107" i="2"/>
  <c r="I107" i="2"/>
  <c r="X107" i="2"/>
  <c r="AO107" i="2"/>
  <c r="AQ250" i="2"/>
  <c r="Z247" i="2"/>
  <c r="F248" i="2"/>
  <c r="G248" i="2" s="1"/>
  <c r="B251" i="2"/>
  <c r="AC250" i="2"/>
  <c r="AJ250" i="2"/>
  <c r="AA250" i="2"/>
  <c r="W250" i="2"/>
  <c r="K250" i="2"/>
  <c r="L249" i="2" s="1"/>
  <c r="C250" i="2"/>
  <c r="J250" i="2" s="1"/>
  <c r="D249" i="2"/>
  <c r="U249" i="2" s="1"/>
  <c r="E249" i="2"/>
  <c r="V249" i="2" s="1"/>
  <c r="BC249" i="2" s="1"/>
  <c r="P249" i="2"/>
  <c r="H247" i="2"/>
  <c r="A251" i="2"/>
  <c r="AB248" i="2" l="1"/>
  <c r="T107" i="2"/>
  <c r="M108" i="2" s="1"/>
  <c r="AG106" i="2"/>
  <c r="Y249" i="2"/>
  <c r="AD250" i="2"/>
  <c r="AP251" i="2"/>
  <c r="AH106" i="2"/>
  <c r="AI107" i="2" s="1"/>
  <c r="AE106" i="2"/>
  <c r="S107" i="2"/>
  <c r="Q107" i="2"/>
  <c r="AQ251" i="2"/>
  <c r="F249" i="2"/>
  <c r="G249" i="2" s="1"/>
  <c r="Z248" i="2"/>
  <c r="AU251" i="2"/>
  <c r="B252" i="2"/>
  <c r="AC251" i="2"/>
  <c r="AA251" i="2"/>
  <c r="W251" i="2"/>
  <c r="AJ251" i="2"/>
  <c r="K251" i="2"/>
  <c r="L250" i="2" s="1"/>
  <c r="C251" i="2"/>
  <c r="P251" i="2" s="1"/>
  <c r="E250" i="2"/>
  <c r="V250" i="2" s="1"/>
  <c r="BC250" i="2" s="1"/>
  <c r="D250" i="2"/>
  <c r="U250" i="2" s="1"/>
  <c r="H248" i="2"/>
  <c r="P250" i="2"/>
  <c r="A252" i="2"/>
  <c r="AB249" i="2" l="1"/>
  <c r="AF107" i="2"/>
  <c r="AK107" i="2" s="1"/>
  <c r="AL106" i="2"/>
  <c r="BA106" i="2" s="1"/>
  <c r="AT106" i="2"/>
  <c r="BB107" i="2" s="1"/>
  <c r="Y250" i="2"/>
  <c r="H249" i="2"/>
  <c r="AD251" i="2"/>
  <c r="AM252" i="2"/>
  <c r="AP252" i="2"/>
  <c r="R107" i="2"/>
  <c r="T108" i="2" s="1"/>
  <c r="M109" i="2" s="1"/>
  <c r="O107" i="2"/>
  <c r="J251" i="2"/>
  <c r="Z249" i="2"/>
  <c r="B253" i="2"/>
  <c r="AC252" i="2"/>
  <c r="W252" i="2"/>
  <c r="C252" i="2"/>
  <c r="P252" i="2" s="1"/>
  <c r="K252" i="2"/>
  <c r="L251" i="2" s="1"/>
  <c r="AQ252" i="2"/>
  <c r="D251" i="2"/>
  <c r="U251" i="2" s="1"/>
  <c r="E251" i="2"/>
  <c r="V251" i="2" s="1"/>
  <c r="BC251" i="2" s="1"/>
  <c r="F250" i="2"/>
  <c r="G250" i="2" s="1"/>
  <c r="A253" i="2"/>
  <c r="AB250" i="2" l="1"/>
  <c r="AV107" i="2"/>
  <c r="AR107" i="2" s="1"/>
  <c r="AW107" i="2" s="1"/>
  <c r="AN108" i="2"/>
  <c r="AG107" i="2"/>
  <c r="Y251" i="2"/>
  <c r="AP253" i="2"/>
  <c r="AH107" i="2"/>
  <c r="AE107" i="2"/>
  <c r="S108" i="2"/>
  <c r="AO108" i="2"/>
  <c r="AS108" i="2"/>
  <c r="N108" i="2"/>
  <c r="I108" i="2"/>
  <c r="X108" i="2"/>
  <c r="Z250" i="2"/>
  <c r="J252" i="2"/>
  <c r="F251" i="2"/>
  <c r="G251" i="2" s="1"/>
  <c r="B254" i="2"/>
  <c r="AC253" i="2"/>
  <c r="AJ253" i="2"/>
  <c r="AA253" i="2"/>
  <c r="W253" i="2"/>
  <c r="C253" i="2"/>
  <c r="J253" i="2" s="1"/>
  <c r="K253" i="2"/>
  <c r="L252" i="2" s="1"/>
  <c r="H250" i="2"/>
  <c r="AQ253" i="2"/>
  <c r="E252" i="2"/>
  <c r="V252" i="2" s="1"/>
  <c r="BC252" i="2" s="1"/>
  <c r="D252" i="2"/>
  <c r="U252" i="2" s="1"/>
  <c r="A254" i="2"/>
  <c r="AB251" i="2" l="1"/>
  <c r="AF108" i="2"/>
  <c r="AL107" i="2"/>
  <c r="BA107" i="2" s="1"/>
  <c r="Y252" i="2"/>
  <c r="H251" i="2"/>
  <c r="AM254" i="2"/>
  <c r="AP254" i="2"/>
  <c r="AJ108" i="2"/>
  <c r="AT107" i="2" s="1"/>
  <c r="BB108" i="2" s="1"/>
  <c r="Q108" i="2"/>
  <c r="R108" i="2" s="1"/>
  <c r="AG108" i="2" s="1"/>
  <c r="Z251" i="2"/>
  <c r="P253" i="2"/>
  <c r="AQ254" i="2"/>
  <c r="F252" i="2"/>
  <c r="G252" i="2" s="1"/>
  <c r="B255" i="2"/>
  <c r="AA254" i="2"/>
  <c r="AC254" i="2"/>
  <c r="AJ254" i="2"/>
  <c r="W254" i="2"/>
  <c r="C254" i="2"/>
  <c r="J254" i="2" s="1"/>
  <c r="K254" i="2"/>
  <c r="L253" i="2" s="1"/>
  <c r="E253" i="2"/>
  <c r="V253" i="2" s="1"/>
  <c r="BC253" i="2" s="1"/>
  <c r="D253" i="2"/>
  <c r="U253" i="2" s="1"/>
  <c r="A255" i="2"/>
  <c r="AB252" i="2" l="1"/>
  <c r="AV108" i="2"/>
  <c r="AR108" i="2" s="1"/>
  <c r="AW108" i="2" s="1"/>
  <c r="AU108" i="2" s="1"/>
  <c r="Y253" i="2"/>
  <c r="AP255" i="2"/>
  <c r="AI108" i="2"/>
  <c r="AH108" i="2" s="1"/>
  <c r="AI109" i="2" s="1"/>
  <c r="Z252" i="2"/>
  <c r="S109" i="2"/>
  <c r="AE108" i="2"/>
  <c r="T109" i="2"/>
  <c r="M110" i="2" s="1"/>
  <c r="O108" i="2"/>
  <c r="AA252" i="2"/>
  <c r="AD252" i="2" s="1"/>
  <c r="AD253" i="2" s="1"/>
  <c r="AD254" i="2" s="1"/>
  <c r="AQ255" i="2"/>
  <c r="F253" i="2"/>
  <c r="G253" i="2" s="1"/>
  <c r="B256" i="2"/>
  <c r="AJ255" i="2"/>
  <c r="AA255" i="2"/>
  <c r="AC255" i="2"/>
  <c r="W255" i="2"/>
  <c r="K255" i="2"/>
  <c r="L254" i="2" s="1"/>
  <c r="C255" i="2"/>
  <c r="J255" i="2" s="1"/>
  <c r="H252" i="2"/>
  <c r="E254" i="2"/>
  <c r="V254" i="2" s="1"/>
  <c r="BC254" i="2" s="1"/>
  <c r="D254" i="2"/>
  <c r="U254" i="2" s="1"/>
  <c r="P254" i="2"/>
  <c r="A256" i="2"/>
  <c r="AB253" i="2" l="1"/>
  <c r="AL108" i="2"/>
  <c r="AN109" i="2"/>
  <c r="AT108" i="2"/>
  <c r="Y254" i="2"/>
  <c r="H253" i="2"/>
  <c r="AP256" i="2"/>
  <c r="AK108" i="2"/>
  <c r="AS109" i="2"/>
  <c r="I109" i="2"/>
  <c r="N109" i="2"/>
  <c r="AO109" i="2"/>
  <c r="X109" i="2"/>
  <c r="AF109" i="2"/>
  <c r="AQ256" i="2"/>
  <c r="AD255" i="2"/>
  <c r="P255" i="2"/>
  <c r="Z253" i="2"/>
  <c r="F254" i="2"/>
  <c r="G254" i="2" s="1"/>
  <c r="D255" i="2"/>
  <c r="U255" i="2" s="1"/>
  <c r="E255" i="2"/>
  <c r="V255" i="2" s="1"/>
  <c r="BC255" i="2" s="1"/>
  <c r="B257" i="2"/>
  <c r="AJ256" i="2"/>
  <c r="AC256" i="2"/>
  <c r="AA256" i="2"/>
  <c r="W256" i="2"/>
  <c r="K256" i="2"/>
  <c r="L255" i="2" s="1"/>
  <c r="C256" i="2"/>
  <c r="J256" i="2" s="1"/>
  <c r="A257" i="2"/>
  <c r="AB254" i="2" l="1"/>
  <c r="BB109" i="2"/>
  <c r="Y255" i="2"/>
  <c r="AP257" i="2"/>
  <c r="BA108" i="2"/>
  <c r="Q109" i="2"/>
  <c r="R109" i="2" s="1"/>
  <c r="AK109" i="2"/>
  <c r="AV109" i="2"/>
  <c r="AR109" i="2" s="1"/>
  <c r="AW109" i="2" s="1"/>
  <c r="P256" i="2"/>
  <c r="AD256" i="2"/>
  <c r="AQ257" i="2"/>
  <c r="Z254" i="2"/>
  <c r="F255" i="2"/>
  <c r="G255" i="2" s="1"/>
  <c r="H254" i="2"/>
  <c r="D256" i="2"/>
  <c r="U256" i="2" s="1"/>
  <c r="E256" i="2"/>
  <c r="V256" i="2" s="1"/>
  <c r="BC256" i="2" s="1"/>
  <c r="B258" i="2"/>
  <c r="AJ257" i="2"/>
  <c r="AC257" i="2"/>
  <c r="AA257" i="2"/>
  <c r="W257" i="2"/>
  <c r="K257" i="2"/>
  <c r="L256" i="2" s="1"/>
  <c r="C257" i="2"/>
  <c r="P257" i="2" s="1"/>
  <c r="A258" i="2"/>
  <c r="AB255" i="2" l="1"/>
  <c r="AH109" i="2"/>
  <c r="AI110" i="2" s="1"/>
  <c r="AG109" i="2"/>
  <c r="Y256" i="2"/>
  <c r="H255" i="2"/>
  <c r="AM258" i="2"/>
  <c r="AP258" i="2"/>
  <c r="T110" i="2"/>
  <c r="S110" i="2"/>
  <c r="AE109" i="2"/>
  <c r="O109" i="2"/>
  <c r="AU109" i="2"/>
  <c r="AD257" i="2"/>
  <c r="Z255" i="2"/>
  <c r="AQ258" i="2"/>
  <c r="J257" i="2"/>
  <c r="F256" i="2"/>
  <c r="G256" i="2" s="1"/>
  <c r="D257" i="2"/>
  <c r="U257" i="2" s="1"/>
  <c r="E257" i="2"/>
  <c r="V257" i="2" s="1"/>
  <c r="BC257" i="2" s="1"/>
  <c r="B259" i="2"/>
  <c r="AJ258" i="2"/>
  <c r="W258" i="2"/>
  <c r="AA258" i="2"/>
  <c r="AC258" i="2"/>
  <c r="K258" i="2"/>
  <c r="L257" i="2" s="1"/>
  <c r="C258" i="2"/>
  <c r="J258" i="2" s="1"/>
  <c r="A259" i="2"/>
  <c r="AB256" i="2" l="1"/>
  <c r="AT109" i="2"/>
  <c r="AF110" i="2"/>
  <c r="AL109" i="2"/>
  <c r="BA109" i="2" s="1"/>
  <c r="Y257" i="2"/>
  <c r="AS110" i="2"/>
  <c r="AN110" i="2"/>
  <c r="AP259" i="2"/>
  <c r="AM259" i="2"/>
  <c r="X110" i="2"/>
  <c r="N110" i="2"/>
  <c r="AO110" i="2"/>
  <c r="I110" i="2"/>
  <c r="AD258" i="2"/>
  <c r="Z256" i="2"/>
  <c r="F257" i="2"/>
  <c r="G257" i="2" s="1"/>
  <c r="AQ259" i="2"/>
  <c r="E258" i="2"/>
  <c r="V258" i="2" s="1"/>
  <c r="BC258" i="2" s="1"/>
  <c r="D258" i="2"/>
  <c r="U258" i="2" s="1"/>
  <c r="B260" i="2"/>
  <c r="AC259" i="2"/>
  <c r="AJ259" i="2"/>
  <c r="AA259" i="2"/>
  <c r="W259" i="2"/>
  <c r="K259" i="2"/>
  <c r="L258" i="2" s="1"/>
  <c r="C259" i="2"/>
  <c r="J259" i="2" s="1"/>
  <c r="P258" i="2"/>
  <c r="H256" i="2"/>
  <c r="A260" i="2"/>
  <c r="AB257" i="2" l="1"/>
  <c r="BB110" i="2"/>
  <c r="AK110" i="2"/>
  <c r="Y258" i="2"/>
  <c r="H257" i="2"/>
  <c r="AP260" i="2"/>
  <c r="AV110" i="2"/>
  <c r="AR110" i="2" s="1"/>
  <c r="AW110" i="2" s="1"/>
  <c r="Q110" i="2"/>
  <c r="R110" i="2" s="1"/>
  <c r="AD259" i="2"/>
  <c r="F258" i="2"/>
  <c r="G258" i="2" s="1"/>
  <c r="Z257" i="2"/>
  <c r="B261" i="2"/>
  <c r="AC260" i="2"/>
  <c r="AJ260" i="2"/>
  <c r="W260" i="2"/>
  <c r="AA260" i="2"/>
  <c r="C260" i="2"/>
  <c r="J260" i="2" s="1"/>
  <c r="K260" i="2"/>
  <c r="L259" i="2" s="1"/>
  <c r="AQ260" i="2"/>
  <c r="E259" i="2"/>
  <c r="V259" i="2" s="1"/>
  <c r="BC259" i="2" s="1"/>
  <c r="D259" i="2"/>
  <c r="U259" i="2" s="1"/>
  <c r="P259" i="2"/>
  <c r="A261" i="2"/>
  <c r="AB258" i="2" l="1"/>
  <c r="AH110" i="2"/>
  <c r="AI111" i="2" s="1"/>
  <c r="AG110" i="2"/>
  <c r="Y259" i="2"/>
  <c r="H258" i="2"/>
  <c r="AU110" i="2"/>
  <c r="AP261" i="2"/>
  <c r="AE110" i="2"/>
  <c r="O110" i="2"/>
  <c r="S111" i="2"/>
  <c r="T111" i="2"/>
  <c r="M112" i="2" s="1"/>
  <c r="AD260" i="2"/>
  <c r="Z258" i="2"/>
  <c r="AQ261" i="2"/>
  <c r="E260" i="2"/>
  <c r="V260" i="2" s="1"/>
  <c r="BC260" i="2" s="1"/>
  <c r="D260" i="2"/>
  <c r="U260" i="2" s="1"/>
  <c r="P260" i="2"/>
  <c r="F259" i="2"/>
  <c r="G259" i="2" s="1"/>
  <c r="B262" i="2"/>
  <c r="AC261" i="2"/>
  <c r="AJ261" i="2"/>
  <c r="W261" i="2"/>
  <c r="AA261" i="2"/>
  <c r="C261" i="2"/>
  <c r="J261" i="2" s="1"/>
  <c r="K261" i="2"/>
  <c r="L260" i="2" s="1"/>
  <c r="A262" i="2"/>
  <c r="AB259" i="2" l="1"/>
  <c r="AT110" i="2"/>
  <c r="AF111" i="2"/>
  <c r="AL110" i="2"/>
  <c r="BA110" i="2" s="1"/>
  <c r="Y260" i="2"/>
  <c r="AO111" i="2"/>
  <c r="AN111" i="2"/>
  <c r="AM262" i="2"/>
  <c r="AP262" i="2"/>
  <c r="AS111" i="2"/>
  <c r="N111" i="2"/>
  <c r="I111" i="2"/>
  <c r="X111" i="2"/>
  <c r="AD261" i="2"/>
  <c r="AQ262" i="2"/>
  <c r="Z259" i="2"/>
  <c r="E261" i="2"/>
  <c r="V261" i="2" s="1"/>
  <c r="BC261" i="2" s="1"/>
  <c r="D261" i="2"/>
  <c r="U261" i="2" s="1"/>
  <c r="F260" i="2"/>
  <c r="G260" i="2" s="1"/>
  <c r="P261" i="2"/>
  <c r="H259" i="2"/>
  <c r="B263" i="2"/>
  <c r="AA262" i="2"/>
  <c r="AC262" i="2"/>
  <c r="AJ262" i="2"/>
  <c r="W262" i="2"/>
  <c r="C262" i="2"/>
  <c r="J262" i="2" s="1"/>
  <c r="K262" i="2"/>
  <c r="L261" i="2" s="1"/>
  <c r="A263" i="2"/>
  <c r="AB260" i="2" l="1"/>
  <c r="BB111" i="2"/>
  <c r="AK111" i="2"/>
  <c r="Y261" i="2"/>
  <c r="AP263" i="2"/>
  <c r="Q111" i="2"/>
  <c r="R111" i="2" s="1"/>
  <c r="AV111" i="2"/>
  <c r="AR111" i="2" s="1"/>
  <c r="AW111" i="2" s="1"/>
  <c r="AD262" i="2"/>
  <c r="Z260" i="2"/>
  <c r="AQ263" i="2"/>
  <c r="AU263" i="2"/>
  <c r="H260" i="2"/>
  <c r="B264" i="2"/>
  <c r="AA263" i="2"/>
  <c r="AJ263" i="2"/>
  <c r="W263" i="2"/>
  <c r="AC263" i="2"/>
  <c r="K263" i="2"/>
  <c r="L262" i="2" s="1"/>
  <c r="C263" i="2"/>
  <c r="P263" i="2" s="1"/>
  <c r="F261" i="2"/>
  <c r="G261" i="2" s="1"/>
  <c r="E262" i="2"/>
  <c r="V262" i="2" s="1"/>
  <c r="BC262" i="2" s="1"/>
  <c r="D262" i="2"/>
  <c r="U262" i="2" s="1"/>
  <c r="P262" i="2"/>
  <c r="A264" i="2"/>
  <c r="AB261" i="2" l="1"/>
  <c r="S112" i="2"/>
  <c r="AG111" i="2"/>
  <c r="Y262" i="2"/>
  <c r="AM264" i="2"/>
  <c r="AP264" i="2"/>
  <c r="AE111" i="2"/>
  <c r="T112" i="2"/>
  <c r="M113" i="2" s="1"/>
  <c r="AH111" i="2"/>
  <c r="AI112" i="2" s="1"/>
  <c r="AU111" i="2"/>
  <c r="O111" i="2"/>
  <c r="AD263" i="2"/>
  <c r="Z261" i="2"/>
  <c r="J263" i="2"/>
  <c r="AQ264" i="2"/>
  <c r="D263" i="2"/>
  <c r="U263" i="2" s="1"/>
  <c r="E263" i="2"/>
  <c r="V263" i="2" s="1"/>
  <c r="BC263" i="2" s="1"/>
  <c r="H261" i="2"/>
  <c r="F262" i="2"/>
  <c r="G262" i="2" s="1"/>
  <c r="B265" i="2"/>
  <c r="AC264" i="2"/>
  <c r="W264" i="2"/>
  <c r="K264" i="2"/>
  <c r="L263" i="2" s="1"/>
  <c r="C264" i="2"/>
  <c r="J264" i="2" s="1"/>
  <c r="A265" i="2"/>
  <c r="AB262" i="2" l="1"/>
  <c r="AF112" i="2"/>
  <c r="AL111" i="2"/>
  <c r="BA111" i="2" s="1"/>
  <c r="AT111" i="2"/>
  <c r="Y263" i="2"/>
  <c r="AO112" i="2"/>
  <c r="AN112" i="2"/>
  <c r="AP265" i="2"/>
  <c r="AM265" i="2"/>
  <c r="I112" i="2"/>
  <c r="X112" i="2"/>
  <c r="AS112" i="2"/>
  <c r="N112" i="2"/>
  <c r="AQ265" i="2"/>
  <c r="Z262" i="2"/>
  <c r="P264" i="2"/>
  <c r="F263" i="2"/>
  <c r="G263" i="2" s="1"/>
  <c r="B266" i="2"/>
  <c r="AJ265" i="2"/>
  <c r="AC265" i="2"/>
  <c r="W265" i="2"/>
  <c r="AA265" i="2"/>
  <c r="K265" i="2"/>
  <c r="L264" i="2" s="1"/>
  <c r="C265" i="2"/>
  <c r="P265" i="2" s="1"/>
  <c r="H262" i="2"/>
  <c r="D264" i="2"/>
  <c r="U264" i="2" s="1"/>
  <c r="E264" i="2"/>
  <c r="V264" i="2" s="1"/>
  <c r="BC264" i="2" s="1"/>
  <c r="A266" i="2"/>
  <c r="AB263" i="2" l="1"/>
  <c r="AK112" i="2"/>
  <c r="BB112" i="2"/>
  <c r="Y264" i="2"/>
  <c r="H263" i="2"/>
  <c r="AM266" i="2"/>
  <c r="AP266" i="2"/>
  <c r="Q112" i="2"/>
  <c r="R112" i="2" s="1"/>
  <c r="AV112" i="2"/>
  <c r="AR112" i="2" s="1"/>
  <c r="AW112" i="2" s="1"/>
  <c r="AQ266" i="2"/>
  <c r="J265" i="2"/>
  <c r="Z263" i="2"/>
  <c r="E265" i="2"/>
  <c r="V265" i="2" s="1"/>
  <c r="BC265" i="2" s="1"/>
  <c r="D265" i="2"/>
  <c r="U265" i="2" s="1"/>
  <c r="B267" i="2"/>
  <c r="AJ266" i="2"/>
  <c r="AC266" i="2"/>
  <c r="AA266" i="2"/>
  <c r="W266" i="2"/>
  <c r="K266" i="2"/>
  <c r="L265" i="2" s="1"/>
  <c r="C266" i="2"/>
  <c r="J266" i="2" s="1"/>
  <c r="F264" i="2"/>
  <c r="G264" i="2" s="1"/>
  <c r="A267" i="2"/>
  <c r="AB264" i="2" l="1"/>
  <c r="AH112" i="2"/>
  <c r="AI113" i="2" s="1"/>
  <c r="AG112" i="2"/>
  <c r="Y265" i="2"/>
  <c r="AM267" i="2"/>
  <c r="AP267" i="2"/>
  <c r="S113" i="2"/>
  <c r="T113" i="2"/>
  <c r="M114" i="2" s="1"/>
  <c r="AE112" i="2"/>
  <c r="O112" i="2"/>
  <c r="AU112" i="2"/>
  <c r="F265" i="2"/>
  <c r="G265" i="2" s="1"/>
  <c r="AA264" i="2"/>
  <c r="AD264" i="2" s="1"/>
  <c r="AD265" i="2" s="1"/>
  <c r="AD266" i="2" s="1"/>
  <c r="Z264" i="2"/>
  <c r="E266" i="2"/>
  <c r="V266" i="2" s="1"/>
  <c r="BC266" i="2" s="1"/>
  <c r="D266" i="2"/>
  <c r="U266" i="2" s="1"/>
  <c r="H264" i="2"/>
  <c r="B268" i="2"/>
  <c r="AC267" i="2"/>
  <c r="AJ267" i="2"/>
  <c r="AA267" i="2"/>
  <c r="W267" i="2"/>
  <c r="K267" i="2"/>
  <c r="L266" i="2" s="1"/>
  <c r="C267" i="2"/>
  <c r="J267" i="2" s="1"/>
  <c r="AQ267" i="2"/>
  <c r="P266" i="2"/>
  <c r="A268" i="2"/>
  <c r="AB265" i="2" l="1"/>
  <c r="AL112" i="2"/>
  <c r="BA112" i="2" s="1"/>
  <c r="AT112" i="2"/>
  <c r="Y266" i="2"/>
  <c r="AO113" i="2"/>
  <c r="AN113" i="2"/>
  <c r="H265" i="2"/>
  <c r="AQ268" i="2"/>
  <c r="AP268" i="2"/>
  <c r="AF113" i="2"/>
  <c r="AS113" i="2"/>
  <c r="X113" i="2"/>
  <c r="N113" i="2"/>
  <c r="I113" i="2"/>
  <c r="F266" i="2"/>
  <c r="G266" i="2" s="1"/>
  <c r="P267" i="2"/>
  <c r="Z265" i="2"/>
  <c r="AD267" i="2"/>
  <c r="B269" i="2"/>
  <c r="AC268" i="2"/>
  <c r="AJ268" i="2"/>
  <c r="AA268" i="2"/>
  <c r="W268" i="2"/>
  <c r="C268" i="2"/>
  <c r="J268" i="2" s="1"/>
  <c r="K268" i="2"/>
  <c r="L267" i="2" s="1"/>
  <c r="E267" i="2"/>
  <c r="V267" i="2" s="1"/>
  <c r="BC267" i="2" s="1"/>
  <c r="D267" i="2"/>
  <c r="U267" i="2" s="1"/>
  <c r="A269" i="2"/>
  <c r="AB266" i="2" l="1"/>
  <c r="BB113" i="2"/>
  <c r="Y267" i="2"/>
  <c r="H266" i="2"/>
  <c r="AM269" i="2"/>
  <c r="AP269" i="2"/>
  <c r="AK113" i="2"/>
  <c r="Q113" i="2"/>
  <c r="R113" i="2" s="1"/>
  <c r="AV113" i="2"/>
  <c r="AR113" i="2" s="1"/>
  <c r="AW113" i="2" s="1"/>
  <c r="F267" i="2"/>
  <c r="G267" i="2" s="1"/>
  <c r="Z266" i="2"/>
  <c r="AD268" i="2"/>
  <c r="B270" i="2"/>
  <c r="AC269" i="2"/>
  <c r="AA269" i="2"/>
  <c r="W269" i="2"/>
  <c r="AJ269" i="2"/>
  <c r="C269" i="2"/>
  <c r="J269" i="2" s="1"/>
  <c r="K269" i="2"/>
  <c r="L268" i="2" s="1"/>
  <c r="AQ269" i="2"/>
  <c r="P268" i="2"/>
  <c r="E268" i="2"/>
  <c r="V268" i="2" s="1"/>
  <c r="BC268" i="2" s="1"/>
  <c r="D268" i="2"/>
  <c r="U268" i="2" s="1"/>
  <c r="A270" i="2"/>
  <c r="AB267" i="2" l="1"/>
  <c r="S114" i="2"/>
  <c r="AG113" i="2"/>
  <c r="Y268" i="2"/>
  <c r="H267" i="2"/>
  <c r="AP270" i="2"/>
  <c r="AM270" i="2"/>
  <c r="T114" i="2"/>
  <c r="M115" i="2" s="1"/>
  <c r="O113" i="2"/>
  <c r="AH113" i="2"/>
  <c r="AI114" i="2" s="1"/>
  <c r="AE113" i="2"/>
  <c r="AU113" i="2"/>
  <c r="P269" i="2"/>
  <c r="AQ270" i="2"/>
  <c r="AD269" i="2"/>
  <c r="Z267" i="2"/>
  <c r="F268" i="2"/>
  <c r="G268" i="2" s="1"/>
  <c r="E269" i="2"/>
  <c r="V269" i="2" s="1"/>
  <c r="BC269" i="2" s="1"/>
  <c r="D269" i="2"/>
  <c r="U269" i="2" s="1"/>
  <c r="B271" i="2"/>
  <c r="AJ270" i="2"/>
  <c r="AC270" i="2"/>
  <c r="W270" i="2"/>
  <c r="AA270" i="2"/>
  <c r="C270" i="2"/>
  <c r="J270" i="2" s="1"/>
  <c r="K270" i="2"/>
  <c r="L269" i="2" s="1"/>
  <c r="A271" i="2"/>
  <c r="AB268" i="2" l="1"/>
  <c r="AT113" i="2"/>
  <c r="AF114" i="2"/>
  <c r="AL113" i="2"/>
  <c r="BA113" i="2" s="1"/>
  <c r="Y269" i="2"/>
  <c r="AO114" i="2"/>
  <c r="AN114" i="2"/>
  <c r="AM271" i="2"/>
  <c r="AP271" i="2"/>
  <c r="I114" i="2"/>
  <c r="AS114" i="2"/>
  <c r="X114" i="2"/>
  <c r="N114" i="2"/>
  <c r="AD270" i="2"/>
  <c r="Z268" i="2"/>
  <c r="P270" i="2"/>
  <c r="AQ271" i="2"/>
  <c r="H268" i="2"/>
  <c r="F269" i="2"/>
  <c r="G269" i="2" s="1"/>
  <c r="E270" i="2"/>
  <c r="V270" i="2" s="1"/>
  <c r="BC270" i="2" s="1"/>
  <c r="D270" i="2"/>
  <c r="U270" i="2" s="1"/>
  <c r="B272" i="2"/>
  <c r="AA271" i="2"/>
  <c r="AC271" i="2"/>
  <c r="W271" i="2"/>
  <c r="AJ271" i="2"/>
  <c r="K271" i="2"/>
  <c r="L270" i="2" s="1"/>
  <c r="C271" i="2"/>
  <c r="J271" i="2" s="1"/>
  <c r="A272" i="2"/>
  <c r="AB269" i="2" l="1"/>
  <c r="BB114" i="2"/>
  <c r="AK114" i="2"/>
  <c r="Y270" i="2"/>
  <c r="AM272" i="2"/>
  <c r="AP272" i="2"/>
  <c r="Q114" i="2"/>
  <c r="R114" i="2" s="1"/>
  <c r="AV114" i="2"/>
  <c r="AR114" i="2" s="1"/>
  <c r="AW114" i="2" s="1"/>
  <c r="Z269" i="2"/>
  <c r="AD271" i="2"/>
  <c r="F270" i="2"/>
  <c r="G270" i="2" s="1"/>
  <c r="D271" i="2"/>
  <c r="U271" i="2" s="1"/>
  <c r="E271" i="2"/>
  <c r="V271" i="2" s="1"/>
  <c r="BC271" i="2" s="1"/>
  <c r="P271" i="2"/>
  <c r="H269" i="2"/>
  <c r="B273" i="2"/>
  <c r="AC272" i="2"/>
  <c r="AJ272" i="2"/>
  <c r="AA272" i="2"/>
  <c r="W272" i="2"/>
  <c r="C272" i="2"/>
  <c r="P272" i="2" s="1"/>
  <c r="K272" i="2"/>
  <c r="L271" i="2" s="1"/>
  <c r="AQ272" i="2"/>
  <c r="A273" i="2"/>
  <c r="AB270" i="2" l="1"/>
  <c r="AH114" i="2"/>
  <c r="AI115" i="2" s="1"/>
  <c r="AG114" i="2"/>
  <c r="Y271" i="2"/>
  <c r="H270" i="2"/>
  <c r="AQ273" i="2"/>
  <c r="AP273" i="2"/>
  <c r="AE114" i="2"/>
  <c r="AU114" i="2"/>
  <c r="S115" i="2"/>
  <c r="T115" i="2"/>
  <c r="M116" i="2" s="1"/>
  <c r="O114" i="2"/>
  <c r="Z270" i="2"/>
  <c r="AD272" i="2"/>
  <c r="J272" i="2"/>
  <c r="F271" i="2"/>
  <c r="G271" i="2" s="1"/>
  <c r="B274" i="2"/>
  <c r="AJ273" i="2"/>
  <c r="AC273" i="2"/>
  <c r="AA273" i="2"/>
  <c r="W273" i="2"/>
  <c r="K273" i="2"/>
  <c r="L272" i="2" s="1"/>
  <c r="C273" i="2"/>
  <c r="J273" i="2" s="1"/>
  <c r="D272" i="2"/>
  <c r="U272" i="2" s="1"/>
  <c r="E272" i="2"/>
  <c r="V272" i="2" s="1"/>
  <c r="BC272" i="2" s="1"/>
  <c r="A274" i="2"/>
  <c r="AB271" i="2" l="1"/>
  <c r="AF115" i="2"/>
  <c r="AL114" i="2"/>
  <c r="BA114" i="2" s="1"/>
  <c r="AT114" i="2"/>
  <c r="Y272" i="2"/>
  <c r="N115" i="2"/>
  <c r="AN115" i="2"/>
  <c r="AP274" i="2"/>
  <c r="AO115" i="2"/>
  <c r="X115" i="2"/>
  <c r="I115" i="2"/>
  <c r="AS115" i="2"/>
  <c r="AD273" i="2"/>
  <c r="Z271" i="2"/>
  <c r="P273" i="2"/>
  <c r="B275" i="2"/>
  <c r="AJ274" i="2"/>
  <c r="W274" i="2"/>
  <c r="AC274" i="2"/>
  <c r="AA274" i="2"/>
  <c r="K274" i="2"/>
  <c r="L273" i="2" s="1"/>
  <c r="C274" i="2"/>
  <c r="J274" i="2" s="1"/>
  <c r="F272" i="2"/>
  <c r="G272" i="2" s="1"/>
  <c r="E273" i="2"/>
  <c r="V273" i="2" s="1"/>
  <c r="BC273" i="2" s="1"/>
  <c r="D273" i="2"/>
  <c r="U273" i="2" s="1"/>
  <c r="AQ274" i="2"/>
  <c r="H271" i="2"/>
  <c r="A275" i="2"/>
  <c r="AB272" i="2" l="1"/>
  <c r="AK115" i="2"/>
  <c r="BB115" i="2"/>
  <c r="Y273" i="2"/>
  <c r="AP275" i="2"/>
  <c r="Q115" i="2"/>
  <c r="R115" i="2" s="1"/>
  <c r="AV115" i="2"/>
  <c r="AR115" i="2" s="1"/>
  <c r="AW115" i="2" s="1"/>
  <c r="AD274" i="2"/>
  <c r="Z272" i="2"/>
  <c r="AU275" i="2"/>
  <c r="AQ275" i="2"/>
  <c r="H272" i="2"/>
  <c r="B276" i="2"/>
  <c r="AC275" i="2"/>
  <c r="AJ275" i="2"/>
  <c r="W275" i="2"/>
  <c r="AA275" i="2"/>
  <c r="K275" i="2"/>
  <c r="L274" i="2" s="1"/>
  <c r="C275" i="2"/>
  <c r="J275" i="2" s="1"/>
  <c r="E274" i="2"/>
  <c r="V274" i="2" s="1"/>
  <c r="BC274" i="2" s="1"/>
  <c r="D274" i="2"/>
  <c r="U274" i="2" s="1"/>
  <c r="P274" i="2"/>
  <c r="F273" i="2"/>
  <c r="G273" i="2" s="1"/>
  <c r="A276" i="2"/>
  <c r="AB273" i="2" l="1"/>
  <c r="T116" i="2"/>
  <c r="M117" i="2" s="1"/>
  <c r="AG115" i="2"/>
  <c r="Y274" i="2"/>
  <c r="AM276" i="2"/>
  <c r="AP276" i="2"/>
  <c r="O115" i="2"/>
  <c r="S116" i="2"/>
  <c r="AE115" i="2"/>
  <c r="AH115" i="2"/>
  <c r="AI116" i="2" s="1"/>
  <c r="AU115" i="2"/>
  <c r="AD275" i="2"/>
  <c r="Z273" i="2"/>
  <c r="AQ276" i="2"/>
  <c r="F274" i="2"/>
  <c r="G274" i="2" s="1"/>
  <c r="D275" i="2"/>
  <c r="U275" i="2" s="1"/>
  <c r="E275" i="2"/>
  <c r="V275" i="2" s="1"/>
  <c r="BC275" i="2" s="1"/>
  <c r="H273" i="2"/>
  <c r="P275" i="2"/>
  <c r="B277" i="2"/>
  <c r="AC276" i="2"/>
  <c r="W276" i="2"/>
  <c r="C276" i="2"/>
  <c r="J276" i="2" s="1"/>
  <c r="K276" i="2"/>
  <c r="L275" i="2" s="1"/>
  <c r="A277" i="2"/>
  <c r="AB274" i="2" l="1"/>
  <c r="AF116" i="2"/>
  <c r="AL115" i="2"/>
  <c r="BA115" i="2" s="1"/>
  <c r="AT115" i="2"/>
  <c r="Y275" i="2"/>
  <c r="H274" i="2"/>
  <c r="X116" i="2"/>
  <c r="AN116" i="2"/>
  <c r="AM277" i="2"/>
  <c r="AP277" i="2"/>
  <c r="AS116" i="2"/>
  <c r="I116" i="2"/>
  <c r="AO116" i="2"/>
  <c r="N116" i="2"/>
  <c r="AQ277" i="2"/>
  <c r="F275" i="2"/>
  <c r="G275" i="2" s="1"/>
  <c r="Z274" i="2"/>
  <c r="E276" i="2"/>
  <c r="V276" i="2" s="1"/>
  <c r="BC276" i="2" s="1"/>
  <c r="D276" i="2"/>
  <c r="U276" i="2" s="1"/>
  <c r="P276" i="2"/>
  <c r="B278" i="2"/>
  <c r="AC277" i="2"/>
  <c r="AJ277" i="2"/>
  <c r="AA277" i="2"/>
  <c r="W277" i="2"/>
  <c r="C277" i="2"/>
  <c r="J277" i="2" s="1"/>
  <c r="K277" i="2"/>
  <c r="L276" i="2" s="1"/>
  <c r="A278" i="2"/>
  <c r="AB275" i="2" l="1"/>
  <c r="AK116" i="2"/>
  <c r="BB116" i="2"/>
  <c r="Y276" i="2"/>
  <c r="H275" i="2"/>
  <c r="Q116" i="2"/>
  <c r="R116" i="2" s="1"/>
  <c r="AM278" i="2"/>
  <c r="AP278" i="2"/>
  <c r="AV116" i="2"/>
  <c r="AR116" i="2" s="1"/>
  <c r="AW116" i="2" s="1"/>
  <c r="Z275" i="2"/>
  <c r="E277" i="2"/>
  <c r="V277" i="2" s="1"/>
  <c r="BC277" i="2" s="1"/>
  <c r="D277" i="2"/>
  <c r="U277" i="2" s="1"/>
  <c r="F276" i="2"/>
  <c r="G276" i="2" s="1"/>
  <c r="P277" i="2"/>
  <c r="B279" i="2"/>
  <c r="AJ278" i="2"/>
  <c r="AC278" i="2"/>
  <c r="AA278" i="2"/>
  <c r="W278" i="2"/>
  <c r="C278" i="2"/>
  <c r="J278" i="2" s="1"/>
  <c r="K278" i="2"/>
  <c r="L277" i="2" s="1"/>
  <c r="AQ278" i="2"/>
  <c r="A279" i="2"/>
  <c r="AB276" i="2" l="1"/>
  <c r="AH116" i="2"/>
  <c r="AI117" i="2" s="1"/>
  <c r="AG116" i="2"/>
  <c r="AE116" i="2"/>
  <c r="Y277" i="2"/>
  <c r="S117" i="2"/>
  <c r="T117" i="2"/>
  <c r="M118" i="2" s="1"/>
  <c r="O116" i="2"/>
  <c r="AP279" i="2"/>
  <c r="AU116" i="2"/>
  <c r="AQ279" i="2"/>
  <c r="AA276" i="2"/>
  <c r="AD276" i="2" s="1"/>
  <c r="AD277" i="2" s="1"/>
  <c r="AD278" i="2" s="1"/>
  <c r="Z276" i="2"/>
  <c r="E278" i="2"/>
  <c r="V278" i="2" s="1"/>
  <c r="BC278" i="2" s="1"/>
  <c r="D278" i="2"/>
  <c r="U278" i="2" s="1"/>
  <c r="H276" i="2"/>
  <c r="P278" i="2"/>
  <c r="F277" i="2"/>
  <c r="G277" i="2" s="1"/>
  <c r="B280" i="2"/>
  <c r="AJ279" i="2"/>
  <c r="AA279" i="2"/>
  <c r="W279" i="2"/>
  <c r="AC279" i="2"/>
  <c r="K279" i="2"/>
  <c r="L278" i="2" s="1"/>
  <c r="C279" i="2"/>
  <c r="J279" i="2" s="1"/>
  <c r="A280" i="2"/>
  <c r="AB277" i="2" l="1"/>
  <c r="AT116" i="2"/>
  <c r="AF117" i="2"/>
  <c r="AL116" i="2"/>
  <c r="BA116" i="2" s="1"/>
  <c r="X117" i="2"/>
  <c r="Y278" i="2"/>
  <c r="N117" i="2"/>
  <c r="I117" i="2"/>
  <c r="AS117" i="2"/>
  <c r="AO117" i="2"/>
  <c r="AN117" i="2"/>
  <c r="AM280" i="2"/>
  <c r="AP280" i="2"/>
  <c r="AQ280" i="2"/>
  <c r="P279" i="2"/>
  <c r="Z277" i="2"/>
  <c r="AD279" i="2"/>
  <c r="F278" i="2"/>
  <c r="G278" i="2" s="1"/>
  <c r="B281" i="2"/>
  <c r="AC280" i="2"/>
  <c r="AA280" i="2"/>
  <c r="AJ280" i="2"/>
  <c r="W280" i="2"/>
  <c r="K280" i="2"/>
  <c r="L279" i="2" s="1"/>
  <c r="C280" i="2"/>
  <c r="P280" i="2" s="1"/>
  <c r="D279" i="2"/>
  <c r="U279" i="2" s="1"/>
  <c r="E279" i="2"/>
  <c r="V279" i="2" s="1"/>
  <c r="BC279" i="2" s="1"/>
  <c r="H277" i="2"/>
  <c r="A281" i="2"/>
  <c r="AB278" i="2" l="1"/>
  <c r="BB117" i="2"/>
  <c r="Q117" i="2"/>
  <c r="R117" i="2" s="1"/>
  <c r="AG117" i="2" s="1"/>
  <c r="AK117" i="2"/>
  <c r="Y279" i="2"/>
  <c r="AV117" i="2"/>
  <c r="AR117" i="2" s="1"/>
  <c r="AW117" i="2" s="1"/>
  <c r="AP281" i="2"/>
  <c r="AM281" i="2"/>
  <c r="AQ281" i="2"/>
  <c r="Z278" i="2"/>
  <c r="J280" i="2"/>
  <c r="AD280" i="2"/>
  <c r="F279" i="2"/>
  <c r="G279" i="2" s="1"/>
  <c r="B282" i="2"/>
  <c r="AA281" i="2"/>
  <c r="W281" i="2"/>
  <c r="AJ281" i="2"/>
  <c r="AC281" i="2"/>
  <c r="K281" i="2"/>
  <c r="L280" i="2" s="1"/>
  <c r="C281" i="2"/>
  <c r="P281" i="2" s="1"/>
  <c r="D280" i="2"/>
  <c r="U280" i="2" s="1"/>
  <c r="E280" i="2"/>
  <c r="V280" i="2" s="1"/>
  <c r="BC280" i="2" s="1"/>
  <c r="H278" i="2"/>
  <c r="M153" i="2"/>
  <c r="A282" i="2"/>
  <c r="AB279" i="2" l="1"/>
  <c r="AU117" i="2"/>
  <c r="AE117" i="2"/>
  <c r="O117" i="2"/>
  <c r="AS118" i="2" s="1"/>
  <c r="AH117" i="2"/>
  <c r="AI118" i="2" s="1"/>
  <c r="T118" i="2"/>
  <c r="M119" i="2" s="1"/>
  <c r="S118" i="2"/>
  <c r="Y280" i="2"/>
  <c r="AM282" i="2"/>
  <c r="AP282" i="2"/>
  <c r="Z279" i="2"/>
  <c r="J281" i="2"/>
  <c r="AD281" i="2"/>
  <c r="B283" i="2"/>
  <c r="AJ282" i="2"/>
  <c r="AC282" i="2"/>
  <c r="W282" i="2"/>
  <c r="AA282" i="2"/>
  <c r="K282" i="2"/>
  <c r="L281" i="2" s="1"/>
  <c r="C282" i="2"/>
  <c r="J282" i="2" s="1"/>
  <c r="F280" i="2"/>
  <c r="G280" i="2" s="1"/>
  <c r="AQ282" i="2"/>
  <c r="D281" i="2"/>
  <c r="U281" i="2" s="1"/>
  <c r="E281" i="2"/>
  <c r="V281" i="2" s="1"/>
  <c r="BC281" i="2" s="1"/>
  <c r="H279" i="2"/>
  <c r="A283" i="2"/>
  <c r="AB280" i="2" l="1"/>
  <c r="AN118" i="2"/>
  <c r="N118" i="2"/>
  <c r="AT117" i="2"/>
  <c r="AF118" i="2"/>
  <c r="AL117" i="2"/>
  <c r="BA117" i="2" s="1"/>
  <c r="AO118" i="2"/>
  <c r="I118" i="2"/>
  <c r="X118" i="2"/>
  <c r="Y281" i="2"/>
  <c r="AP283" i="2"/>
  <c r="Z280" i="2"/>
  <c r="P282" i="2"/>
  <c r="AQ283" i="2"/>
  <c r="AD282" i="2"/>
  <c r="H280" i="2"/>
  <c r="B284" i="2"/>
  <c r="AC283" i="2"/>
  <c r="AJ283" i="2"/>
  <c r="W283" i="2"/>
  <c r="AA283" i="2"/>
  <c r="K283" i="2"/>
  <c r="L282" i="2" s="1"/>
  <c r="C283" i="2"/>
  <c r="P283" i="2" s="1"/>
  <c r="F281" i="2"/>
  <c r="G281" i="2" s="1"/>
  <c r="E282" i="2"/>
  <c r="V282" i="2" s="1"/>
  <c r="BC282" i="2" s="1"/>
  <c r="D282" i="2"/>
  <c r="U282" i="2" s="1"/>
  <c r="A284" i="2"/>
  <c r="AB281" i="2" l="1"/>
  <c r="BB118" i="2"/>
  <c r="AK118" i="2"/>
  <c r="Q118" i="2"/>
  <c r="R118" i="2" s="1"/>
  <c r="AV118" i="2"/>
  <c r="AR118" i="2" s="1"/>
  <c r="AW118" i="2" s="1"/>
  <c r="Y282" i="2"/>
  <c r="AP284" i="2"/>
  <c r="AM284" i="2"/>
  <c r="J283" i="2"/>
  <c r="AD283" i="2"/>
  <c r="AQ284" i="2"/>
  <c r="Z281" i="2"/>
  <c r="H281" i="2"/>
  <c r="B285" i="2"/>
  <c r="AC284" i="2"/>
  <c r="AJ284" i="2"/>
  <c r="W284" i="2"/>
  <c r="AA284" i="2"/>
  <c r="C284" i="2"/>
  <c r="J284" i="2" s="1"/>
  <c r="K284" i="2"/>
  <c r="L283" i="2" s="1"/>
  <c r="F282" i="2"/>
  <c r="G282" i="2" s="1"/>
  <c r="E283" i="2"/>
  <c r="V283" i="2" s="1"/>
  <c r="BC283" i="2" s="1"/>
  <c r="D283" i="2"/>
  <c r="U283" i="2" s="1"/>
  <c r="A285" i="2"/>
  <c r="AB282" i="2" l="1"/>
  <c r="AU118" i="2"/>
  <c r="AE118" i="2"/>
  <c r="AG118" i="2"/>
  <c r="AH118" i="2"/>
  <c r="AI119" i="2" s="1"/>
  <c r="O118" i="2"/>
  <c r="AN119" i="2" s="1"/>
  <c r="S119" i="2"/>
  <c r="T119" i="2"/>
  <c r="M120" i="2" s="1"/>
  <c r="Y283" i="2"/>
  <c r="AM285" i="2"/>
  <c r="AP285" i="2"/>
  <c r="AQ285" i="2"/>
  <c r="P284" i="2"/>
  <c r="F283" i="2"/>
  <c r="G283" i="2" s="1"/>
  <c r="AD284" i="2"/>
  <c r="Z282" i="2"/>
  <c r="H282" i="2"/>
  <c r="E284" i="2"/>
  <c r="V284" i="2" s="1"/>
  <c r="BC284" i="2" s="1"/>
  <c r="D284" i="2"/>
  <c r="U284" i="2" s="1"/>
  <c r="B286" i="2"/>
  <c r="AC285" i="2"/>
  <c r="AJ285" i="2"/>
  <c r="AA285" i="2"/>
  <c r="W285" i="2"/>
  <c r="C285" i="2"/>
  <c r="P285" i="2" s="1"/>
  <c r="K285" i="2"/>
  <c r="L284" i="2" s="1"/>
  <c r="A286" i="2"/>
  <c r="AB283" i="2" l="1"/>
  <c r="AS119" i="2"/>
  <c r="AT118" i="2"/>
  <c r="AF119" i="2"/>
  <c r="AL118" i="2"/>
  <c r="BA118" i="2" s="1"/>
  <c r="N119" i="2"/>
  <c r="I119" i="2"/>
  <c r="X119" i="2"/>
  <c r="AO119" i="2"/>
  <c r="Y284" i="2"/>
  <c r="H283" i="2"/>
  <c r="AM286" i="2"/>
  <c r="AP286" i="2"/>
  <c r="F284" i="2"/>
  <c r="G284" i="2" s="1"/>
  <c r="AD285" i="2"/>
  <c r="J285" i="2"/>
  <c r="Z283" i="2"/>
  <c r="AQ286" i="2"/>
  <c r="E285" i="2"/>
  <c r="V285" i="2" s="1"/>
  <c r="BC285" i="2" s="1"/>
  <c r="D285" i="2"/>
  <c r="U285" i="2" s="1"/>
  <c r="B287" i="2"/>
  <c r="AC286" i="2"/>
  <c r="AJ286" i="2"/>
  <c r="AA286" i="2"/>
  <c r="W286" i="2"/>
  <c r="C286" i="2"/>
  <c r="J286" i="2" s="1"/>
  <c r="K286" i="2"/>
  <c r="L285" i="2" s="1"/>
  <c r="A287" i="2"/>
  <c r="AB284" i="2" l="1"/>
  <c r="AV119" i="2"/>
  <c r="AR119" i="2" s="1"/>
  <c r="AW119" i="2" s="1"/>
  <c r="AK119" i="2"/>
  <c r="BB119" i="2"/>
  <c r="Q119" i="2"/>
  <c r="R119" i="2" s="1"/>
  <c r="AH119" i="2" s="1"/>
  <c r="Y285" i="2"/>
  <c r="H284" i="2"/>
  <c r="AP287" i="2"/>
  <c r="AD286" i="2"/>
  <c r="P286" i="2"/>
  <c r="F285" i="2"/>
  <c r="G285" i="2" s="1"/>
  <c r="Z284" i="2"/>
  <c r="AU287" i="2"/>
  <c r="E286" i="2"/>
  <c r="V286" i="2" s="1"/>
  <c r="BC286" i="2" s="1"/>
  <c r="D286" i="2"/>
  <c r="U286" i="2" s="1"/>
  <c r="B288" i="2"/>
  <c r="AJ287" i="2"/>
  <c r="AC287" i="2"/>
  <c r="AA287" i="2"/>
  <c r="W287" i="2"/>
  <c r="K287" i="2"/>
  <c r="L286" i="2" s="1"/>
  <c r="C287" i="2"/>
  <c r="J287" i="2" s="1"/>
  <c r="AQ287" i="2"/>
  <c r="A288" i="2"/>
  <c r="AB285" i="2" l="1"/>
  <c r="AE119" i="2"/>
  <c r="AF120" i="2" s="1"/>
  <c r="O119" i="2"/>
  <c r="X120" i="2" s="1"/>
  <c r="S120" i="2"/>
  <c r="T120" i="2"/>
  <c r="M121" i="2" s="1"/>
  <c r="AG119" i="2"/>
  <c r="Y286" i="2"/>
  <c r="H285" i="2"/>
  <c r="AM288" i="2"/>
  <c r="AP288" i="2"/>
  <c r="AD287" i="2"/>
  <c r="P287" i="2"/>
  <c r="F286" i="2"/>
  <c r="G286" i="2" s="1"/>
  <c r="Z285" i="2"/>
  <c r="AQ288" i="2"/>
  <c r="B289" i="2"/>
  <c r="AC288" i="2"/>
  <c r="W288" i="2"/>
  <c r="K288" i="2"/>
  <c r="L287" i="2" s="1"/>
  <c r="C288" i="2"/>
  <c r="P288" i="2" s="1"/>
  <c r="D287" i="2"/>
  <c r="U287" i="2" s="1"/>
  <c r="E287" i="2"/>
  <c r="V287" i="2" s="1"/>
  <c r="BC287" i="2" s="1"/>
  <c r="A289" i="2"/>
  <c r="AB286" i="2" l="1"/>
  <c r="AN120" i="2"/>
  <c r="I120" i="2"/>
  <c r="AO120" i="2"/>
  <c r="AS120" i="2"/>
  <c r="N120" i="2"/>
  <c r="AL119" i="2"/>
  <c r="BA119" i="2" s="1"/>
  <c r="AJ120" i="2"/>
  <c r="AT119" i="2" s="1"/>
  <c r="Y287" i="2"/>
  <c r="H286" i="2"/>
  <c r="AP289" i="2"/>
  <c r="AQ289" i="2"/>
  <c r="J288" i="2"/>
  <c r="F287" i="2"/>
  <c r="G287" i="2" s="1"/>
  <c r="Z286" i="2"/>
  <c r="B290" i="2"/>
  <c r="AA289" i="2"/>
  <c r="AJ289" i="2"/>
  <c r="AC289" i="2"/>
  <c r="W289" i="2"/>
  <c r="K289" i="2"/>
  <c r="L288" i="2" s="1"/>
  <c r="C289" i="2"/>
  <c r="P289" i="2" s="1"/>
  <c r="D288" i="2"/>
  <c r="U288" i="2" s="1"/>
  <c r="E288" i="2"/>
  <c r="V288" i="2" s="1"/>
  <c r="BC288" i="2" s="1"/>
  <c r="A290" i="2"/>
  <c r="AB287" i="2" l="1"/>
  <c r="Q120" i="2"/>
  <c r="R120" i="2" s="1"/>
  <c r="AG120" i="2" s="1"/>
  <c r="AV120" i="2"/>
  <c r="AR120" i="2" s="1"/>
  <c r="AW120" i="2" s="1"/>
  <c r="BB120" i="2"/>
  <c r="AI120" i="2"/>
  <c r="AK120" i="2" s="1"/>
  <c r="Y288" i="2"/>
  <c r="H287" i="2"/>
  <c r="AM290" i="2"/>
  <c r="AP290" i="2"/>
  <c r="AQ290" i="2"/>
  <c r="J289" i="2"/>
  <c r="F288" i="2"/>
  <c r="G288" i="2" s="1"/>
  <c r="Z287" i="2"/>
  <c r="D289" i="2"/>
  <c r="U289" i="2" s="1"/>
  <c r="E289" i="2"/>
  <c r="V289" i="2" s="1"/>
  <c r="BC289" i="2" s="1"/>
  <c r="B291" i="2"/>
  <c r="AJ290" i="2"/>
  <c r="AA290" i="2"/>
  <c r="W290" i="2"/>
  <c r="AC290" i="2"/>
  <c r="K290" i="2"/>
  <c r="L289" i="2" s="1"/>
  <c r="C290" i="2"/>
  <c r="J290" i="2" s="1"/>
  <c r="A291" i="2"/>
  <c r="AB288" i="2" l="1"/>
  <c r="T121" i="2"/>
  <c r="M122" i="2" s="1"/>
  <c r="O120" i="2"/>
  <c r="N121" i="2" s="1"/>
  <c r="S121" i="2"/>
  <c r="AE120" i="2"/>
  <c r="AF121" i="2" s="1"/>
  <c r="AU120" i="2"/>
  <c r="AH120" i="2"/>
  <c r="AI121" i="2" s="1"/>
  <c r="Y289" i="2"/>
  <c r="H288" i="2"/>
  <c r="AP291" i="2"/>
  <c r="AQ291" i="2"/>
  <c r="P290" i="2"/>
  <c r="F289" i="2"/>
  <c r="G289" i="2" s="1"/>
  <c r="AA288" i="2"/>
  <c r="AD288" i="2" s="1"/>
  <c r="AD289" i="2" s="1"/>
  <c r="AD290" i="2" s="1"/>
  <c r="Z288" i="2"/>
  <c r="B292" i="2"/>
  <c r="AJ291" i="2"/>
  <c r="AC291" i="2"/>
  <c r="W291" i="2"/>
  <c r="AA291" i="2"/>
  <c r="K291" i="2"/>
  <c r="L290" i="2" s="1"/>
  <c r="C291" i="2"/>
  <c r="J291" i="2" s="1"/>
  <c r="E290" i="2"/>
  <c r="V290" i="2" s="1"/>
  <c r="BC290" i="2" s="1"/>
  <c r="D290" i="2"/>
  <c r="U290" i="2" s="1"/>
  <c r="A292" i="2"/>
  <c r="AB289" i="2" l="1"/>
  <c r="AN121" i="2"/>
  <c r="X121" i="2"/>
  <c r="AO121" i="2"/>
  <c r="AS121" i="2"/>
  <c r="I121" i="2"/>
  <c r="AK121" i="2" s="1"/>
  <c r="AL120" i="2"/>
  <c r="BA120" i="2" s="1"/>
  <c r="AT120" i="2"/>
  <c r="Y290" i="2"/>
  <c r="H289" i="2"/>
  <c r="AP292" i="2"/>
  <c r="P291" i="2"/>
  <c r="AD291" i="2"/>
  <c r="F290" i="2"/>
  <c r="G290" i="2" s="1"/>
  <c r="Z289" i="2"/>
  <c r="B293" i="2"/>
  <c r="AJ292" i="2"/>
  <c r="AC292" i="2"/>
  <c r="W292" i="2"/>
  <c r="AA292" i="2"/>
  <c r="C292" i="2"/>
  <c r="J292" i="2" s="1"/>
  <c r="K292" i="2"/>
  <c r="L291" i="2" s="1"/>
  <c r="AQ292" i="2"/>
  <c r="D291" i="2"/>
  <c r="U291" i="2" s="1"/>
  <c r="E291" i="2"/>
  <c r="V291" i="2" s="1"/>
  <c r="BC291" i="2" s="1"/>
  <c r="A293" i="2"/>
  <c r="AB290" i="2" l="1"/>
  <c r="Q121" i="2"/>
  <c r="R121" i="2" s="1"/>
  <c r="AG121" i="2" s="1"/>
  <c r="BB121" i="2"/>
  <c r="AV121" i="2"/>
  <c r="AR121" i="2" s="1"/>
  <c r="AW121" i="2" s="1"/>
  <c r="Y291" i="2"/>
  <c r="H290" i="2"/>
  <c r="AP293" i="2"/>
  <c r="AQ293" i="2"/>
  <c r="AD292" i="2"/>
  <c r="P292" i="2"/>
  <c r="F291" i="2"/>
  <c r="G291" i="2" s="1"/>
  <c r="Z290" i="2"/>
  <c r="E292" i="2"/>
  <c r="V292" i="2" s="1"/>
  <c r="BC292" i="2" s="1"/>
  <c r="D292" i="2"/>
  <c r="U292" i="2" s="1"/>
  <c r="B294" i="2"/>
  <c r="AJ293" i="2"/>
  <c r="AC293" i="2"/>
  <c r="AA293" i="2"/>
  <c r="W293" i="2"/>
  <c r="C293" i="2"/>
  <c r="J293" i="2" s="1"/>
  <c r="K293" i="2"/>
  <c r="L292" i="2" s="1"/>
  <c r="A294" i="2"/>
  <c r="AB291" i="2" l="1"/>
  <c r="O121" i="2"/>
  <c r="I122" i="2" s="1"/>
  <c r="AE121" i="2"/>
  <c r="AF122" i="2" s="1"/>
  <c r="S122" i="2"/>
  <c r="T122" i="2"/>
  <c r="M123" i="2" s="1"/>
  <c r="AH121" i="2"/>
  <c r="AI122" i="2" s="1"/>
  <c r="AU121" i="2"/>
  <c r="Y292" i="2"/>
  <c r="H291" i="2"/>
  <c r="AP294" i="2"/>
  <c r="AM294" i="2"/>
  <c r="AD293" i="2"/>
  <c r="F292" i="2"/>
  <c r="G292" i="2" s="1"/>
  <c r="P293" i="2"/>
  <c r="Z291" i="2"/>
  <c r="B295" i="2"/>
  <c r="AJ294" i="2"/>
  <c r="AC294" i="2"/>
  <c r="AA294" i="2"/>
  <c r="W294" i="2"/>
  <c r="C294" i="2"/>
  <c r="P294" i="2" s="1"/>
  <c r="K294" i="2"/>
  <c r="L293" i="2" s="1"/>
  <c r="AQ294" i="2"/>
  <c r="E293" i="2"/>
  <c r="V293" i="2" s="1"/>
  <c r="BC293" i="2" s="1"/>
  <c r="D293" i="2"/>
  <c r="U293" i="2" s="1"/>
  <c r="A295" i="2"/>
  <c r="AB292" i="2" l="1"/>
  <c r="AN122" i="2"/>
  <c r="AO122" i="2"/>
  <c r="X122" i="2"/>
  <c r="N122" i="2"/>
  <c r="Q122" i="2" s="1"/>
  <c r="R122" i="2" s="1"/>
  <c r="AE122" i="2" s="1"/>
  <c r="AF123" i="2" s="1"/>
  <c r="AS122" i="2"/>
  <c r="AL121" i="2"/>
  <c r="BA121" i="2" s="1"/>
  <c r="AT121" i="2"/>
  <c r="AK122" i="2"/>
  <c r="Y293" i="2"/>
  <c r="H292" i="2"/>
  <c r="AP295" i="2"/>
  <c r="AD294" i="2"/>
  <c r="Z292" i="2"/>
  <c r="J294" i="2"/>
  <c r="AQ295" i="2"/>
  <c r="F293" i="2"/>
  <c r="G293" i="2" s="1"/>
  <c r="B296" i="2"/>
  <c r="AJ295" i="2"/>
  <c r="AA295" i="2"/>
  <c r="W295" i="2"/>
  <c r="AC295" i="2"/>
  <c r="K295" i="2"/>
  <c r="L294" i="2" s="1"/>
  <c r="C295" i="2"/>
  <c r="J295" i="2" s="1"/>
  <c r="E294" i="2"/>
  <c r="V294" i="2" s="1"/>
  <c r="BC294" i="2" s="1"/>
  <c r="D294" i="2"/>
  <c r="U294" i="2" s="1"/>
  <c r="A296" i="2"/>
  <c r="AB293" i="2" l="1"/>
  <c r="BB122" i="2"/>
  <c r="AV122" i="2"/>
  <c r="AR122" i="2" s="1"/>
  <c r="AW122" i="2" s="1"/>
  <c r="AH122" i="2"/>
  <c r="AI123" i="2" s="1"/>
  <c r="O122" i="2"/>
  <c r="AS123" i="2" s="1"/>
  <c r="S123" i="2"/>
  <c r="T123" i="2"/>
  <c r="M124" i="2" s="1"/>
  <c r="AG122" i="2"/>
  <c r="Y294" i="2"/>
  <c r="H293" i="2"/>
  <c r="AP296" i="2"/>
  <c r="AD295" i="2"/>
  <c r="F294" i="2"/>
  <c r="G294" i="2" s="1"/>
  <c r="P295" i="2"/>
  <c r="Z293" i="2"/>
  <c r="D295" i="2"/>
  <c r="U295" i="2" s="1"/>
  <c r="E295" i="2"/>
  <c r="V295" i="2" s="1"/>
  <c r="BC295" i="2" s="1"/>
  <c r="B297" i="2"/>
  <c r="AJ296" i="2"/>
  <c r="AC296" i="2"/>
  <c r="AA296" i="2"/>
  <c r="W296" i="2"/>
  <c r="C296" i="2"/>
  <c r="J296" i="2" s="1"/>
  <c r="K296" i="2"/>
  <c r="L295" i="2" s="1"/>
  <c r="AQ296" i="2"/>
  <c r="A297" i="2"/>
  <c r="AN123" i="2" l="1"/>
  <c r="AB294" i="2"/>
  <c r="AU122" i="2"/>
  <c r="AO123" i="2"/>
  <c r="AM123" i="2"/>
  <c r="N123" i="2"/>
  <c r="X123" i="2"/>
  <c r="I123" i="2"/>
  <c r="AK123" i="2" s="1"/>
  <c r="AT122" i="2"/>
  <c r="AL122" i="2"/>
  <c r="BA122" i="2" s="1"/>
  <c r="Y295" i="2"/>
  <c r="H294" i="2"/>
  <c r="AP297" i="2"/>
  <c r="AM297" i="2"/>
  <c r="AD296" i="2"/>
  <c r="AQ297" i="2"/>
  <c r="P296" i="2"/>
  <c r="F295" i="2"/>
  <c r="G295" i="2" s="1"/>
  <c r="Z294" i="2"/>
  <c r="B298" i="2"/>
  <c r="AA297" i="2"/>
  <c r="AC297" i="2"/>
  <c r="AJ297" i="2"/>
  <c r="W297" i="2"/>
  <c r="K297" i="2"/>
  <c r="L296" i="2" s="1"/>
  <c r="C297" i="2"/>
  <c r="J297" i="2" s="1"/>
  <c r="D296" i="2"/>
  <c r="U296" i="2" s="1"/>
  <c r="E296" i="2"/>
  <c r="V296" i="2" s="1"/>
  <c r="BC296" i="2" s="1"/>
  <c r="A298" i="2"/>
  <c r="AB295" i="2" l="1"/>
  <c r="AV123" i="2"/>
  <c r="AR123" i="2" s="1"/>
  <c r="AW123" i="2" s="1"/>
  <c r="Q123" i="2"/>
  <c r="R123" i="2" s="1"/>
  <c r="AH123" i="2" s="1"/>
  <c r="AI124" i="2" s="1"/>
  <c r="BB123" i="2"/>
  <c r="Y296" i="2"/>
  <c r="H295" i="2"/>
  <c r="AP298" i="2"/>
  <c r="AD297" i="2"/>
  <c r="AQ298" i="2"/>
  <c r="P297" i="2"/>
  <c r="F296" i="2"/>
  <c r="G296" i="2" s="1"/>
  <c r="Z295" i="2"/>
  <c r="B299" i="2"/>
  <c r="AC298" i="2"/>
  <c r="AA298" i="2"/>
  <c r="W298" i="2"/>
  <c r="AJ298" i="2"/>
  <c r="K298" i="2"/>
  <c r="L297" i="2" s="1"/>
  <c r="C298" i="2"/>
  <c r="J298" i="2" s="1"/>
  <c r="E297" i="2"/>
  <c r="V297" i="2" s="1"/>
  <c r="BC297" i="2" s="1"/>
  <c r="D297" i="2"/>
  <c r="U297" i="2" s="1"/>
  <c r="A299" i="2"/>
  <c r="AB296" i="2" l="1"/>
  <c r="AU123" i="2"/>
  <c r="T124" i="2"/>
  <c r="M125" i="2" s="1"/>
  <c r="O123" i="2"/>
  <c r="AO124" i="2" s="1"/>
  <c r="AE123" i="2"/>
  <c r="AL123" i="2" s="1"/>
  <c r="BA123" i="2" s="1"/>
  <c r="S124" i="2"/>
  <c r="AG123" i="2"/>
  <c r="Y297" i="2"/>
  <c r="H296" i="2"/>
  <c r="AP299" i="2"/>
  <c r="AD298" i="2"/>
  <c r="P298" i="2"/>
  <c r="F297" i="2"/>
  <c r="G297" i="2" s="1"/>
  <c r="Z296" i="2"/>
  <c r="AU299" i="2"/>
  <c r="B300" i="2"/>
  <c r="AJ299" i="2"/>
  <c r="AC299" i="2"/>
  <c r="W299" i="2"/>
  <c r="AA299" i="2"/>
  <c r="K299" i="2"/>
  <c r="L298" i="2" s="1"/>
  <c r="C299" i="2"/>
  <c r="J299" i="2" s="1"/>
  <c r="E298" i="2"/>
  <c r="V298" i="2" s="1"/>
  <c r="BC298" i="2" s="1"/>
  <c r="D298" i="2"/>
  <c r="U298" i="2" s="1"/>
  <c r="AQ299" i="2"/>
  <c r="A300" i="2"/>
  <c r="AB297" i="2" l="1"/>
  <c r="AN124" i="2"/>
  <c r="N124" i="2"/>
  <c r="AS124" i="2"/>
  <c r="X124" i="2"/>
  <c r="I124" i="2"/>
  <c r="AF124" i="2"/>
  <c r="AT123" i="2"/>
  <c r="Y298" i="2"/>
  <c r="H297" i="2"/>
  <c r="AP300" i="2"/>
  <c r="AD299" i="2"/>
  <c r="F298" i="2"/>
  <c r="G298" i="2" s="1"/>
  <c r="AQ300" i="2"/>
  <c r="P299" i="2"/>
  <c r="Z297" i="2"/>
  <c r="B301" i="2"/>
  <c r="AC300" i="2"/>
  <c r="W300" i="2"/>
  <c r="C300" i="2"/>
  <c r="P300" i="2" s="1"/>
  <c r="K300" i="2"/>
  <c r="L299" i="2" s="1"/>
  <c r="E299" i="2"/>
  <c r="V299" i="2" s="1"/>
  <c r="BC299" i="2" s="1"/>
  <c r="D299" i="2"/>
  <c r="U299" i="2" s="1"/>
  <c r="A301" i="2"/>
  <c r="AB298" i="2" l="1"/>
  <c r="Q124" i="2"/>
  <c r="R124" i="2" s="1"/>
  <c r="S125" i="2" s="1"/>
  <c r="BB124" i="2"/>
  <c r="AK124" i="2"/>
  <c r="AV124" i="2"/>
  <c r="AR124" i="2" s="1"/>
  <c r="AW124" i="2" s="1"/>
  <c r="Y299" i="2"/>
  <c r="H298" i="2"/>
  <c r="AM301" i="2"/>
  <c r="AP301" i="2"/>
  <c r="F299" i="2"/>
  <c r="G299" i="2" s="1"/>
  <c r="J300" i="2"/>
  <c r="Z298" i="2"/>
  <c r="B302" i="2"/>
  <c r="AJ301" i="2"/>
  <c r="AC301" i="2"/>
  <c r="W301" i="2"/>
  <c r="AA301" i="2"/>
  <c r="C301" i="2"/>
  <c r="J301" i="2" s="1"/>
  <c r="K301" i="2"/>
  <c r="L300" i="2" s="1"/>
  <c r="AQ301" i="2"/>
  <c r="E300" i="2"/>
  <c r="V300" i="2" s="1"/>
  <c r="BC300" i="2" s="1"/>
  <c r="D300" i="2"/>
  <c r="U300" i="2" s="1"/>
  <c r="A302" i="2"/>
  <c r="AB299" i="2" l="1"/>
  <c r="AU124" i="2"/>
  <c r="O124" i="2"/>
  <c r="I125" i="2" s="1"/>
  <c r="AG124" i="2"/>
  <c r="AE124" i="2"/>
  <c r="AF125" i="2" s="1"/>
  <c r="T125" i="2"/>
  <c r="M126" i="2" s="1"/>
  <c r="AH124" i="2"/>
  <c r="AI125" i="2" s="1"/>
  <c r="AM125" i="2"/>
  <c r="Y300" i="2"/>
  <c r="H299" i="2"/>
  <c r="AP302" i="2"/>
  <c r="F300" i="2"/>
  <c r="G300" i="2" s="1"/>
  <c r="P301" i="2"/>
  <c r="AQ302" i="2"/>
  <c r="Z299" i="2"/>
  <c r="E301" i="2"/>
  <c r="V301" i="2" s="1"/>
  <c r="BC301" i="2" s="1"/>
  <c r="D301" i="2"/>
  <c r="U301" i="2" s="1"/>
  <c r="B303" i="2"/>
  <c r="AJ302" i="2"/>
  <c r="AC302" i="2"/>
  <c r="AA302" i="2"/>
  <c r="W302" i="2"/>
  <c r="C302" i="2"/>
  <c r="P302" i="2" s="1"/>
  <c r="K302" i="2"/>
  <c r="L301" i="2" s="1"/>
  <c r="A303" i="2"/>
  <c r="AO125" i="2" l="1"/>
  <c r="AB300" i="2"/>
  <c r="AN125" i="2"/>
  <c r="N125" i="2"/>
  <c r="Q125" i="2" s="1"/>
  <c r="R125" i="2" s="1"/>
  <c r="AG125" i="2" s="1"/>
  <c r="X125" i="2"/>
  <c r="AS125" i="2"/>
  <c r="AK125" i="2"/>
  <c r="AL124" i="2"/>
  <c r="BA124" i="2" s="1"/>
  <c r="AT124" i="2"/>
  <c r="Y301" i="2"/>
  <c r="H300" i="2"/>
  <c r="AP303" i="2"/>
  <c r="J302" i="2"/>
  <c r="F301" i="2"/>
  <c r="G301" i="2" s="1"/>
  <c r="AA300" i="2"/>
  <c r="AD300" i="2" s="1"/>
  <c r="AD301" i="2" s="1"/>
  <c r="AD302" i="2" s="1"/>
  <c r="Z300" i="2"/>
  <c r="AQ303" i="2"/>
  <c r="E302" i="2"/>
  <c r="V302" i="2" s="1"/>
  <c r="BC302" i="2" s="1"/>
  <c r="D302" i="2"/>
  <c r="U302" i="2" s="1"/>
  <c r="B304" i="2"/>
  <c r="AC303" i="2"/>
  <c r="AJ303" i="2"/>
  <c r="AA303" i="2"/>
  <c r="W303" i="2"/>
  <c r="K303" i="2"/>
  <c r="L302" i="2" s="1"/>
  <c r="C303" i="2"/>
  <c r="J303" i="2" s="1"/>
  <c r="A304" i="2"/>
  <c r="AB301" i="2" l="1"/>
  <c r="BB125" i="2"/>
  <c r="O125" i="2"/>
  <c r="X126" i="2" s="1"/>
  <c r="AE125" i="2"/>
  <c r="AF126" i="2" s="1"/>
  <c r="AH125" i="2"/>
  <c r="AI126" i="2" s="1"/>
  <c r="S126" i="2"/>
  <c r="T126" i="2"/>
  <c r="M127" i="2" s="1"/>
  <c r="AV125" i="2"/>
  <c r="AR125" i="2" s="1"/>
  <c r="AW125" i="2" s="1"/>
  <c r="Y302" i="2"/>
  <c r="AB302" i="2" s="1"/>
  <c r="H301" i="2"/>
  <c r="AP304" i="2"/>
  <c r="P303" i="2"/>
  <c r="Z301" i="2"/>
  <c r="AD303" i="2"/>
  <c r="F302" i="2"/>
  <c r="G302" i="2" s="1"/>
  <c r="B305" i="2"/>
  <c r="AC304" i="2"/>
  <c r="AJ304" i="2"/>
  <c r="AA304" i="2"/>
  <c r="W304" i="2"/>
  <c r="K304" i="2"/>
  <c r="L303" i="2" s="1"/>
  <c r="C304" i="2"/>
  <c r="P304" i="2" s="1"/>
  <c r="D303" i="2"/>
  <c r="U303" i="2" s="1"/>
  <c r="E303" i="2"/>
  <c r="V303" i="2" s="1"/>
  <c r="BC303" i="2" s="1"/>
  <c r="AQ304" i="2"/>
  <c r="A305" i="2"/>
  <c r="AU125" i="2" l="1"/>
  <c r="AS126" i="2"/>
  <c r="N126" i="2"/>
  <c r="AO126" i="2"/>
  <c r="I126" i="2"/>
  <c r="AK126" i="2" s="1"/>
  <c r="AN126" i="2"/>
  <c r="AT125" i="2"/>
  <c r="AL125" i="2"/>
  <c r="BA125" i="2" s="1"/>
  <c r="Y303" i="2"/>
  <c r="AB303" i="2" s="1"/>
  <c r="H302" i="2"/>
  <c r="AP305" i="2"/>
  <c r="AM305" i="2"/>
  <c r="F303" i="2"/>
  <c r="G303" i="2" s="1"/>
  <c r="Z302" i="2"/>
  <c r="J304" i="2"/>
  <c r="AD304" i="2"/>
  <c r="B306" i="2"/>
  <c r="AJ305" i="2"/>
  <c r="AC305" i="2"/>
  <c r="AA305" i="2"/>
  <c r="W305" i="2"/>
  <c r="K305" i="2"/>
  <c r="L304" i="2" s="1"/>
  <c r="C305" i="2"/>
  <c r="P305" i="2" s="1"/>
  <c r="AQ305" i="2"/>
  <c r="D304" i="2"/>
  <c r="U304" i="2" s="1"/>
  <c r="E304" i="2"/>
  <c r="V304" i="2" s="1"/>
  <c r="BC304" i="2" s="1"/>
  <c r="A306" i="2"/>
  <c r="BB126" i="2" l="1"/>
  <c r="Q126" i="2"/>
  <c r="R126" i="2" s="1"/>
  <c r="AG126" i="2" s="1"/>
  <c r="AV126" i="2"/>
  <c r="AR126" i="2" s="1"/>
  <c r="AW126" i="2" s="1"/>
  <c r="Y304" i="2"/>
  <c r="AB304" i="2" s="1"/>
  <c r="H303" i="2"/>
  <c r="AP306" i="2"/>
  <c r="J305" i="2"/>
  <c r="AD305" i="2"/>
  <c r="F304" i="2"/>
  <c r="G304" i="2" s="1"/>
  <c r="Z303" i="2"/>
  <c r="AQ306" i="2"/>
  <c r="E305" i="2"/>
  <c r="V305" i="2" s="1"/>
  <c r="BC305" i="2" s="1"/>
  <c r="D305" i="2"/>
  <c r="U305" i="2" s="1"/>
  <c r="B307" i="2"/>
  <c r="AA306" i="2"/>
  <c r="W306" i="2"/>
  <c r="AC306" i="2"/>
  <c r="AJ306" i="2"/>
  <c r="K306" i="2"/>
  <c r="L305" i="2" s="1"/>
  <c r="C306" i="2"/>
  <c r="J306" i="2" s="1"/>
  <c r="A307" i="2"/>
  <c r="T127" i="2" l="1"/>
  <c r="M128" i="2" s="1"/>
  <c r="S127" i="2"/>
  <c r="AU126" i="2"/>
  <c r="AE126" i="2"/>
  <c r="AF127" i="2" s="1"/>
  <c r="O126" i="2"/>
  <c r="AO127" i="2" s="1"/>
  <c r="AH126" i="2"/>
  <c r="AI127" i="2" s="1"/>
  <c r="AM127" i="2"/>
  <c r="Y305" i="2"/>
  <c r="AB305" i="2" s="1"/>
  <c r="H304" i="2"/>
  <c r="AP307" i="2"/>
  <c r="AD306" i="2"/>
  <c r="P306" i="2"/>
  <c r="F305" i="2"/>
  <c r="G305" i="2" s="1"/>
  <c r="Z304" i="2"/>
  <c r="B308" i="2"/>
  <c r="AC307" i="2"/>
  <c r="AJ307" i="2"/>
  <c r="AA307" i="2"/>
  <c r="W307" i="2"/>
  <c r="K307" i="2"/>
  <c r="L306" i="2" s="1"/>
  <c r="C307" i="2"/>
  <c r="J307" i="2" s="1"/>
  <c r="AQ307" i="2"/>
  <c r="E306" i="2"/>
  <c r="V306" i="2" s="1"/>
  <c r="BC306" i="2" s="1"/>
  <c r="D306" i="2"/>
  <c r="U306" i="2" s="1"/>
  <c r="A308" i="2"/>
  <c r="AS127" i="2" l="1"/>
  <c r="AN127" i="2"/>
  <c r="I127" i="2"/>
  <c r="AK127" i="2" s="1"/>
  <c r="N127" i="2"/>
  <c r="X127" i="2"/>
  <c r="AL126" i="2"/>
  <c r="BA126" i="2" s="1"/>
  <c r="AT126" i="2"/>
  <c r="Y306" i="2"/>
  <c r="AB306" i="2" s="1"/>
  <c r="H305" i="2"/>
  <c r="AP308" i="2"/>
  <c r="AD307" i="2"/>
  <c r="P307" i="2"/>
  <c r="Z305" i="2"/>
  <c r="AQ308" i="2"/>
  <c r="F306" i="2"/>
  <c r="G306" i="2" s="1"/>
  <c r="E307" i="2"/>
  <c r="V307" i="2" s="1"/>
  <c r="BC307" i="2" s="1"/>
  <c r="D307" i="2"/>
  <c r="U307" i="2" s="1"/>
  <c r="B309" i="2"/>
  <c r="AJ308" i="2"/>
  <c r="AC308" i="2"/>
  <c r="AA308" i="2"/>
  <c r="W308" i="2"/>
  <c r="C308" i="2"/>
  <c r="P308" i="2" s="1"/>
  <c r="K308" i="2"/>
  <c r="L307" i="2" s="1"/>
  <c r="A309" i="2"/>
  <c r="BB127" i="2" l="1"/>
  <c r="Q127" i="2"/>
  <c r="R127" i="2" s="1"/>
  <c r="T128" i="2" s="1"/>
  <c r="M129" i="2" s="1"/>
  <c r="AV127" i="2"/>
  <c r="AR127" i="2" s="1"/>
  <c r="AW127" i="2" s="1"/>
  <c r="Y307" i="2"/>
  <c r="AB307" i="2" s="1"/>
  <c r="H306" i="2"/>
  <c r="AP309" i="2"/>
  <c r="AD308" i="2"/>
  <c r="J308" i="2"/>
  <c r="F307" i="2"/>
  <c r="G307" i="2" s="1"/>
  <c r="AQ309" i="2"/>
  <c r="Z306" i="2"/>
  <c r="B310" i="2"/>
  <c r="AJ309" i="2"/>
  <c r="AC309" i="2"/>
  <c r="AA309" i="2"/>
  <c r="W309" i="2"/>
  <c r="C309" i="2"/>
  <c r="J309" i="2" s="1"/>
  <c r="K309" i="2"/>
  <c r="L308" i="2" s="1"/>
  <c r="E308" i="2"/>
  <c r="V308" i="2" s="1"/>
  <c r="BC308" i="2" s="1"/>
  <c r="D308" i="2"/>
  <c r="U308" i="2" s="1"/>
  <c r="A310" i="2"/>
  <c r="O127" i="2" l="1"/>
  <c r="AS128" i="2" s="1"/>
  <c r="AH127" i="2"/>
  <c r="AI128" i="2" s="1"/>
  <c r="S128" i="2"/>
  <c r="AE127" i="2"/>
  <c r="AU127" i="2"/>
  <c r="AG127" i="2"/>
  <c r="AN128" i="2"/>
  <c r="AM128" i="2"/>
  <c r="Y308" i="2"/>
  <c r="AB308" i="2" s="1"/>
  <c r="H307" i="2"/>
  <c r="AM310" i="2"/>
  <c r="AP310" i="2"/>
  <c r="AD309" i="2"/>
  <c r="AQ310" i="2"/>
  <c r="P309" i="2"/>
  <c r="F308" i="2"/>
  <c r="G308" i="2" s="1"/>
  <c r="Z307" i="2"/>
  <c r="B311" i="2"/>
  <c r="AJ310" i="2"/>
  <c r="AC310" i="2"/>
  <c r="AA310" i="2"/>
  <c r="W310" i="2"/>
  <c r="C310" i="2"/>
  <c r="J310" i="2" s="1"/>
  <c r="K310" i="2"/>
  <c r="L309" i="2" s="1"/>
  <c r="E309" i="2"/>
  <c r="V309" i="2" s="1"/>
  <c r="BC309" i="2" s="1"/>
  <c r="D309" i="2"/>
  <c r="U309" i="2" s="1"/>
  <c r="A311" i="2"/>
  <c r="N128" i="2" l="1"/>
  <c r="AO128" i="2"/>
  <c r="X128" i="2"/>
  <c r="I128" i="2"/>
  <c r="AT127" i="2"/>
  <c r="BB128" i="2" s="1"/>
  <c r="AL127" i="2"/>
  <c r="BA127" i="2" s="1"/>
  <c r="AF128" i="2"/>
  <c r="Y309" i="2"/>
  <c r="AB309" i="2" s="1"/>
  <c r="H308" i="2"/>
  <c r="AP311" i="2"/>
  <c r="AD310" i="2"/>
  <c r="P310" i="2"/>
  <c r="F309" i="2"/>
  <c r="G309" i="2" s="1"/>
  <c r="Z308" i="2"/>
  <c r="AQ311" i="2"/>
  <c r="AU311" i="2"/>
  <c r="E310" i="2"/>
  <c r="V310" i="2" s="1"/>
  <c r="BC310" i="2" s="1"/>
  <c r="D310" i="2"/>
  <c r="U310" i="2" s="1"/>
  <c r="B312" i="2"/>
  <c r="AJ311" i="2"/>
  <c r="AA311" i="2"/>
  <c r="W311" i="2"/>
  <c r="AC311" i="2"/>
  <c r="K311" i="2"/>
  <c r="L310" i="2" s="1"/>
  <c r="C311" i="2"/>
  <c r="J311" i="2" s="1"/>
  <c r="A312" i="2"/>
  <c r="AK128" i="2" l="1"/>
  <c r="Q128" i="2"/>
  <c r="O128" i="2" s="1"/>
  <c r="AS129" i="2" s="1"/>
  <c r="AV128" i="2"/>
  <c r="AR128" i="2" s="1"/>
  <c r="AW128" i="2" s="1"/>
  <c r="AU128" i="2" s="1"/>
  <c r="Y310" i="2"/>
  <c r="AB310" i="2" s="1"/>
  <c r="H309" i="2"/>
  <c r="AM312" i="2"/>
  <c r="AP312" i="2"/>
  <c r="AD311" i="2"/>
  <c r="P311" i="2"/>
  <c r="F310" i="2"/>
  <c r="G310" i="2" s="1"/>
  <c r="Z309" i="2"/>
  <c r="B313" i="2"/>
  <c r="AC312" i="2"/>
  <c r="W312" i="2"/>
  <c r="K312" i="2"/>
  <c r="L311" i="2" s="1"/>
  <c r="C312" i="2"/>
  <c r="J312" i="2" s="1"/>
  <c r="D311" i="2"/>
  <c r="U311" i="2" s="1"/>
  <c r="E311" i="2"/>
  <c r="V311" i="2" s="1"/>
  <c r="BC311" i="2" s="1"/>
  <c r="AQ312" i="2"/>
  <c r="A313" i="2"/>
  <c r="N129" i="2" l="1"/>
  <c r="I129" i="2"/>
  <c r="R128" i="2"/>
  <c r="AH128" i="2" s="1"/>
  <c r="AI129" i="2" s="1"/>
  <c r="AO129" i="2"/>
  <c r="X129" i="2"/>
  <c r="AN129" i="2"/>
  <c r="T129" i="2"/>
  <c r="M130" i="2" s="1"/>
  <c r="AG128" i="2"/>
  <c r="Y311" i="2"/>
  <c r="AB311" i="2" s="1"/>
  <c r="H310" i="2"/>
  <c r="AP313" i="2"/>
  <c r="AM313" i="2"/>
  <c r="P312" i="2"/>
  <c r="F311" i="2"/>
  <c r="G311" i="2" s="1"/>
  <c r="Z310" i="2"/>
  <c r="B314" i="2"/>
  <c r="AJ313" i="2"/>
  <c r="W313" i="2"/>
  <c r="AA313" i="2"/>
  <c r="AC313" i="2"/>
  <c r="K313" i="2"/>
  <c r="L312" i="2" s="1"/>
  <c r="C313" i="2"/>
  <c r="P313" i="2" s="1"/>
  <c r="D312" i="2"/>
  <c r="U312" i="2" s="1"/>
  <c r="E312" i="2"/>
  <c r="V312" i="2" s="1"/>
  <c r="BC312" i="2" s="1"/>
  <c r="AQ313" i="2"/>
  <c r="A314" i="2"/>
  <c r="S129" i="2" l="1"/>
  <c r="AE128" i="2"/>
  <c r="AL128" i="2" s="1"/>
  <c r="BA128" i="2" s="1"/>
  <c r="Q129" i="2"/>
  <c r="O129" i="2" s="1"/>
  <c r="AO130" i="2" s="1"/>
  <c r="AM129" i="2"/>
  <c r="Y312" i="2"/>
  <c r="AB312" i="2" s="1"/>
  <c r="H311" i="2"/>
  <c r="AP314" i="2"/>
  <c r="AM314" i="2"/>
  <c r="J313" i="2"/>
  <c r="F312" i="2"/>
  <c r="G312" i="2" s="1"/>
  <c r="Z311" i="2"/>
  <c r="AQ314" i="2"/>
  <c r="D313" i="2"/>
  <c r="U313" i="2" s="1"/>
  <c r="E313" i="2"/>
  <c r="V313" i="2" s="1"/>
  <c r="BC313" i="2" s="1"/>
  <c r="B315" i="2"/>
  <c r="AJ314" i="2"/>
  <c r="AC314" i="2"/>
  <c r="W314" i="2"/>
  <c r="AA314" i="2"/>
  <c r="K314" i="2"/>
  <c r="L313" i="2" s="1"/>
  <c r="C314" i="2"/>
  <c r="P314" i="2" s="1"/>
  <c r="A315" i="2"/>
  <c r="AT128" i="2" l="1"/>
  <c r="BB129" i="2" s="1"/>
  <c r="AF129" i="2"/>
  <c r="AK129" i="2" s="1"/>
  <c r="R129" i="2"/>
  <c r="T130" i="2" s="1"/>
  <c r="M131" i="2" s="1"/>
  <c r="X130" i="2"/>
  <c r="N130" i="2"/>
  <c r="I130" i="2"/>
  <c r="AN130" i="2"/>
  <c r="AS130" i="2"/>
  <c r="Y313" i="2"/>
  <c r="AB313" i="2" s="1"/>
  <c r="H312" i="2"/>
  <c r="AP315" i="2"/>
  <c r="J314" i="2"/>
  <c r="F313" i="2"/>
  <c r="G313" i="2" s="1"/>
  <c r="AA312" i="2"/>
  <c r="AD312" i="2" s="1"/>
  <c r="AD313" i="2" s="1"/>
  <c r="AD314" i="2" s="1"/>
  <c r="Z312" i="2"/>
  <c r="E314" i="2"/>
  <c r="V314" i="2" s="1"/>
  <c r="BC314" i="2" s="1"/>
  <c r="D314" i="2"/>
  <c r="U314" i="2" s="1"/>
  <c r="B316" i="2"/>
  <c r="AC315" i="2"/>
  <c r="AA315" i="2"/>
  <c r="W315" i="2"/>
  <c r="AJ315" i="2"/>
  <c r="K315" i="2"/>
  <c r="L314" i="2" s="1"/>
  <c r="C315" i="2"/>
  <c r="P315" i="2" s="1"/>
  <c r="AQ315" i="2"/>
  <c r="A316" i="2"/>
  <c r="Q130" i="2" l="1"/>
  <c r="O130" i="2" s="1"/>
  <c r="AN131" i="2" s="1"/>
  <c r="AG129" i="2"/>
  <c r="AV129" i="2"/>
  <c r="AR129" i="2" s="1"/>
  <c r="AW129" i="2" s="1"/>
  <c r="AU129" i="2" s="1"/>
  <c r="S130" i="2"/>
  <c r="AE129" i="2"/>
  <c r="AF130" i="2" s="1"/>
  <c r="AH129" i="2"/>
  <c r="AI130" i="2" s="1"/>
  <c r="Y314" i="2"/>
  <c r="AB314" i="2" s="1"/>
  <c r="H313" i="2"/>
  <c r="AQ316" i="2"/>
  <c r="AP316" i="2"/>
  <c r="J315" i="2"/>
  <c r="F314" i="2"/>
  <c r="G314" i="2" s="1"/>
  <c r="AD315" i="2"/>
  <c r="Z313" i="2"/>
  <c r="B317" i="2"/>
  <c r="AC316" i="2"/>
  <c r="AA316" i="2"/>
  <c r="W316" i="2"/>
  <c r="AJ316" i="2"/>
  <c r="C316" i="2"/>
  <c r="J316" i="2" s="1"/>
  <c r="K316" i="2"/>
  <c r="L315" i="2" s="1"/>
  <c r="D315" i="2"/>
  <c r="U315" i="2" s="1"/>
  <c r="E315" i="2"/>
  <c r="V315" i="2" s="1"/>
  <c r="BC315" i="2" s="1"/>
  <c r="A317" i="2"/>
  <c r="AO131" i="2" l="1"/>
  <c r="N131" i="2"/>
  <c r="I131" i="2"/>
  <c r="R130" i="2"/>
  <c r="T131" i="2" s="1"/>
  <c r="M132" i="2" s="1"/>
  <c r="AS131" i="2"/>
  <c r="X131" i="2"/>
  <c r="AT129" i="2"/>
  <c r="BB130" i="2" s="1"/>
  <c r="AL129" i="2"/>
  <c r="BA129" i="2" s="1"/>
  <c r="AK130" i="2"/>
  <c r="Y315" i="2"/>
  <c r="AB315" i="2" s="1"/>
  <c r="H314" i="2"/>
  <c r="AP317" i="2"/>
  <c r="AD316" i="2"/>
  <c r="P316" i="2"/>
  <c r="F315" i="2"/>
  <c r="G315" i="2" s="1"/>
  <c r="Z314" i="2"/>
  <c r="AQ317" i="2"/>
  <c r="B318" i="2"/>
  <c r="AJ317" i="2"/>
  <c r="AC317" i="2"/>
  <c r="AA317" i="2"/>
  <c r="W317" i="2"/>
  <c r="C317" i="2"/>
  <c r="J317" i="2" s="1"/>
  <c r="K317" i="2"/>
  <c r="L316" i="2" s="1"/>
  <c r="E316" i="2"/>
  <c r="V316" i="2" s="1"/>
  <c r="BC316" i="2" s="1"/>
  <c r="D316" i="2"/>
  <c r="U316" i="2" s="1"/>
  <c r="A318" i="2"/>
  <c r="Q131" i="2" l="1"/>
  <c r="O131" i="2" s="1"/>
  <c r="AS132" i="2" s="1"/>
  <c r="S131" i="2"/>
  <c r="AH130" i="2"/>
  <c r="AI131" i="2" s="1"/>
  <c r="AE130" i="2"/>
  <c r="AF131" i="2" s="1"/>
  <c r="AG130" i="2"/>
  <c r="AV130" i="2"/>
  <c r="AR130" i="2" s="1"/>
  <c r="AW130" i="2" s="1"/>
  <c r="AU130" i="2" s="1"/>
  <c r="Y316" i="2"/>
  <c r="AB316" i="2" s="1"/>
  <c r="H315" i="2"/>
  <c r="AM318" i="2"/>
  <c r="AP318" i="2"/>
  <c r="AD317" i="2"/>
  <c r="P317" i="2"/>
  <c r="F316" i="2"/>
  <c r="G316" i="2" s="1"/>
  <c r="Z315" i="2"/>
  <c r="B319" i="2"/>
  <c r="AJ318" i="2"/>
  <c r="AC318" i="2"/>
  <c r="W318" i="2"/>
  <c r="AA318" i="2"/>
  <c r="C318" i="2"/>
  <c r="P318" i="2" s="1"/>
  <c r="K318" i="2"/>
  <c r="L317" i="2" s="1"/>
  <c r="AQ318" i="2"/>
  <c r="E317" i="2"/>
  <c r="V317" i="2" s="1"/>
  <c r="BC317" i="2" s="1"/>
  <c r="D317" i="2"/>
  <c r="U317" i="2" s="1"/>
  <c r="A319" i="2"/>
  <c r="AN132" i="2" l="1"/>
  <c r="AO132" i="2"/>
  <c r="AL130" i="2"/>
  <c r="BA130" i="2" s="1"/>
  <c r="I132" i="2"/>
  <c r="N132" i="2"/>
  <c r="X132" i="2"/>
  <c r="R131" i="2"/>
  <c r="S132" i="2" s="1"/>
  <c r="AK131" i="2"/>
  <c r="AT130" i="2"/>
  <c r="BB131" i="2" s="1"/>
  <c r="Y317" i="2"/>
  <c r="AB317" i="2" s="1"/>
  <c r="H316" i="2"/>
  <c r="AP319" i="2"/>
  <c r="AD318" i="2"/>
  <c r="AQ319" i="2"/>
  <c r="J318" i="2"/>
  <c r="F317" i="2"/>
  <c r="G317" i="2" s="1"/>
  <c r="Z316" i="2"/>
  <c r="E318" i="2"/>
  <c r="V318" i="2" s="1"/>
  <c r="BC318" i="2" s="1"/>
  <c r="D318" i="2"/>
  <c r="U318" i="2" s="1"/>
  <c r="B320" i="2"/>
  <c r="AJ319" i="2"/>
  <c r="AC319" i="2"/>
  <c r="W319" i="2"/>
  <c r="AA319" i="2"/>
  <c r="K319" i="2"/>
  <c r="L318" i="2" s="1"/>
  <c r="C319" i="2"/>
  <c r="J319" i="2" s="1"/>
  <c r="A320" i="2"/>
  <c r="Q132" i="2" l="1"/>
  <c r="O132" i="2" s="1"/>
  <c r="AO133" i="2" s="1"/>
  <c r="AG131" i="2"/>
  <c r="AH131" i="2"/>
  <c r="T132" i="2"/>
  <c r="M133" i="2" s="1"/>
  <c r="AE131" i="2"/>
  <c r="AF132" i="2" s="1"/>
  <c r="AV131" i="2"/>
  <c r="AR131" i="2" s="1"/>
  <c r="AW131" i="2" s="1"/>
  <c r="Y318" i="2"/>
  <c r="AB318" i="2" s="1"/>
  <c r="H317" i="2"/>
  <c r="AP320" i="2"/>
  <c r="AD319" i="2"/>
  <c r="F318" i="2"/>
  <c r="G318" i="2" s="1"/>
  <c r="P319" i="2"/>
  <c r="Z317" i="2"/>
  <c r="B321" i="2"/>
  <c r="AC320" i="2"/>
  <c r="AJ320" i="2"/>
  <c r="AA320" i="2"/>
  <c r="W320" i="2"/>
  <c r="C320" i="2"/>
  <c r="P320" i="2" s="1"/>
  <c r="K320" i="2"/>
  <c r="L319" i="2" s="1"/>
  <c r="AQ320" i="2"/>
  <c r="D319" i="2"/>
  <c r="U319" i="2" s="1"/>
  <c r="E319" i="2"/>
  <c r="V319" i="2" s="1"/>
  <c r="BC319" i="2" s="1"/>
  <c r="A321" i="2"/>
  <c r="X133" i="2" l="1"/>
  <c r="AN133" i="2"/>
  <c r="AS133" i="2"/>
  <c r="I133" i="2"/>
  <c r="AJ132" i="2"/>
  <c r="AT131" i="2" s="1"/>
  <c r="BB132" i="2" s="1"/>
  <c r="N133" i="2"/>
  <c r="AL131" i="2"/>
  <c r="BA131" i="2" s="1"/>
  <c r="R132" i="2"/>
  <c r="S133" i="2" s="1"/>
  <c r="Y319" i="2"/>
  <c r="AB319" i="2" s="1"/>
  <c r="H318" i="2"/>
  <c r="AP321" i="2"/>
  <c r="AD320" i="2"/>
  <c r="J320" i="2"/>
  <c r="F319" i="2"/>
  <c r="G319" i="2" s="1"/>
  <c r="AQ321" i="2"/>
  <c r="Z318" i="2"/>
  <c r="D320" i="2"/>
  <c r="U320" i="2" s="1"/>
  <c r="E320" i="2"/>
  <c r="V320" i="2" s="1"/>
  <c r="BC320" i="2" s="1"/>
  <c r="B322" i="2"/>
  <c r="AA321" i="2"/>
  <c r="AC321" i="2"/>
  <c r="AJ321" i="2"/>
  <c r="W321" i="2"/>
  <c r="K321" i="2"/>
  <c r="L320" i="2" s="1"/>
  <c r="C321" i="2"/>
  <c r="P321" i="2" s="1"/>
  <c r="A322" i="2"/>
  <c r="Q133" i="2" l="1"/>
  <c r="O133" i="2" s="1"/>
  <c r="AN134" i="2" s="1"/>
  <c r="AG132" i="2"/>
  <c r="AI132" i="2"/>
  <c r="AK132" i="2" s="1"/>
  <c r="AE132" i="2"/>
  <c r="AF133" i="2" s="1"/>
  <c r="AV132" i="2"/>
  <c r="AR132" i="2" s="1"/>
  <c r="AW132" i="2" s="1"/>
  <c r="AU132" i="2" s="1"/>
  <c r="T133" i="2"/>
  <c r="M134" i="2" s="1"/>
  <c r="Y320" i="2"/>
  <c r="AB320" i="2" s="1"/>
  <c r="H319" i="2"/>
  <c r="AM322" i="2"/>
  <c r="AP322" i="2"/>
  <c r="AD321" i="2"/>
  <c r="J321" i="2"/>
  <c r="F320" i="2"/>
  <c r="G320" i="2" s="1"/>
  <c r="Z319" i="2"/>
  <c r="B323" i="2"/>
  <c r="AJ322" i="2"/>
  <c r="W322" i="2"/>
  <c r="AA322" i="2"/>
  <c r="AC322" i="2"/>
  <c r="K322" i="2"/>
  <c r="L321" i="2" s="1"/>
  <c r="C322" i="2"/>
  <c r="J322" i="2" s="1"/>
  <c r="AQ322" i="2"/>
  <c r="D321" i="2"/>
  <c r="U321" i="2" s="1"/>
  <c r="E321" i="2"/>
  <c r="V321" i="2" s="1"/>
  <c r="BC321" i="2" s="1"/>
  <c r="A323" i="2"/>
  <c r="X134" i="2" l="1"/>
  <c r="AS134" i="2"/>
  <c r="AO134" i="2"/>
  <c r="N134" i="2"/>
  <c r="AH132" i="2"/>
  <c r="AI133" i="2" s="1"/>
  <c r="AK133" i="2" s="1"/>
  <c r="I134" i="2"/>
  <c r="R133" i="2"/>
  <c r="T134" i="2" s="1"/>
  <c r="M135" i="2" s="1"/>
  <c r="Y321" i="2"/>
  <c r="AB321" i="2" s="1"/>
  <c r="H320" i="2"/>
  <c r="AP323" i="2"/>
  <c r="AD322" i="2"/>
  <c r="P322" i="2"/>
  <c r="F321" i="2"/>
  <c r="G321" i="2" s="1"/>
  <c r="Z320" i="2"/>
  <c r="AQ323" i="2"/>
  <c r="AU323" i="2"/>
  <c r="E322" i="2"/>
  <c r="V322" i="2" s="1"/>
  <c r="BC322" i="2" s="1"/>
  <c r="D322" i="2"/>
  <c r="U322" i="2" s="1"/>
  <c r="B324" i="2"/>
  <c r="AC323" i="2"/>
  <c r="AA323" i="2"/>
  <c r="AJ323" i="2"/>
  <c r="W323" i="2"/>
  <c r="K323" i="2"/>
  <c r="L322" i="2" s="1"/>
  <c r="C323" i="2"/>
  <c r="J323" i="2" s="1"/>
  <c r="A324" i="2"/>
  <c r="Q134" i="2" l="1"/>
  <c r="O134" i="2" s="1"/>
  <c r="X135" i="2" s="1"/>
  <c r="AG133" i="2"/>
  <c r="AL132" i="2"/>
  <c r="BA132" i="2" s="1"/>
  <c r="AT132" i="2"/>
  <c r="BB133" i="2" s="1"/>
  <c r="AH133" i="2"/>
  <c r="AI134" i="2" s="1"/>
  <c r="S134" i="2"/>
  <c r="AE133" i="2"/>
  <c r="AF134" i="2" s="1"/>
  <c r="Y322" i="2"/>
  <c r="AB322" i="2" s="1"/>
  <c r="H321" i="2"/>
  <c r="AP324" i="2"/>
  <c r="AM324" i="2"/>
  <c r="AD323" i="2"/>
  <c r="P323" i="2"/>
  <c r="Z321" i="2"/>
  <c r="F322" i="2"/>
  <c r="G322" i="2" s="1"/>
  <c r="AQ324" i="2"/>
  <c r="B325" i="2"/>
  <c r="AC324" i="2"/>
  <c r="W324" i="2"/>
  <c r="C324" i="2"/>
  <c r="J324" i="2" s="1"/>
  <c r="K324" i="2"/>
  <c r="L323" i="2" s="1"/>
  <c r="E323" i="2"/>
  <c r="V323" i="2" s="1"/>
  <c r="BC323" i="2" s="1"/>
  <c r="D323" i="2"/>
  <c r="U323" i="2" s="1"/>
  <c r="A325" i="2"/>
  <c r="AS135" i="2" l="1"/>
  <c r="AN135" i="2"/>
  <c r="R134" i="2"/>
  <c r="T135" i="2" s="1"/>
  <c r="M136" i="2" s="1"/>
  <c r="AO135" i="2"/>
  <c r="I135" i="2"/>
  <c r="N135" i="2"/>
  <c r="AV133" i="2"/>
  <c r="AR133" i="2" s="1"/>
  <c r="AW133" i="2" s="1"/>
  <c r="AU133" i="2" s="1"/>
  <c r="AT133" i="2"/>
  <c r="BB134" i="2" s="1"/>
  <c r="AL133" i="2"/>
  <c r="BA133" i="2" s="1"/>
  <c r="AK134" i="2"/>
  <c r="Y323" i="2"/>
  <c r="AB323" i="2" s="1"/>
  <c r="H322" i="2"/>
  <c r="AP325" i="2"/>
  <c r="AM325" i="2"/>
  <c r="F323" i="2"/>
  <c r="G323" i="2" s="1"/>
  <c r="Z322" i="2"/>
  <c r="P324" i="2"/>
  <c r="B326" i="2"/>
  <c r="AC325" i="2"/>
  <c r="AJ325" i="2"/>
  <c r="AA325" i="2"/>
  <c r="W325" i="2"/>
  <c r="C325" i="2"/>
  <c r="J325" i="2" s="1"/>
  <c r="K325" i="2"/>
  <c r="L324" i="2" s="1"/>
  <c r="AQ325" i="2"/>
  <c r="E324" i="2"/>
  <c r="V324" i="2" s="1"/>
  <c r="BC324" i="2" s="1"/>
  <c r="D324" i="2"/>
  <c r="U324" i="2" s="1"/>
  <c r="A326" i="2"/>
  <c r="S135" i="2" l="1"/>
  <c r="AG134" i="2"/>
  <c r="AE134" i="2"/>
  <c r="AF135" i="2" s="1"/>
  <c r="AH134" i="2"/>
  <c r="AI135" i="2" s="1"/>
  <c r="Q135" i="2"/>
  <c r="O135" i="2" s="1"/>
  <c r="AO136" i="2" s="1"/>
  <c r="AV134" i="2"/>
  <c r="AR134" i="2" s="1"/>
  <c r="AW134" i="2" s="1"/>
  <c r="AU134" i="2" s="1"/>
  <c r="Y324" i="2"/>
  <c r="AB324" i="2" s="1"/>
  <c r="H323" i="2"/>
  <c r="AP326" i="2"/>
  <c r="AQ326" i="2"/>
  <c r="P325" i="2"/>
  <c r="F324" i="2"/>
  <c r="G324" i="2" s="1"/>
  <c r="Z323" i="2"/>
  <c r="B327" i="2"/>
  <c r="AJ326" i="2"/>
  <c r="AC326" i="2"/>
  <c r="AA326" i="2"/>
  <c r="W326" i="2"/>
  <c r="C326" i="2"/>
  <c r="P326" i="2" s="1"/>
  <c r="K326" i="2"/>
  <c r="L325" i="2" s="1"/>
  <c r="E325" i="2"/>
  <c r="V325" i="2" s="1"/>
  <c r="BC325" i="2" s="1"/>
  <c r="D325" i="2"/>
  <c r="U325" i="2" s="1"/>
  <c r="A327" i="2"/>
  <c r="AT134" i="2" l="1"/>
  <c r="BB135" i="2" s="1"/>
  <c r="AK135" i="2"/>
  <c r="AL134" i="2"/>
  <c r="BA134" i="2" s="1"/>
  <c r="X136" i="2"/>
  <c r="AN136" i="2"/>
  <c r="R135" i="2"/>
  <c r="AG135" i="2" s="1"/>
  <c r="N136" i="2"/>
  <c r="I136" i="2"/>
  <c r="AS136" i="2"/>
  <c r="Y325" i="2"/>
  <c r="AB325" i="2" s="1"/>
  <c r="H324" i="2"/>
  <c r="AP327" i="2"/>
  <c r="J326" i="2"/>
  <c r="F325" i="2"/>
  <c r="G325" i="2" s="1"/>
  <c r="Z324" i="2"/>
  <c r="AA324" i="2"/>
  <c r="AD324" i="2" s="1"/>
  <c r="AD325" i="2" s="1"/>
  <c r="AD326" i="2" s="1"/>
  <c r="AQ327" i="2"/>
  <c r="B328" i="2"/>
  <c r="AJ327" i="2"/>
  <c r="W327" i="2"/>
  <c r="AA327" i="2"/>
  <c r="AC327" i="2"/>
  <c r="K327" i="2"/>
  <c r="L326" i="2" s="1"/>
  <c r="C327" i="2"/>
  <c r="J327" i="2" s="1"/>
  <c r="E326" i="2"/>
  <c r="V326" i="2" s="1"/>
  <c r="BC326" i="2" s="1"/>
  <c r="D326" i="2"/>
  <c r="U326" i="2" s="1"/>
  <c r="A328" i="2"/>
  <c r="AV135" i="2" l="1"/>
  <c r="AR135" i="2" s="1"/>
  <c r="AW135" i="2" s="1"/>
  <c r="AU135" i="2" s="1"/>
  <c r="AH135" i="2"/>
  <c r="AI136" i="2" s="1"/>
  <c r="AE135" i="2"/>
  <c r="AF136" i="2" s="1"/>
  <c r="S136" i="2"/>
  <c r="Q136" i="2"/>
  <c r="O136" i="2" s="1"/>
  <c r="AS137" i="2" s="1"/>
  <c r="T136" i="2"/>
  <c r="M137" i="2" s="1"/>
  <c r="Y326" i="2"/>
  <c r="AB326" i="2" s="1"/>
  <c r="H325" i="2"/>
  <c r="AP328" i="2"/>
  <c r="AQ328" i="2"/>
  <c r="P327" i="2"/>
  <c r="AD327" i="2"/>
  <c r="F326" i="2"/>
  <c r="G326" i="2" s="1"/>
  <c r="Z325" i="2"/>
  <c r="B329" i="2"/>
  <c r="AJ328" i="2"/>
  <c r="AC328" i="2"/>
  <c r="W328" i="2"/>
  <c r="AA328" i="2"/>
  <c r="K328" i="2"/>
  <c r="L327" i="2" s="1"/>
  <c r="C328" i="2"/>
  <c r="J328" i="2" s="1"/>
  <c r="D327" i="2"/>
  <c r="U327" i="2" s="1"/>
  <c r="E327" i="2"/>
  <c r="V327" i="2" s="1"/>
  <c r="BC327" i="2" s="1"/>
  <c r="A329" i="2"/>
  <c r="AK136" i="2" l="1"/>
  <c r="AT135" i="2"/>
  <c r="BB136" i="2" s="1"/>
  <c r="AL135" i="2"/>
  <c r="BA135" i="2" s="1"/>
  <c r="AN137" i="2"/>
  <c r="AO137" i="2"/>
  <c r="X137" i="2"/>
  <c r="N137" i="2"/>
  <c r="R136" i="2"/>
  <c r="AG136" i="2" s="1"/>
  <c r="I137" i="2"/>
  <c r="Y327" i="2"/>
  <c r="AB327" i="2" s="1"/>
  <c r="H326" i="2"/>
  <c r="AM137" i="2"/>
  <c r="AP329" i="2"/>
  <c r="AM329" i="2"/>
  <c r="AD328" i="2"/>
  <c r="Z326" i="2"/>
  <c r="P328" i="2"/>
  <c r="F327" i="2"/>
  <c r="G327" i="2" s="1"/>
  <c r="AQ329" i="2"/>
  <c r="D328" i="2"/>
  <c r="U328" i="2" s="1"/>
  <c r="E328" i="2"/>
  <c r="V328" i="2" s="1"/>
  <c r="BC328" i="2" s="1"/>
  <c r="B330" i="2"/>
  <c r="AJ329" i="2"/>
  <c r="AA329" i="2"/>
  <c r="AC329" i="2"/>
  <c r="W329" i="2"/>
  <c r="K329" i="2"/>
  <c r="L328" i="2" s="1"/>
  <c r="C329" i="2"/>
  <c r="J329" i="2" s="1"/>
  <c r="A330" i="2"/>
  <c r="Q137" i="2" l="1"/>
  <c r="O137" i="2" s="1"/>
  <c r="AV136" i="2"/>
  <c r="AR136" i="2" s="1"/>
  <c r="AW136" i="2" s="1"/>
  <c r="AU136" i="2" s="1"/>
  <c r="AE136" i="2"/>
  <c r="AF137" i="2" s="1"/>
  <c r="T137" i="2"/>
  <c r="M138" i="2" s="1"/>
  <c r="AH136" i="2"/>
  <c r="AI137" i="2" s="1"/>
  <c r="S137" i="2"/>
  <c r="Y328" i="2"/>
  <c r="AB328" i="2" s="1"/>
  <c r="H327" i="2"/>
  <c r="AM330" i="2"/>
  <c r="AP330" i="2"/>
  <c r="AD329" i="2"/>
  <c r="P329" i="2"/>
  <c r="F328" i="2"/>
  <c r="G328" i="2" s="1"/>
  <c r="AQ330" i="2"/>
  <c r="Z327" i="2"/>
  <c r="E329" i="2"/>
  <c r="V329" i="2" s="1"/>
  <c r="BC329" i="2" s="1"/>
  <c r="D329" i="2"/>
  <c r="U329" i="2" s="1"/>
  <c r="B331" i="2"/>
  <c r="AC330" i="2"/>
  <c r="AJ330" i="2"/>
  <c r="W330" i="2"/>
  <c r="AA330" i="2"/>
  <c r="K330" i="2"/>
  <c r="L329" i="2" s="1"/>
  <c r="C330" i="2"/>
  <c r="J330" i="2" s="1"/>
  <c r="A331" i="2"/>
  <c r="R137" i="2" l="1"/>
  <c r="AG137" i="2" s="1"/>
  <c r="AK137" i="2"/>
  <c r="AL136" i="2"/>
  <c r="BA136" i="2" s="1"/>
  <c r="AT136" i="2"/>
  <c r="BB137" i="2" s="1"/>
  <c r="AN138" i="2"/>
  <c r="Y329" i="2"/>
  <c r="AB329" i="2" s="1"/>
  <c r="H328" i="2"/>
  <c r="AP331" i="2"/>
  <c r="X138" i="2"/>
  <c r="N138" i="2"/>
  <c r="AS138" i="2"/>
  <c r="I138" i="2"/>
  <c r="AO138" i="2"/>
  <c r="AD330" i="2"/>
  <c r="P330" i="2"/>
  <c r="F329" i="2"/>
  <c r="G329" i="2" s="1"/>
  <c r="Z328" i="2"/>
  <c r="B332" i="2"/>
  <c r="AC331" i="2"/>
  <c r="AJ331" i="2"/>
  <c r="W331" i="2"/>
  <c r="AA331" i="2"/>
  <c r="K331" i="2"/>
  <c r="L330" i="2" s="1"/>
  <c r="C331" i="2"/>
  <c r="J331" i="2" s="1"/>
  <c r="E330" i="2"/>
  <c r="V330" i="2" s="1"/>
  <c r="BC330" i="2" s="1"/>
  <c r="D330" i="2"/>
  <c r="U330" i="2" s="1"/>
  <c r="AQ331" i="2"/>
  <c r="A332" i="2"/>
  <c r="AE137" i="2" l="1"/>
  <c r="AF138" i="2" s="1"/>
  <c r="AH137" i="2"/>
  <c r="AI138" i="2" s="1"/>
  <c r="S138" i="2"/>
  <c r="T138" i="2"/>
  <c r="M139" i="2" s="1"/>
  <c r="AV137" i="2"/>
  <c r="AR137" i="2" s="1"/>
  <c r="AW137" i="2" s="1"/>
  <c r="AU137" i="2" s="1"/>
  <c r="AM138" i="2"/>
  <c r="Y330" i="2"/>
  <c r="AB330" i="2" s="1"/>
  <c r="H329" i="2"/>
  <c r="AP332" i="2"/>
  <c r="AM332" i="2"/>
  <c r="Q138" i="2"/>
  <c r="AD331" i="2"/>
  <c r="F330" i="2"/>
  <c r="G330" i="2" s="1"/>
  <c r="AQ332" i="2"/>
  <c r="P331" i="2"/>
  <c r="Z329" i="2"/>
  <c r="E331" i="2"/>
  <c r="V331" i="2" s="1"/>
  <c r="BC331" i="2" s="1"/>
  <c r="D331" i="2"/>
  <c r="U331" i="2" s="1"/>
  <c r="B333" i="2"/>
  <c r="AC332" i="2"/>
  <c r="AA332" i="2"/>
  <c r="AJ332" i="2"/>
  <c r="W332" i="2"/>
  <c r="C332" i="2"/>
  <c r="P332" i="2" s="1"/>
  <c r="K332" i="2"/>
  <c r="L331" i="2" s="1"/>
  <c r="A333" i="2"/>
  <c r="R138" i="2" l="1"/>
  <c r="AG138" i="2" s="1"/>
  <c r="AK138" i="2"/>
  <c r="AL137" i="2"/>
  <c r="BA137" i="2" s="1"/>
  <c r="AT137" i="2"/>
  <c r="BB138" i="2" s="1"/>
  <c r="Y331" i="2"/>
  <c r="AB331" i="2" s="1"/>
  <c r="H330" i="2"/>
  <c r="AP333" i="2"/>
  <c r="O138" i="2"/>
  <c r="AD332" i="2"/>
  <c r="F331" i="2"/>
  <c r="G331" i="2" s="1"/>
  <c r="J332" i="2"/>
  <c r="Z330" i="2"/>
  <c r="E332" i="2"/>
  <c r="V332" i="2" s="1"/>
  <c r="BC332" i="2" s="1"/>
  <c r="D332" i="2"/>
  <c r="U332" i="2" s="1"/>
  <c r="AQ333" i="2"/>
  <c r="B334" i="2"/>
  <c r="AC333" i="2"/>
  <c r="AA333" i="2"/>
  <c r="AJ333" i="2"/>
  <c r="W333" i="2"/>
  <c r="C333" i="2"/>
  <c r="P333" i="2" s="1"/>
  <c r="K333" i="2"/>
  <c r="L332" i="2" s="1"/>
  <c r="A334" i="2"/>
  <c r="AE138" i="2" l="1"/>
  <c r="AF139" i="2" s="1"/>
  <c r="AH138" i="2"/>
  <c r="AI139" i="2" s="1"/>
  <c r="T139" i="2"/>
  <c r="M140" i="2" s="1"/>
  <c r="S139" i="2"/>
  <c r="AV138" i="2"/>
  <c r="AR138" i="2" s="1"/>
  <c r="AW138" i="2" s="1"/>
  <c r="AU138" i="2" s="1"/>
  <c r="Y332" i="2"/>
  <c r="AB332" i="2" s="1"/>
  <c r="X139" i="2"/>
  <c r="AN139" i="2"/>
  <c r="H331" i="2"/>
  <c r="AP334" i="2"/>
  <c r="AM334" i="2"/>
  <c r="AD333" i="2"/>
  <c r="AO139" i="2"/>
  <c r="N139" i="2"/>
  <c r="I139" i="2"/>
  <c r="AS139" i="2"/>
  <c r="F332" i="2"/>
  <c r="G332" i="2" s="1"/>
  <c r="J333" i="2"/>
  <c r="Z331" i="2"/>
  <c r="B335" i="2"/>
  <c r="AJ334" i="2"/>
  <c r="AC334" i="2"/>
  <c r="AA334" i="2"/>
  <c r="W334" i="2"/>
  <c r="C334" i="2"/>
  <c r="P334" i="2" s="1"/>
  <c r="K334" i="2"/>
  <c r="L333" i="2" s="1"/>
  <c r="AQ334" i="2"/>
  <c r="E333" i="2"/>
  <c r="V333" i="2" s="1"/>
  <c r="BC333" i="2" s="1"/>
  <c r="D333" i="2"/>
  <c r="U333" i="2" s="1"/>
  <c r="A335" i="2"/>
  <c r="AL138" i="2" l="1"/>
  <c r="BA138" i="2" s="1"/>
  <c r="AT138" i="2"/>
  <c r="BB139" i="2" s="1"/>
  <c r="Y333" i="2"/>
  <c r="AB333" i="2" s="1"/>
  <c r="H332" i="2"/>
  <c r="AP335" i="2"/>
  <c r="AD334" i="2"/>
  <c r="Q139" i="2"/>
  <c r="R139" i="2" s="1"/>
  <c r="AK139" i="2"/>
  <c r="J334" i="2"/>
  <c r="F333" i="2"/>
  <c r="G333" i="2" s="1"/>
  <c r="Z332" i="2"/>
  <c r="AU335" i="2"/>
  <c r="B336" i="2"/>
  <c r="AJ335" i="2"/>
  <c r="AC335" i="2"/>
  <c r="AA335" i="2"/>
  <c r="W335" i="2"/>
  <c r="K335" i="2"/>
  <c r="L334" i="2" s="1"/>
  <c r="C335" i="2"/>
  <c r="P335" i="2" s="1"/>
  <c r="E334" i="2"/>
  <c r="V334" i="2" s="1"/>
  <c r="BC334" i="2" s="1"/>
  <c r="D334" i="2"/>
  <c r="U334" i="2" s="1"/>
  <c r="AQ335" i="2"/>
  <c r="A336" i="2"/>
  <c r="AV139" i="2" l="1"/>
  <c r="AR139" i="2" s="1"/>
  <c r="AW139" i="2" s="1"/>
  <c r="AU139" i="2" s="1"/>
  <c r="AH139" i="2"/>
  <c r="AI140" i="2" s="1"/>
  <c r="AG139" i="2"/>
  <c r="Y334" i="2"/>
  <c r="AB334" i="2" s="1"/>
  <c r="H333" i="2"/>
  <c r="AP336" i="2"/>
  <c r="AD335" i="2"/>
  <c r="AE139" i="2"/>
  <c r="S140" i="2"/>
  <c r="T140" i="2"/>
  <c r="M141" i="2" s="1"/>
  <c r="O139" i="2"/>
  <c r="J335" i="2"/>
  <c r="F334" i="2"/>
  <c r="G334" i="2" s="1"/>
  <c r="Z333" i="2"/>
  <c r="AQ336" i="2"/>
  <c r="B337" i="2"/>
  <c r="AC336" i="2"/>
  <c r="W336" i="2"/>
  <c r="K336" i="2"/>
  <c r="L335" i="2" s="1"/>
  <c r="C336" i="2"/>
  <c r="J336" i="2" s="1"/>
  <c r="D335" i="2"/>
  <c r="U335" i="2" s="1"/>
  <c r="E335" i="2"/>
  <c r="V335" i="2" s="1"/>
  <c r="BC335" i="2" s="1"/>
  <c r="A337" i="2"/>
  <c r="AF140" i="2" l="1"/>
  <c r="AL139" i="2"/>
  <c r="BA139" i="2" s="1"/>
  <c r="AT139" i="2"/>
  <c r="Y335" i="2"/>
  <c r="AB335" i="2" s="1"/>
  <c r="H334" i="2"/>
  <c r="N140" i="2"/>
  <c r="AN140" i="2"/>
  <c r="AM337" i="2"/>
  <c r="AP337" i="2"/>
  <c r="I140" i="2"/>
  <c r="AO140" i="2"/>
  <c r="X140" i="2"/>
  <c r="AS140" i="2"/>
  <c r="P336" i="2"/>
  <c r="F335" i="2"/>
  <c r="G335" i="2" s="1"/>
  <c r="Z334" i="2"/>
  <c r="AQ337" i="2"/>
  <c r="B338" i="2"/>
  <c r="AJ337" i="2"/>
  <c r="AC337" i="2"/>
  <c r="AA337" i="2"/>
  <c r="W337" i="2"/>
  <c r="K337" i="2"/>
  <c r="L336" i="2" s="1"/>
  <c r="C337" i="2"/>
  <c r="J337" i="2" s="1"/>
  <c r="D336" i="2"/>
  <c r="U336" i="2" s="1"/>
  <c r="E336" i="2"/>
  <c r="V336" i="2" s="1"/>
  <c r="BC336" i="2" s="1"/>
  <c r="A338" i="2"/>
  <c r="AK140" i="2" l="1"/>
  <c r="BB140" i="2"/>
  <c r="Y336" i="2"/>
  <c r="AB336" i="2" s="1"/>
  <c r="H335" i="2"/>
  <c r="Q140" i="2"/>
  <c r="R140" i="2" s="1"/>
  <c r="AM338" i="2"/>
  <c r="AP338" i="2"/>
  <c r="AV140" i="2"/>
  <c r="AR140" i="2" s="1"/>
  <c r="AW140" i="2" s="1"/>
  <c r="P337" i="2"/>
  <c r="F336" i="2"/>
  <c r="G336" i="2" s="1"/>
  <c r="Z335" i="2"/>
  <c r="E337" i="2"/>
  <c r="V337" i="2" s="1"/>
  <c r="BC337" i="2" s="1"/>
  <c r="D337" i="2"/>
  <c r="U337" i="2" s="1"/>
  <c r="B339" i="2"/>
  <c r="AJ338" i="2"/>
  <c r="AA338" i="2"/>
  <c r="W338" i="2"/>
  <c r="AC338" i="2"/>
  <c r="K338" i="2"/>
  <c r="L337" i="2" s="1"/>
  <c r="C338" i="2"/>
  <c r="J338" i="2" s="1"/>
  <c r="AQ338" i="2"/>
  <c r="A339" i="2"/>
  <c r="T141" i="2" l="1"/>
  <c r="M142" i="2" s="1"/>
  <c r="AG140" i="2"/>
  <c r="Y337" i="2"/>
  <c r="AB337" i="2" s="1"/>
  <c r="H336" i="2"/>
  <c r="AE140" i="2"/>
  <c r="S141" i="2"/>
  <c r="AH140" i="2"/>
  <c r="AI141" i="2" s="1"/>
  <c r="O140" i="2"/>
  <c r="AP339" i="2"/>
  <c r="AU140" i="2"/>
  <c r="F337" i="2"/>
  <c r="G337" i="2" s="1"/>
  <c r="P338" i="2"/>
  <c r="AA336" i="2"/>
  <c r="AD336" i="2" s="1"/>
  <c r="AD337" i="2" s="1"/>
  <c r="AD338" i="2" s="1"/>
  <c r="Z336" i="2"/>
  <c r="B340" i="2"/>
  <c r="AC339" i="2"/>
  <c r="W339" i="2"/>
  <c r="AA339" i="2"/>
  <c r="AJ339" i="2"/>
  <c r="K339" i="2"/>
  <c r="L338" i="2" s="1"/>
  <c r="C339" i="2"/>
  <c r="P339" i="2" s="1"/>
  <c r="E338" i="2"/>
  <c r="V338" i="2" s="1"/>
  <c r="BC338" i="2" s="1"/>
  <c r="D338" i="2"/>
  <c r="U338" i="2" s="1"/>
  <c r="AQ339" i="2"/>
  <c r="A340" i="2"/>
  <c r="AN141" i="2" l="1"/>
  <c r="AT140" i="2"/>
  <c r="AF141" i="2"/>
  <c r="AL140" i="2"/>
  <c r="BA140" i="2" s="1"/>
  <c r="Y338" i="2"/>
  <c r="AB338" i="2" s="1"/>
  <c r="H337" i="2"/>
  <c r="X141" i="2"/>
  <c r="AM141" i="2"/>
  <c r="I141" i="2"/>
  <c r="AO141" i="2"/>
  <c r="N141" i="2"/>
  <c r="AS141" i="2"/>
  <c r="AP340" i="2"/>
  <c r="AQ340" i="2"/>
  <c r="F338" i="2"/>
  <c r="G338" i="2" s="1"/>
  <c r="J339" i="2"/>
  <c r="AD339" i="2"/>
  <c r="Z337" i="2"/>
  <c r="D339" i="2"/>
  <c r="U339" i="2" s="1"/>
  <c r="E339" i="2"/>
  <c r="V339" i="2" s="1"/>
  <c r="BC339" i="2" s="1"/>
  <c r="B341" i="2"/>
  <c r="AC340" i="2"/>
  <c r="AJ340" i="2"/>
  <c r="W340" i="2"/>
  <c r="AA340" i="2"/>
  <c r="C340" i="2"/>
  <c r="J340" i="2" s="1"/>
  <c r="K340" i="2"/>
  <c r="L339" i="2" s="1"/>
  <c r="A341" i="2"/>
  <c r="AK141" i="2" l="1"/>
  <c r="BB141" i="2"/>
  <c r="Y339" i="2"/>
  <c r="AB339" i="2" s="1"/>
  <c r="H338" i="2"/>
  <c r="Q141" i="2"/>
  <c r="R141" i="2" s="1"/>
  <c r="AV141" i="2"/>
  <c r="AR141" i="2" s="1"/>
  <c r="AW141" i="2" s="1"/>
  <c r="AM341" i="2"/>
  <c r="AP341" i="2"/>
  <c r="AD340" i="2"/>
  <c r="F339" i="2"/>
  <c r="G339" i="2" s="1"/>
  <c r="P340" i="2"/>
  <c r="Z338" i="2"/>
  <c r="B342" i="2"/>
  <c r="AC341" i="2"/>
  <c r="AA341" i="2"/>
  <c r="W341" i="2"/>
  <c r="AJ341" i="2"/>
  <c r="C341" i="2"/>
  <c r="P341" i="2" s="1"/>
  <c r="K341" i="2"/>
  <c r="L340" i="2" s="1"/>
  <c r="E340" i="2"/>
  <c r="V340" i="2" s="1"/>
  <c r="BC340" i="2" s="1"/>
  <c r="D340" i="2"/>
  <c r="U340" i="2" s="1"/>
  <c r="AQ341" i="2"/>
  <c r="A342" i="2"/>
  <c r="T142" i="2" l="1"/>
  <c r="M143" i="2" s="1"/>
  <c r="AG141" i="2"/>
  <c r="O141" i="2"/>
  <c r="S142" i="2"/>
  <c r="Y340" i="2"/>
  <c r="AB340" i="2" s="1"/>
  <c r="AH141" i="2"/>
  <c r="AI142" i="2" s="1"/>
  <c r="AE141" i="2"/>
  <c r="H339" i="2"/>
  <c r="AU141" i="2"/>
  <c r="AM342" i="2"/>
  <c r="AP342" i="2"/>
  <c r="AQ342" i="2"/>
  <c r="AD341" i="2"/>
  <c r="J341" i="2"/>
  <c r="F340" i="2"/>
  <c r="G340" i="2" s="1"/>
  <c r="Z339" i="2"/>
  <c r="B343" i="2"/>
  <c r="AJ342" i="2"/>
  <c r="AA342" i="2"/>
  <c r="AC342" i="2"/>
  <c r="W342" i="2"/>
  <c r="C342" i="2"/>
  <c r="J342" i="2" s="1"/>
  <c r="K342" i="2"/>
  <c r="L341" i="2" s="1"/>
  <c r="E341" i="2"/>
  <c r="V341" i="2" s="1"/>
  <c r="BC341" i="2" s="1"/>
  <c r="D341" i="2"/>
  <c r="U341" i="2" s="1"/>
  <c r="A343" i="2"/>
  <c r="AL141" i="2" l="1"/>
  <c r="BA141" i="2" s="1"/>
  <c r="AN142" i="2"/>
  <c r="AT141" i="2"/>
  <c r="AO142" i="2"/>
  <c r="AM142" i="2"/>
  <c r="X142" i="2"/>
  <c r="I142" i="2"/>
  <c r="N142" i="2"/>
  <c r="AS142" i="2"/>
  <c r="AF142" i="2"/>
  <c r="Y341" i="2"/>
  <c r="AB341" i="2" s="1"/>
  <c r="H340" i="2"/>
  <c r="AP343" i="2"/>
  <c r="AD342" i="2"/>
  <c r="P342" i="2"/>
  <c r="F341" i="2"/>
  <c r="G341" i="2" s="1"/>
  <c r="Z340" i="2"/>
  <c r="B344" i="2"/>
  <c r="AJ343" i="2"/>
  <c r="W343" i="2"/>
  <c r="AA343" i="2"/>
  <c r="AC343" i="2"/>
  <c r="K343" i="2"/>
  <c r="L342" i="2" s="1"/>
  <c r="C343" i="2"/>
  <c r="P343" i="2" s="1"/>
  <c r="E342" i="2"/>
  <c r="V342" i="2" s="1"/>
  <c r="BC342" i="2" s="1"/>
  <c r="D342" i="2"/>
  <c r="U342" i="2" s="1"/>
  <c r="AQ343" i="2"/>
  <c r="A344" i="2"/>
  <c r="BB142" i="2" l="1"/>
  <c r="AK142" i="2"/>
  <c r="AV142" i="2"/>
  <c r="AR142" i="2" s="1"/>
  <c r="AW142" i="2" s="1"/>
  <c r="Q142" i="2"/>
  <c r="R142" i="2" s="1"/>
  <c r="AG142" i="2" s="1"/>
  <c r="Y342" i="2"/>
  <c r="AB342" i="2" s="1"/>
  <c r="H341" i="2"/>
  <c r="AM344" i="2"/>
  <c r="AP344" i="2"/>
  <c r="AD343" i="2"/>
  <c r="F342" i="2"/>
  <c r="G342" i="2" s="1"/>
  <c r="J343" i="2"/>
  <c r="Z341" i="2"/>
  <c r="AQ344" i="2"/>
  <c r="D343" i="2"/>
  <c r="U343" i="2" s="1"/>
  <c r="E343" i="2"/>
  <c r="V343" i="2" s="1"/>
  <c r="BC343" i="2" s="1"/>
  <c r="B345" i="2"/>
  <c r="AJ344" i="2"/>
  <c r="AC344" i="2"/>
  <c r="AA344" i="2"/>
  <c r="W344" i="2"/>
  <c r="C344" i="2"/>
  <c r="P344" i="2" s="1"/>
  <c r="K344" i="2"/>
  <c r="L343" i="2" s="1"/>
  <c r="A345" i="2"/>
  <c r="AE142" i="2" l="1"/>
  <c r="S143" i="2"/>
  <c r="T143" i="2"/>
  <c r="M144" i="2" s="1"/>
  <c r="AH142" i="2"/>
  <c r="AI143" i="2" s="1"/>
  <c r="AU142" i="2"/>
  <c r="O142" i="2"/>
  <c r="Y343" i="2"/>
  <c r="AB343" i="2" s="1"/>
  <c r="H342" i="2"/>
  <c r="AP345" i="2"/>
  <c r="AD344" i="2"/>
  <c r="J344" i="2"/>
  <c r="F343" i="2"/>
  <c r="G343" i="2" s="1"/>
  <c r="Z342" i="2"/>
  <c r="B346" i="2"/>
  <c r="AJ345" i="2"/>
  <c r="W345" i="2"/>
  <c r="AA345" i="2"/>
  <c r="AC345" i="2"/>
  <c r="K345" i="2"/>
  <c r="L344" i="2" s="1"/>
  <c r="C345" i="2"/>
  <c r="P345" i="2" s="1"/>
  <c r="D344" i="2"/>
  <c r="U344" i="2" s="1"/>
  <c r="E344" i="2"/>
  <c r="V344" i="2" s="1"/>
  <c r="BC344" i="2" s="1"/>
  <c r="AQ345" i="2"/>
  <c r="A346" i="2"/>
  <c r="X143" i="2" l="1"/>
  <c r="AT142" i="2"/>
  <c r="AF143" i="2"/>
  <c r="AL142" i="2"/>
  <c r="BA142" i="2" s="1"/>
  <c r="AS143" i="2"/>
  <c r="AN143" i="2"/>
  <c r="I143" i="2"/>
  <c r="N143" i="2"/>
  <c r="AO143" i="2"/>
  <c r="Y344" i="2"/>
  <c r="AB344" i="2" s="1"/>
  <c r="H343" i="2"/>
  <c r="AM346" i="2"/>
  <c r="AP346" i="2"/>
  <c r="AD345" i="2"/>
  <c r="Z343" i="2"/>
  <c r="AQ346" i="2"/>
  <c r="J345" i="2"/>
  <c r="F344" i="2"/>
  <c r="G344" i="2" s="1"/>
  <c r="B347" i="2"/>
  <c r="AC346" i="2"/>
  <c r="AJ346" i="2"/>
  <c r="AA346" i="2"/>
  <c r="W346" i="2"/>
  <c r="K346" i="2"/>
  <c r="L345" i="2" s="1"/>
  <c r="C346" i="2"/>
  <c r="J346" i="2" s="1"/>
  <c r="D345" i="2"/>
  <c r="U345" i="2" s="1"/>
  <c r="E345" i="2"/>
  <c r="V345" i="2" s="1"/>
  <c r="BC345" i="2" s="1"/>
  <c r="A347" i="2"/>
  <c r="AK143" i="2" l="1"/>
  <c r="BB143" i="2"/>
  <c r="Q143" i="2"/>
  <c r="R143" i="2" s="1"/>
  <c r="AV143" i="2"/>
  <c r="AR143" i="2" s="1"/>
  <c r="AW143" i="2" s="1"/>
  <c r="Y345" i="2"/>
  <c r="AB345" i="2" s="1"/>
  <c r="H344" i="2"/>
  <c r="AM347" i="2"/>
  <c r="AP347" i="2"/>
  <c r="AD346" i="2"/>
  <c r="P346" i="2"/>
  <c r="F345" i="2"/>
  <c r="G345" i="2" s="1"/>
  <c r="Z344" i="2"/>
  <c r="AU347" i="2"/>
  <c r="B348" i="2"/>
  <c r="AC347" i="2"/>
  <c r="AJ347" i="2"/>
  <c r="W347" i="2"/>
  <c r="AA347" i="2"/>
  <c r="K347" i="2"/>
  <c r="L346" i="2" s="1"/>
  <c r="C347" i="2"/>
  <c r="J347" i="2" s="1"/>
  <c r="E346" i="2"/>
  <c r="V346" i="2" s="1"/>
  <c r="BC346" i="2" s="1"/>
  <c r="D346" i="2"/>
  <c r="U346" i="2" s="1"/>
  <c r="AQ347" i="2"/>
  <c r="A348" i="2"/>
  <c r="AH143" i="2" l="1"/>
  <c r="AG143" i="2"/>
  <c r="T144" i="2"/>
  <c r="M145" i="2" s="1"/>
  <c r="O143" i="2"/>
  <c r="AN144" i="2" s="1"/>
  <c r="S144" i="2"/>
  <c r="AE143" i="2"/>
  <c r="Y346" i="2"/>
  <c r="AB346" i="2" s="1"/>
  <c r="H345" i="2"/>
  <c r="AM348" i="2"/>
  <c r="AP348" i="2"/>
  <c r="AD347" i="2"/>
  <c r="AQ348" i="2"/>
  <c r="P347" i="2"/>
  <c r="F346" i="2"/>
  <c r="G346" i="2" s="1"/>
  <c r="Z345" i="2"/>
  <c r="B349" i="2"/>
  <c r="AC348" i="2"/>
  <c r="W348" i="2"/>
  <c r="C348" i="2"/>
  <c r="P348" i="2" s="1"/>
  <c r="K348" i="2"/>
  <c r="L347" i="2" s="1"/>
  <c r="E347" i="2"/>
  <c r="V347" i="2" s="1"/>
  <c r="BC347" i="2" s="1"/>
  <c r="D347" i="2"/>
  <c r="U347" i="2" s="1"/>
  <c r="A349" i="2"/>
  <c r="AL143" i="2" l="1"/>
  <c r="BA143" i="2" s="1"/>
  <c r="X144" i="2"/>
  <c r="N144" i="2"/>
  <c r="I144" i="2"/>
  <c r="AJ144" i="2"/>
  <c r="AT143" i="2" s="1"/>
  <c r="AS144" i="2"/>
  <c r="AO144" i="2"/>
  <c r="AF144" i="2"/>
  <c r="Y347" i="2"/>
  <c r="AB347" i="2" s="1"/>
  <c r="H346" i="2"/>
  <c r="AM349" i="2"/>
  <c r="AP349" i="2"/>
  <c r="F347" i="2"/>
  <c r="G347" i="2" s="1"/>
  <c r="J348" i="2"/>
  <c r="Z346" i="2"/>
  <c r="AQ349" i="2"/>
  <c r="E348" i="2"/>
  <c r="V348" i="2" s="1"/>
  <c r="BC348" i="2" s="1"/>
  <c r="D348" i="2"/>
  <c r="U348" i="2" s="1"/>
  <c r="B350" i="2"/>
  <c r="AC349" i="2"/>
  <c r="AJ349" i="2"/>
  <c r="AA349" i="2"/>
  <c r="W349" i="2"/>
  <c r="C349" i="2"/>
  <c r="J349" i="2" s="1"/>
  <c r="K349" i="2"/>
  <c r="L348" i="2" s="1"/>
  <c r="A350" i="2"/>
  <c r="BB144" i="2" l="1"/>
  <c r="Q144" i="2"/>
  <c r="R144" i="2" s="1"/>
  <c r="AG144" i="2" s="1"/>
  <c r="AV144" i="2"/>
  <c r="AR144" i="2" s="1"/>
  <c r="AW144" i="2" s="1"/>
  <c r="AI144" i="2"/>
  <c r="AK144" i="2" s="1"/>
  <c r="Y348" i="2"/>
  <c r="AB348" i="2" s="1"/>
  <c r="H347" i="2"/>
  <c r="AP350" i="2"/>
  <c r="F348" i="2"/>
  <c r="G348" i="2" s="1"/>
  <c r="P349" i="2"/>
  <c r="Z347" i="2"/>
  <c r="E349" i="2"/>
  <c r="V349" i="2" s="1"/>
  <c r="BC349" i="2" s="1"/>
  <c r="D349" i="2"/>
  <c r="U349" i="2" s="1"/>
  <c r="B351" i="2"/>
  <c r="AA350" i="2"/>
  <c r="AC350" i="2"/>
  <c r="AJ350" i="2"/>
  <c r="W350" i="2"/>
  <c r="C350" i="2"/>
  <c r="P350" i="2" s="1"/>
  <c r="K350" i="2"/>
  <c r="L349" i="2" s="1"/>
  <c r="AQ350" i="2"/>
  <c r="A351" i="2"/>
  <c r="O144" i="2" l="1"/>
  <c r="AS145" i="2" s="1"/>
  <c r="AE144" i="2"/>
  <c r="T145" i="2"/>
  <c r="M146" i="2" s="1"/>
  <c r="S145" i="2"/>
  <c r="AU144" i="2"/>
  <c r="AH144" i="2"/>
  <c r="AI145" i="2" s="1"/>
  <c r="Y349" i="2"/>
  <c r="AB349" i="2" s="1"/>
  <c r="H348" i="2"/>
  <c r="AM351" i="2"/>
  <c r="AP351" i="2"/>
  <c r="J350" i="2"/>
  <c r="F349" i="2"/>
  <c r="G349" i="2" s="1"/>
  <c r="Z348" i="2"/>
  <c r="AA348" i="2"/>
  <c r="AD348" i="2" s="1"/>
  <c r="AD349" i="2" s="1"/>
  <c r="AD350" i="2" s="1"/>
  <c r="AQ351" i="2"/>
  <c r="E350" i="2"/>
  <c r="V350" i="2" s="1"/>
  <c r="BC350" i="2" s="1"/>
  <c r="D350" i="2"/>
  <c r="U350" i="2" s="1"/>
  <c r="B352" i="2"/>
  <c r="AA351" i="2"/>
  <c r="AC351" i="2"/>
  <c r="W351" i="2"/>
  <c r="AJ351" i="2"/>
  <c r="K351" i="2"/>
  <c r="L350" i="2" s="1"/>
  <c r="C351" i="2"/>
  <c r="J351" i="2" s="1"/>
  <c r="A352" i="2"/>
  <c r="X145" i="2" l="1"/>
  <c r="AN145" i="2"/>
  <c r="AF145" i="2"/>
  <c r="AL144" i="2"/>
  <c r="BA144" i="2" s="1"/>
  <c r="AO145" i="2"/>
  <c r="AT144" i="2"/>
  <c r="I145" i="2"/>
  <c r="N145" i="2"/>
  <c r="Y350" i="2"/>
  <c r="AB350" i="2" s="1"/>
  <c r="H349" i="2"/>
  <c r="AP352" i="2"/>
  <c r="P351" i="2"/>
  <c r="AQ352" i="2"/>
  <c r="AD351" i="2"/>
  <c r="F350" i="2"/>
  <c r="G350" i="2" s="1"/>
  <c r="Z349" i="2"/>
  <c r="B353" i="2"/>
  <c r="AJ352" i="2"/>
  <c r="AC352" i="2"/>
  <c r="AA352" i="2"/>
  <c r="W352" i="2"/>
  <c r="K352" i="2"/>
  <c r="L351" i="2" s="1"/>
  <c r="C352" i="2"/>
  <c r="P352" i="2" s="1"/>
  <c r="D351" i="2"/>
  <c r="U351" i="2" s="1"/>
  <c r="E351" i="2"/>
  <c r="V351" i="2" s="1"/>
  <c r="BC351" i="2" s="1"/>
  <c r="A353" i="2"/>
  <c r="AK145" i="2" l="1"/>
  <c r="BB145" i="2"/>
  <c r="Q145" i="2"/>
  <c r="O145" i="2" s="1"/>
  <c r="I146" i="2" s="1"/>
  <c r="AV145" i="2"/>
  <c r="AR145" i="2" s="1"/>
  <c r="AW145" i="2" s="1"/>
  <c r="Y351" i="2"/>
  <c r="AB351" i="2" s="1"/>
  <c r="H350" i="2"/>
  <c r="AD352" i="2"/>
  <c r="AP353" i="2"/>
  <c r="AQ353" i="2"/>
  <c r="J352" i="2"/>
  <c r="Z350" i="2"/>
  <c r="F351" i="2"/>
  <c r="G351" i="2" s="1"/>
  <c r="B354" i="2"/>
  <c r="AJ353" i="2"/>
  <c r="AA353" i="2"/>
  <c r="AC353" i="2"/>
  <c r="W353" i="2"/>
  <c r="K353" i="2"/>
  <c r="L352" i="2" s="1"/>
  <c r="C353" i="2"/>
  <c r="J353" i="2" s="1"/>
  <c r="D352" i="2"/>
  <c r="U352" i="2" s="1"/>
  <c r="E352" i="2"/>
  <c r="V352" i="2" s="1"/>
  <c r="BC352" i="2" s="1"/>
  <c r="A354" i="2"/>
  <c r="AU145" i="2" l="1"/>
  <c r="AO146" i="2"/>
  <c r="AS146" i="2"/>
  <c r="N146" i="2"/>
  <c r="Q146" i="2" s="1"/>
  <c r="O146" i="2" s="1"/>
  <c r="X146" i="2"/>
  <c r="R145" i="2"/>
  <c r="AN146" i="2"/>
  <c r="AD353" i="2"/>
  <c r="Y352" i="2"/>
  <c r="AB352" i="2" s="1"/>
  <c r="H351" i="2"/>
  <c r="AP354" i="2"/>
  <c r="P353" i="2"/>
  <c r="F352" i="2"/>
  <c r="G352" i="2" s="1"/>
  <c r="Z351" i="2"/>
  <c r="B355" i="2"/>
  <c r="AJ354" i="2"/>
  <c r="W354" i="2"/>
  <c r="AA354" i="2"/>
  <c r="AC354" i="2"/>
  <c r="K354" i="2"/>
  <c r="L353" i="2" s="1"/>
  <c r="C354" i="2"/>
  <c r="J354" i="2" s="1"/>
  <c r="D353" i="2"/>
  <c r="U353" i="2" s="1"/>
  <c r="E353" i="2"/>
  <c r="V353" i="2" s="1"/>
  <c r="BC353" i="2" s="1"/>
  <c r="AQ354" i="2"/>
  <c r="A355" i="2"/>
  <c r="AG145" i="2" l="1"/>
  <c r="S146" i="2"/>
  <c r="AH145" i="2"/>
  <c r="AI146" i="2" s="1"/>
  <c r="T146" i="2"/>
  <c r="M147" i="2" s="1"/>
  <c r="I147" i="2" s="1"/>
  <c r="AE145" i="2"/>
  <c r="AN147" i="2"/>
  <c r="AD354" i="2"/>
  <c r="AO147" i="2"/>
  <c r="AS147" i="2"/>
  <c r="X147" i="2"/>
  <c r="Y353" i="2"/>
  <c r="AB353" i="2" s="1"/>
  <c r="H352" i="2"/>
  <c r="AP355" i="2"/>
  <c r="P354" i="2"/>
  <c r="AQ355" i="2"/>
  <c r="Z352" i="2"/>
  <c r="F353" i="2"/>
  <c r="G353" i="2" s="1"/>
  <c r="B356" i="2"/>
  <c r="AC355" i="2"/>
  <c r="AJ355" i="2"/>
  <c r="AA355" i="2"/>
  <c r="W355" i="2"/>
  <c r="K355" i="2"/>
  <c r="L354" i="2" s="1"/>
  <c r="C355" i="2"/>
  <c r="J355" i="2" s="1"/>
  <c r="E354" i="2"/>
  <c r="V354" i="2" s="1"/>
  <c r="BC354" i="2" s="1"/>
  <c r="D354" i="2"/>
  <c r="U354" i="2" s="1"/>
  <c r="A356" i="2"/>
  <c r="AM146" i="2" l="1"/>
  <c r="R146" i="2"/>
  <c r="N147" i="2"/>
  <c r="Q147" i="2" s="1"/>
  <c r="O147" i="2" s="1"/>
  <c r="AL145" i="2"/>
  <c r="BA145" i="2" s="1"/>
  <c r="AF146" i="2"/>
  <c r="AK146" i="2" s="1"/>
  <c r="AT145" i="2"/>
  <c r="BB146" i="2" s="1"/>
  <c r="AD355" i="2"/>
  <c r="Y354" i="2"/>
  <c r="AB354" i="2" s="1"/>
  <c r="H353" i="2"/>
  <c r="AP356" i="2"/>
  <c r="F354" i="2"/>
  <c r="G354" i="2" s="1"/>
  <c r="P355" i="2"/>
  <c r="Z353" i="2"/>
  <c r="AQ356" i="2"/>
  <c r="E355" i="2"/>
  <c r="V355" i="2" s="1"/>
  <c r="BC355" i="2" s="1"/>
  <c r="D355" i="2"/>
  <c r="U355" i="2" s="1"/>
  <c r="B357" i="2"/>
  <c r="AC356" i="2"/>
  <c r="W356" i="2"/>
  <c r="AJ356" i="2"/>
  <c r="AA356" i="2"/>
  <c r="C356" i="2"/>
  <c r="P356" i="2" s="1"/>
  <c r="K356" i="2"/>
  <c r="L355" i="2" s="1"/>
  <c r="A357" i="2"/>
  <c r="AG146" i="2" l="1"/>
  <c r="T147" i="2"/>
  <c r="M148" i="2" s="1"/>
  <c r="I148" i="2" s="1"/>
  <c r="S147" i="2"/>
  <c r="AH146" i="2"/>
  <c r="AI147" i="2" s="1"/>
  <c r="AE146" i="2"/>
  <c r="AF147" i="2" s="1"/>
  <c r="AV146" i="2"/>
  <c r="AR146" i="2" s="1"/>
  <c r="AW146" i="2" s="1"/>
  <c r="AU146" i="2" s="1"/>
  <c r="AN148" i="2"/>
  <c r="X148" i="2"/>
  <c r="AS148" i="2"/>
  <c r="AD356" i="2"/>
  <c r="AO148" i="2"/>
  <c r="Y355" i="2"/>
  <c r="AB355" i="2" s="1"/>
  <c r="H354" i="2"/>
  <c r="AM357" i="2"/>
  <c r="AP357" i="2"/>
  <c r="F355" i="2"/>
  <c r="G355" i="2" s="1"/>
  <c r="J356" i="2"/>
  <c r="Z354" i="2"/>
  <c r="AQ357" i="2"/>
  <c r="E356" i="2"/>
  <c r="V356" i="2" s="1"/>
  <c r="BC356" i="2" s="1"/>
  <c r="D356" i="2"/>
  <c r="U356" i="2" s="1"/>
  <c r="B358" i="2"/>
  <c r="AC357" i="2"/>
  <c r="AJ357" i="2"/>
  <c r="AA357" i="2"/>
  <c r="W357" i="2"/>
  <c r="C357" i="2"/>
  <c r="J357" i="2" s="1"/>
  <c r="K357" i="2"/>
  <c r="L356" i="2" s="1"/>
  <c r="A358" i="2"/>
  <c r="AM147" i="2" l="1"/>
  <c r="R147" i="2"/>
  <c r="S148" i="2" s="1"/>
  <c r="N148" i="2"/>
  <c r="Q148" i="2" s="1"/>
  <c r="O148" i="2" s="1"/>
  <c r="AK147" i="2"/>
  <c r="AT146" i="2"/>
  <c r="BB147" i="2" s="1"/>
  <c r="AL146" i="2"/>
  <c r="BA146" i="2" s="1"/>
  <c r="AD357" i="2"/>
  <c r="Y356" i="2"/>
  <c r="AB356" i="2" s="1"/>
  <c r="H355" i="2"/>
  <c r="AM358" i="2"/>
  <c r="AP358" i="2"/>
  <c r="AQ358" i="2"/>
  <c r="P357" i="2"/>
  <c r="F356" i="2"/>
  <c r="G356" i="2" s="1"/>
  <c r="Z355" i="2"/>
  <c r="E357" i="2"/>
  <c r="V357" i="2" s="1"/>
  <c r="BC357" i="2" s="1"/>
  <c r="D357" i="2"/>
  <c r="U357" i="2" s="1"/>
  <c r="B359" i="2"/>
  <c r="AA358" i="2"/>
  <c r="AC358" i="2"/>
  <c r="AJ358" i="2"/>
  <c r="W358" i="2"/>
  <c r="C358" i="2"/>
  <c r="J358" i="2" s="1"/>
  <c r="K358" i="2"/>
  <c r="L357" i="2" s="1"/>
  <c r="A359" i="2"/>
  <c r="AG147" i="2" l="1"/>
  <c r="T148" i="2"/>
  <c r="M149" i="2" s="1"/>
  <c r="N149" i="2" s="1"/>
  <c r="AH147" i="2"/>
  <c r="AI148" i="2" s="1"/>
  <c r="AE147" i="2"/>
  <c r="AV147" i="2"/>
  <c r="AR147" i="2" s="1"/>
  <c r="AW147" i="2" s="1"/>
  <c r="AU147" i="2" s="1"/>
  <c r="AN149" i="2"/>
  <c r="AD358" i="2"/>
  <c r="AS149" i="2"/>
  <c r="AO149" i="2"/>
  <c r="X149" i="2"/>
  <c r="Y357" i="2"/>
  <c r="AB357" i="2" s="1"/>
  <c r="H356" i="2"/>
  <c r="AM359" i="2"/>
  <c r="AP359" i="2"/>
  <c r="P358" i="2"/>
  <c r="F357" i="2"/>
  <c r="G357" i="2" s="1"/>
  <c r="Z356" i="2"/>
  <c r="AU359" i="2"/>
  <c r="B360" i="2"/>
  <c r="AJ359" i="2"/>
  <c r="AA359" i="2"/>
  <c r="W359" i="2"/>
  <c r="AC359" i="2"/>
  <c r="K359" i="2"/>
  <c r="L358" i="2" s="1"/>
  <c r="C359" i="2"/>
  <c r="P359" i="2" s="1"/>
  <c r="E358" i="2"/>
  <c r="V358" i="2" s="1"/>
  <c r="BC358" i="2" s="1"/>
  <c r="D358" i="2"/>
  <c r="U358" i="2" s="1"/>
  <c r="AQ359" i="2"/>
  <c r="A360" i="2"/>
  <c r="R148" i="2" l="1"/>
  <c r="T149" i="2" s="1"/>
  <c r="M150" i="2" s="1"/>
  <c r="I149" i="2"/>
  <c r="Q149" i="2" s="1"/>
  <c r="O149" i="2" s="1"/>
  <c r="AT147" i="2"/>
  <c r="BB148" i="2" s="1"/>
  <c r="AL147" i="2"/>
  <c r="BA147" i="2" s="1"/>
  <c r="AF148" i="2"/>
  <c r="AK148" i="2" s="1"/>
  <c r="AD359" i="2"/>
  <c r="Y358" i="2"/>
  <c r="AB358" i="2" s="1"/>
  <c r="H357" i="2"/>
  <c r="AM360" i="2"/>
  <c r="AP360" i="2"/>
  <c r="J359" i="2"/>
  <c r="F358" i="2"/>
  <c r="G358" i="2" s="1"/>
  <c r="Z357" i="2"/>
  <c r="AQ360" i="2"/>
  <c r="D359" i="2"/>
  <c r="U359" i="2" s="1"/>
  <c r="E359" i="2"/>
  <c r="V359" i="2" s="1"/>
  <c r="BC359" i="2" s="1"/>
  <c r="B361" i="2"/>
  <c r="AC360" i="2"/>
  <c r="W360" i="2"/>
  <c r="K360" i="2"/>
  <c r="L359" i="2" s="1"/>
  <c r="C360" i="2"/>
  <c r="J360" i="2" s="1"/>
  <c r="A361" i="2"/>
  <c r="S149" i="2" l="1"/>
  <c r="R149" i="2" s="1"/>
  <c r="T150" i="2" s="1"/>
  <c r="M151" i="2" s="1"/>
  <c r="AG148" i="2"/>
  <c r="AH148" i="2"/>
  <c r="AI149" i="2" s="1"/>
  <c r="AV148" i="2"/>
  <c r="AR148" i="2" s="1"/>
  <c r="AW148" i="2" s="1"/>
  <c r="AU148" i="2" s="1"/>
  <c r="AM149" i="2"/>
  <c r="AE148" i="2"/>
  <c r="AF149" i="2" s="1"/>
  <c r="AN150" i="2"/>
  <c r="AO150" i="2"/>
  <c r="X150" i="2"/>
  <c r="AS150" i="2"/>
  <c r="I150" i="2"/>
  <c r="N150" i="2"/>
  <c r="Y359" i="2"/>
  <c r="AB359" i="2" s="1"/>
  <c r="H358" i="2"/>
  <c r="AP361" i="2"/>
  <c r="AM361" i="2"/>
  <c r="P360" i="2"/>
  <c r="F359" i="2"/>
  <c r="G359" i="2" s="1"/>
  <c r="Z358" i="2"/>
  <c r="D360" i="2"/>
  <c r="U360" i="2" s="1"/>
  <c r="E360" i="2"/>
  <c r="V360" i="2" s="1"/>
  <c r="BC360" i="2" s="1"/>
  <c r="B362" i="2"/>
  <c r="AJ361" i="2"/>
  <c r="AC361" i="2"/>
  <c r="W361" i="2"/>
  <c r="AA361" i="2"/>
  <c r="K361" i="2"/>
  <c r="L360" i="2" s="1"/>
  <c r="C361" i="2"/>
  <c r="J361" i="2" s="1"/>
  <c r="AQ361" i="2"/>
  <c r="A362" i="2"/>
  <c r="AK149" i="2" l="1"/>
  <c r="AT148" i="2"/>
  <c r="BB149" i="2" s="1"/>
  <c r="AL148" i="2"/>
  <c r="BA148" i="2" s="1"/>
  <c r="Q150" i="2"/>
  <c r="O150" i="2" s="1"/>
  <c r="AO151" i="2" s="1"/>
  <c r="AG149" i="2"/>
  <c r="S150" i="2"/>
  <c r="AE149" i="2"/>
  <c r="AH149" i="2"/>
  <c r="Y360" i="2"/>
  <c r="AB360" i="2" s="1"/>
  <c r="H359" i="2"/>
  <c r="AM362" i="2"/>
  <c r="AP362" i="2"/>
  <c r="P361" i="2"/>
  <c r="F360" i="2"/>
  <c r="G360" i="2" s="1"/>
  <c r="Z359" i="2"/>
  <c r="AQ362" i="2"/>
  <c r="B363" i="2"/>
  <c r="AJ362" i="2"/>
  <c r="AC362" i="2"/>
  <c r="W362" i="2"/>
  <c r="AA362" i="2"/>
  <c r="K362" i="2"/>
  <c r="L361" i="2" s="1"/>
  <c r="C362" i="2"/>
  <c r="J362" i="2" s="1"/>
  <c r="E361" i="2"/>
  <c r="V361" i="2" s="1"/>
  <c r="BC361" i="2" s="1"/>
  <c r="D361" i="2"/>
  <c r="U361" i="2" s="1"/>
  <c r="A363" i="2"/>
  <c r="AV149" i="2" l="1"/>
  <c r="AR149" i="2" s="1"/>
  <c r="AW149" i="2" s="1"/>
  <c r="AU149" i="2" s="1"/>
  <c r="AI150" i="2"/>
  <c r="AM150" i="2"/>
  <c r="R150" i="2"/>
  <c r="T151" i="2" s="1"/>
  <c r="M152" i="2" s="1"/>
  <c r="X151" i="2"/>
  <c r="AS151" i="2"/>
  <c r="N151" i="2"/>
  <c r="I151" i="2"/>
  <c r="AF150" i="2"/>
  <c r="AL149" i="2"/>
  <c r="BA149" i="2" s="1"/>
  <c r="AT149" i="2"/>
  <c r="BB150" i="2" s="1"/>
  <c r="AN151" i="2"/>
  <c r="Y361" i="2"/>
  <c r="AB361" i="2" s="1"/>
  <c r="H360" i="2"/>
  <c r="AM363" i="2"/>
  <c r="AP363" i="2"/>
  <c r="F361" i="2"/>
  <c r="G361" i="2" s="1"/>
  <c r="P362" i="2"/>
  <c r="AA360" i="2"/>
  <c r="AD360" i="2" s="1"/>
  <c r="AD361" i="2" s="1"/>
  <c r="AD362" i="2" s="1"/>
  <c r="Z360" i="2"/>
  <c r="B364" i="2"/>
  <c r="AC363" i="2"/>
  <c r="AJ363" i="2"/>
  <c r="AA363" i="2"/>
  <c r="W363" i="2"/>
  <c r="K363" i="2"/>
  <c r="L362" i="2" s="1"/>
  <c r="C363" i="2"/>
  <c r="J363" i="2" s="1"/>
  <c r="AQ363" i="2"/>
  <c r="E362" i="2"/>
  <c r="V362" i="2" s="1"/>
  <c r="BC362" i="2" s="1"/>
  <c r="D362" i="2"/>
  <c r="U362" i="2" s="1"/>
  <c r="A364" i="2"/>
  <c r="AK150" i="2" l="1"/>
  <c r="AH150" i="2"/>
  <c r="AI151" i="2" s="1"/>
  <c r="S151" i="2"/>
  <c r="Q151" i="2"/>
  <c r="O151" i="2" s="1"/>
  <c r="AG150" i="2"/>
  <c r="AE150" i="2"/>
  <c r="AM151" i="2"/>
  <c r="AV150" i="2"/>
  <c r="AR150" i="2" s="1"/>
  <c r="AW150" i="2" s="1"/>
  <c r="AU150" i="2" s="1"/>
  <c r="Y362" i="2"/>
  <c r="AB362" i="2" s="1"/>
  <c r="H361" i="2"/>
  <c r="AM364" i="2"/>
  <c r="AP364" i="2"/>
  <c r="P363" i="2"/>
  <c r="F362" i="2"/>
  <c r="G362" i="2" s="1"/>
  <c r="AD363" i="2"/>
  <c r="Z361" i="2"/>
  <c r="AQ364" i="2"/>
  <c r="B365" i="2"/>
  <c r="AC364" i="2"/>
  <c r="AJ364" i="2"/>
  <c r="AA364" i="2"/>
  <c r="W364" i="2"/>
  <c r="C364" i="2"/>
  <c r="J364" i="2" s="1"/>
  <c r="K364" i="2"/>
  <c r="L363" i="2" s="1"/>
  <c r="D363" i="2"/>
  <c r="U363" i="2" s="1"/>
  <c r="E363" i="2"/>
  <c r="V363" i="2" s="1"/>
  <c r="BC363" i="2" s="1"/>
  <c r="A365" i="2"/>
  <c r="R151" i="2" l="1"/>
  <c r="AG151" i="2" s="1"/>
  <c r="AL150" i="2"/>
  <c r="BA150" i="2" s="1"/>
  <c r="AF151" i="2"/>
  <c r="AK151" i="2" s="1"/>
  <c r="AT150" i="2"/>
  <c r="BB151" i="2" s="1"/>
  <c r="AN152" i="2"/>
  <c r="Y363" i="2"/>
  <c r="AB363" i="2" s="1"/>
  <c r="H362" i="2"/>
  <c r="AP365" i="2"/>
  <c r="X152" i="2"/>
  <c r="AO152" i="2"/>
  <c r="AS152" i="2"/>
  <c r="I152" i="2"/>
  <c r="N152" i="2"/>
  <c r="AD364" i="2"/>
  <c r="P364" i="2"/>
  <c r="F363" i="2"/>
  <c r="G363" i="2" s="1"/>
  <c r="Z362" i="2"/>
  <c r="B366" i="2"/>
  <c r="AC365" i="2"/>
  <c r="AJ365" i="2"/>
  <c r="AA365" i="2"/>
  <c r="W365" i="2"/>
  <c r="C365" i="2"/>
  <c r="J365" i="2" s="1"/>
  <c r="K365" i="2"/>
  <c r="L364" i="2" s="1"/>
  <c r="E364" i="2"/>
  <c r="V364" i="2" s="1"/>
  <c r="BC364" i="2" s="1"/>
  <c r="D364" i="2"/>
  <c r="U364" i="2" s="1"/>
  <c r="AQ365" i="2"/>
  <c r="A366" i="2"/>
  <c r="T152" i="2" l="1"/>
  <c r="S152" i="2"/>
  <c r="AH151" i="2"/>
  <c r="AI152" i="2" s="1"/>
  <c r="AE151" i="2"/>
  <c r="AV151" i="2"/>
  <c r="AR151" i="2" s="1"/>
  <c r="AW151" i="2" s="1"/>
  <c r="AU151" i="2" s="1"/>
  <c r="Y364" i="2"/>
  <c r="AB364" i="2" s="1"/>
  <c r="H363" i="2"/>
  <c r="AP366" i="2"/>
  <c r="Q152" i="2"/>
  <c r="AD365" i="2"/>
  <c r="F364" i="2"/>
  <c r="G364" i="2" s="1"/>
  <c r="P365" i="2"/>
  <c r="Z363" i="2"/>
  <c r="AQ366" i="2"/>
  <c r="E365" i="2"/>
  <c r="V365" i="2" s="1"/>
  <c r="BC365" i="2" s="1"/>
  <c r="D365" i="2"/>
  <c r="U365" i="2" s="1"/>
  <c r="B367" i="2"/>
  <c r="AJ366" i="2"/>
  <c r="AC366" i="2"/>
  <c r="AA366" i="2"/>
  <c r="W366" i="2"/>
  <c r="C366" i="2"/>
  <c r="J366" i="2" s="1"/>
  <c r="K366" i="2"/>
  <c r="L365" i="2" s="1"/>
  <c r="A367" i="2"/>
  <c r="R152" i="2" l="1"/>
  <c r="AG152" i="2" s="1"/>
  <c r="AL151" i="2"/>
  <c r="BA151" i="2" s="1"/>
  <c r="AF152" i="2"/>
  <c r="AK152" i="2" s="1"/>
  <c r="AT151" i="2"/>
  <c r="BB152" i="2" s="1"/>
  <c r="Y365" i="2"/>
  <c r="AB365" i="2" s="1"/>
  <c r="H364" i="2"/>
  <c r="AM367" i="2"/>
  <c r="AP367" i="2"/>
  <c r="O152" i="2"/>
  <c r="AD366" i="2"/>
  <c r="P366" i="2"/>
  <c r="F365" i="2"/>
  <c r="G365" i="2" s="1"/>
  <c r="Z364" i="2"/>
  <c r="E366" i="2"/>
  <c r="V366" i="2" s="1"/>
  <c r="BC366" i="2" s="1"/>
  <c r="D366" i="2"/>
  <c r="U366" i="2" s="1"/>
  <c r="AQ367" i="2"/>
  <c r="B368" i="2"/>
  <c r="AA367" i="2"/>
  <c r="AC367" i="2"/>
  <c r="AJ367" i="2"/>
  <c r="W367" i="2"/>
  <c r="K367" i="2"/>
  <c r="L366" i="2" s="1"/>
  <c r="C367" i="2"/>
  <c r="P367" i="2" s="1"/>
  <c r="A368" i="2"/>
  <c r="S153" i="2" l="1"/>
  <c r="T153" i="2"/>
  <c r="M154" i="2" s="1"/>
  <c r="AH152" i="2"/>
  <c r="AI153" i="2" s="1"/>
  <c r="AE152" i="2"/>
  <c r="AV152" i="2"/>
  <c r="AR152" i="2" s="1"/>
  <c r="AW152" i="2" s="1"/>
  <c r="AU152" i="2" s="1"/>
  <c r="Y366" i="2"/>
  <c r="AB366" i="2" s="1"/>
  <c r="H365" i="2"/>
  <c r="X153" i="2"/>
  <c r="AN153" i="2"/>
  <c r="AP368" i="2"/>
  <c r="AS153" i="2"/>
  <c r="AO153" i="2"/>
  <c r="N153" i="2"/>
  <c r="I153" i="2"/>
  <c r="AD367" i="2"/>
  <c r="F366" i="2"/>
  <c r="G366" i="2" s="1"/>
  <c r="J367" i="2"/>
  <c r="Z365" i="2"/>
  <c r="AQ368" i="2"/>
  <c r="B369" i="2"/>
  <c r="AC368" i="2"/>
  <c r="AA368" i="2"/>
  <c r="AJ368" i="2"/>
  <c r="W368" i="2"/>
  <c r="C368" i="2"/>
  <c r="P368" i="2" s="1"/>
  <c r="K368" i="2"/>
  <c r="L367" i="2" s="1"/>
  <c r="D367" i="2"/>
  <c r="U367" i="2" s="1"/>
  <c r="E367" i="2"/>
  <c r="V367" i="2" s="1"/>
  <c r="BC367" i="2" s="1"/>
  <c r="A369" i="2"/>
  <c r="AT152" i="2" l="1"/>
  <c r="BB153" i="2" s="1"/>
  <c r="AF153" i="2"/>
  <c r="AK153" i="2" s="1"/>
  <c r="AL152" i="2"/>
  <c r="BA152" i="2" s="1"/>
  <c r="Y367" i="2"/>
  <c r="AB367" i="2" s="1"/>
  <c r="H366" i="2"/>
  <c r="AP369" i="2"/>
  <c r="AM369" i="2"/>
  <c r="Q153" i="2"/>
  <c r="R153" i="2" s="1"/>
  <c r="AD368" i="2"/>
  <c r="J368" i="2"/>
  <c r="F367" i="2"/>
  <c r="G367" i="2" s="1"/>
  <c r="Z366" i="2"/>
  <c r="AQ369" i="2"/>
  <c r="B370" i="2"/>
  <c r="AJ369" i="2"/>
  <c r="AC369" i="2"/>
  <c r="AA369" i="2"/>
  <c r="W369" i="2"/>
  <c r="K369" i="2"/>
  <c r="L368" i="2" s="1"/>
  <c r="C369" i="2"/>
  <c r="P369" i="2" s="1"/>
  <c r="D368" i="2"/>
  <c r="U368" i="2" s="1"/>
  <c r="E368" i="2"/>
  <c r="V368" i="2" s="1"/>
  <c r="BC368" i="2" s="1"/>
  <c r="A370" i="2"/>
  <c r="AV153" i="2" l="1"/>
  <c r="AR153" i="2" s="1"/>
  <c r="AW153" i="2" s="1"/>
  <c r="AU153" i="2" s="1"/>
  <c r="T154" i="2"/>
  <c r="M155" i="2" s="1"/>
  <c r="AG153" i="2"/>
  <c r="Y368" i="2"/>
  <c r="AB368" i="2" s="1"/>
  <c r="H367" i="2"/>
  <c r="AM370" i="2"/>
  <c r="AP370" i="2"/>
  <c r="O153" i="2"/>
  <c r="S154" i="2"/>
  <c r="AE153" i="2"/>
  <c r="AH153" i="2"/>
  <c r="AI154" i="2" s="1"/>
  <c r="AD369" i="2"/>
  <c r="J369" i="2"/>
  <c r="F368" i="2"/>
  <c r="G368" i="2" s="1"/>
  <c r="Z367" i="2"/>
  <c r="B371" i="2"/>
  <c r="AJ370" i="2"/>
  <c r="W370" i="2"/>
  <c r="AC370" i="2"/>
  <c r="AA370" i="2"/>
  <c r="K370" i="2"/>
  <c r="L369" i="2" s="1"/>
  <c r="C370" i="2"/>
  <c r="J370" i="2" s="1"/>
  <c r="E369" i="2"/>
  <c r="V369" i="2" s="1"/>
  <c r="BC369" i="2" s="1"/>
  <c r="D369" i="2"/>
  <c r="U369" i="2" s="1"/>
  <c r="AQ370" i="2"/>
  <c r="A371" i="2"/>
  <c r="AT153" i="2" l="1"/>
  <c r="AF154" i="2"/>
  <c r="AL153" i="2"/>
  <c r="BA153" i="2" s="1"/>
  <c r="Y369" i="2"/>
  <c r="AB369" i="2" s="1"/>
  <c r="H368" i="2"/>
  <c r="AO154" i="2"/>
  <c r="AN154" i="2"/>
  <c r="AM371" i="2"/>
  <c r="AP371" i="2"/>
  <c r="AS154" i="2"/>
  <c r="X154" i="2"/>
  <c r="N154" i="2"/>
  <c r="I154" i="2"/>
  <c r="AD370" i="2"/>
  <c r="P370" i="2"/>
  <c r="AQ371" i="2"/>
  <c r="F369" i="2"/>
  <c r="G369" i="2" s="1"/>
  <c r="Z368" i="2"/>
  <c r="AU371" i="2"/>
  <c r="E370" i="2"/>
  <c r="V370" i="2" s="1"/>
  <c r="BC370" i="2" s="1"/>
  <c r="D370" i="2"/>
  <c r="U370" i="2" s="1"/>
  <c r="B372" i="2"/>
  <c r="AC371" i="2"/>
  <c r="AJ371" i="2"/>
  <c r="W371" i="2"/>
  <c r="AA371" i="2"/>
  <c r="K371" i="2"/>
  <c r="L370" i="2" s="1"/>
  <c r="C371" i="2"/>
  <c r="J371" i="2" s="1"/>
  <c r="A372" i="2"/>
  <c r="BB154" i="2" l="1"/>
  <c r="Y370" i="2"/>
  <c r="AB370" i="2" s="1"/>
  <c r="H369" i="2"/>
  <c r="AM372" i="2"/>
  <c r="AP372" i="2"/>
  <c r="AV154" i="2"/>
  <c r="AR154" i="2" s="1"/>
  <c r="AW154" i="2" s="1"/>
  <c r="Q154" i="2"/>
  <c r="R154" i="2" s="1"/>
  <c r="AK154" i="2"/>
  <c r="AD371" i="2"/>
  <c r="F370" i="2"/>
  <c r="G370" i="2" s="1"/>
  <c r="P371" i="2"/>
  <c r="Z369" i="2"/>
  <c r="B373" i="2"/>
  <c r="AC372" i="2"/>
  <c r="W372" i="2"/>
  <c r="C372" i="2"/>
  <c r="P372" i="2" s="1"/>
  <c r="K372" i="2"/>
  <c r="L371" i="2" s="1"/>
  <c r="AQ372" i="2"/>
  <c r="E371" i="2"/>
  <c r="V371" i="2" s="1"/>
  <c r="BC371" i="2" s="1"/>
  <c r="D371" i="2"/>
  <c r="U371" i="2" s="1"/>
  <c r="A373" i="2"/>
  <c r="T155" i="2" l="1"/>
  <c r="M156" i="2" s="1"/>
  <c r="AG154" i="2"/>
  <c r="Y371" i="2"/>
  <c r="AB371" i="2" s="1"/>
  <c r="H370" i="2"/>
  <c r="AM373" i="2"/>
  <c r="AP373" i="2"/>
  <c r="AU154" i="2"/>
  <c r="AH154" i="2"/>
  <c r="AI155" i="2" s="1"/>
  <c r="AE154" i="2"/>
  <c r="S155" i="2"/>
  <c r="O154" i="2"/>
  <c r="J372" i="2"/>
  <c r="F371" i="2"/>
  <c r="G371" i="2" s="1"/>
  <c r="Z370" i="2"/>
  <c r="E372" i="2"/>
  <c r="V372" i="2" s="1"/>
  <c r="BC372" i="2" s="1"/>
  <c r="D372" i="2"/>
  <c r="U372" i="2" s="1"/>
  <c r="B374" i="2"/>
  <c r="AC373" i="2"/>
  <c r="AJ373" i="2"/>
  <c r="AA373" i="2"/>
  <c r="W373" i="2"/>
  <c r="C373" i="2"/>
  <c r="J373" i="2" s="1"/>
  <c r="K373" i="2"/>
  <c r="L372" i="2" s="1"/>
  <c r="AQ373" i="2"/>
  <c r="A374" i="2"/>
  <c r="AT154" i="2" l="1"/>
  <c r="AF155" i="2"/>
  <c r="AL154" i="2"/>
  <c r="BA154" i="2" s="1"/>
  <c r="Y372" i="2"/>
  <c r="AB372" i="2" s="1"/>
  <c r="H371" i="2"/>
  <c r="AM155" i="2"/>
  <c r="AN155" i="2"/>
  <c r="AM374" i="2"/>
  <c r="AP374" i="2"/>
  <c r="X155" i="2"/>
  <c r="N155" i="2"/>
  <c r="AS155" i="2"/>
  <c r="I155" i="2"/>
  <c r="AO155" i="2"/>
  <c r="F372" i="2"/>
  <c r="G372" i="2" s="1"/>
  <c r="P373" i="2"/>
  <c r="Z371" i="2"/>
  <c r="AQ374" i="2"/>
  <c r="E373" i="2"/>
  <c r="V373" i="2" s="1"/>
  <c r="BC373" i="2" s="1"/>
  <c r="D373" i="2"/>
  <c r="U373" i="2" s="1"/>
  <c r="B375" i="2"/>
  <c r="AC374" i="2"/>
  <c r="AJ374" i="2"/>
  <c r="AA374" i="2"/>
  <c r="W374" i="2"/>
  <c r="C374" i="2"/>
  <c r="J374" i="2" s="1"/>
  <c r="K374" i="2"/>
  <c r="L373" i="2" s="1"/>
  <c r="A375" i="2"/>
  <c r="AK155" i="2" l="1"/>
  <c r="BB155" i="2"/>
  <c r="Y373" i="2"/>
  <c r="AB373" i="2" s="1"/>
  <c r="H372" i="2"/>
  <c r="AP375" i="2"/>
  <c r="AM375" i="2"/>
  <c r="Q155" i="2"/>
  <c r="R155" i="2" s="1"/>
  <c r="AV155" i="2"/>
  <c r="AR155" i="2" s="1"/>
  <c r="AW155" i="2" s="1"/>
  <c r="P374" i="2"/>
  <c r="F373" i="2"/>
  <c r="G373" i="2" s="1"/>
  <c r="Z372" i="2"/>
  <c r="AA372" i="2"/>
  <c r="AD372" i="2" s="1"/>
  <c r="AD373" i="2" s="1"/>
  <c r="AD374" i="2" s="1"/>
  <c r="AQ375" i="2"/>
  <c r="E374" i="2"/>
  <c r="V374" i="2" s="1"/>
  <c r="BC374" i="2" s="1"/>
  <c r="D374" i="2"/>
  <c r="U374" i="2" s="1"/>
  <c r="B376" i="2"/>
  <c r="AJ375" i="2"/>
  <c r="W375" i="2"/>
  <c r="AC375" i="2"/>
  <c r="AA375" i="2"/>
  <c r="K375" i="2"/>
  <c r="L374" i="2" s="1"/>
  <c r="C375" i="2"/>
  <c r="P375" i="2" s="1"/>
  <c r="A376" i="2"/>
  <c r="AH155" i="2" l="1"/>
  <c r="AG155" i="2"/>
  <c r="Y374" i="2"/>
  <c r="AB374" i="2" s="1"/>
  <c r="H373" i="2"/>
  <c r="AP376" i="2"/>
  <c r="O155" i="2"/>
  <c r="S156" i="2"/>
  <c r="T156" i="2"/>
  <c r="M157" i="2" s="1"/>
  <c r="AE155" i="2"/>
  <c r="J375" i="2"/>
  <c r="AD375" i="2"/>
  <c r="F374" i="2"/>
  <c r="G374" i="2" s="1"/>
  <c r="Z373" i="2"/>
  <c r="AQ376" i="2"/>
  <c r="B377" i="2"/>
  <c r="AC376" i="2"/>
  <c r="AA376" i="2"/>
  <c r="AJ376" i="2"/>
  <c r="W376" i="2"/>
  <c r="K376" i="2"/>
  <c r="L375" i="2" s="1"/>
  <c r="C376" i="2"/>
  <c r="J376" i="2" s="1"/>
  <c r="D375" i="2"/>
  <c r="U375" i="2" s="1"/>
  <c r="E375" i="2"/>
  <c r="V375" i="2" s="1"/>
  <c r="BC375" i="2" s="1"/>
  <c r="A377" i="2"/>
  <c r="AN156" i="2" l="1"/>
  <c r="AL155" i="2"/>
  <c r="BA155" i="2" s="1"/>
  <c r="Y375" i="2"/>
  <c r="AB375" i="2" s="1"/>
  <c r="H374" i="2"/>
  <c r="AP377" i="2"/>
  <c r="X156" i="2"/>
  <c r="AO156" i="2"/>
  <c r="AS156" i="2"/>
  <c r="I156" i="2"/>
  <c r="N156" i="2"/>
  <c r="AJ156" i="2"/>
  <c r="AT155" i="2" s="1"/>
  <c r="AF156" i="2"/>
  <c r="AD376" i="2"/>
  <c r="F375" i="2"/>
  <c r="G375" i="2" s="1"/>
  <c r="P376" i="2"/>
  <c r="Z374" i="2"/>
  <c r="AQ377" i="2"/>
  <c r="D376" i="2"/>
  <c r="U376" i="2" s="1"/>
  <c r="E376" i="2"/>
  <c r="V376" i="2" s="1"/>
  <c r="BC376" i="2" s="1"/>
  <c r="B378" i="2"/>
  <c r="AJ377" i="2"/>
  <c r="AA377" i="2"/>
  <c r="W377" i="2"/>
  <c r="AC377" i="2"/>
  <c r="K377" i="2"/>
  <c r="L376" i="2" s="1"/>
  <c r="C377" i="2"/>
  <c r="J377" i="2" s="1"/>
  <c r="A378" i="2"/>
  <c r="BB156" i="2" l="1"/>
  <c r="Y376" i="2"/>
  <c r="AB376" i="2" s="1"/>
  <c r="H375" i="2"/>
  <c r="AV156" i="2"/>
  <c r="AR156" i="2" s="1"/>
  <c r="AW156" i="2" s="1"/>
  <c r="AP378" i="2"/>
  <c r="AM378" i="2"/>
  <c r="Q156" i="2"/>
  <c r="R156" i="2" s="1"/>
  <c r="AI156" i="2"/>
  <c r="AK156" i="2" s="1"/>
  <c r="AD377" i="2"/>
  <c r="P377" i="2"/>
  <c r="F376" i="2"/>
  <c r="G376" i="2" s="1"/>
  <c r="Z375" i="2"/>
  <c r="B379" i="2"/>
  <c r="AJ378" i="2"/>
  <c r="AC378" i="2"/>
  <c r="AA378" i="2"/>
  <c r="W378" i="2"/>
  <c r="K378" i="2"/>
  <c r="L377" i="2" s="1"/>
  <c r="C378" i="2"/>
  <c r="J378" i="2" s="1"/>
  <c r="D377" i="2"/>
  <c r="U377" i="2" s="1"/>
  <c r="E377" i="2"/>
  <c r="V377" i="2" s="1"/>
  <c r="BC377" i="2" s="1"/>
  <c r="AQ378" i="2"/>
  <c r="A379" i="2"/>
  <c r="S157" i="2" l="1"/>
  <c r="AG156" i="2"/>
  <c r="AU156" i="2"/>
  <c r="Y377" i="2"/>
  <c r="AB377" i="2" s="1"/>
  <c r="H376" i="2"/>
  <c r="AM379" i="2"/>
  <c r="AP379" i="2"/>
  <c r="O156" i="2"/>
  <c r="T157" i="2"/>
  <c r="M158" i="2" s="1"/>
  <c r="AE156" i="2"/>
  <c r="AH156" i="2"/>
  <c r="AI157" i="2" s="1"/>
  <c r="AD378" i="2"/>
  <c r="P378" i="2"/>
  <c r="AQ379" i="2"/>
  <c r="F377" i="2"/>
  <c r="G377" i="2" s="1"/>
  <c r="Z376" i="2"/>
  <c r="B380" i="2"/>
  <c r="AC379" i="2"/>
  <c r="AJ379" i="2"/>
  <c r="AA379" i="2"/>
  <c r="W379" i="2"/>
  <c r="K379" i="2"/>
  <c r="L378" i="2" s="1"/>
  <c r="C379" i="2"/>
  <c r="J379" i="2" s="1"/>
  <c r="E378" i="2"/>
  <c r="V378" i="2" s="1"/>
  <c r="BC378" i="2" s="1"/>
  <c r="D378" i="2"/>
  <c r="U378" i="2" s="1"/>
  <c r="A380" i="2"/>
  <c r="AN157" i="2" l="1"/>
  <c r="AT156" i="2"/>
  <c r="AF157" i="2"/>
  <c r="AL156" i="2"/>
  <c r="BA156" i="2" s="1"/>
  <c r="Y378" i="2"/>
  <c r="AB378" i="2" s="1"/>
  <c r="H377" i="2"/>
  <c r="AM380" i="2"/>
  <c r="AP380" i="2"/>
  <c r="AO157" i="2"/>
  <c r="AS157" i="2"/>
  <c r="I157" i="2"/>
  <c r="N157" i="2"/>
  <c r="X157" i="2"/>
  <c r="AD379" i="2"/>
  <c r="F378" i="2"/>
  <c r="G378" i="2" s="1"/>
  <c r="P379" i="2"/>
  <c r="Z377" i="2"/>
  <c r="B381" i="2"/>
  <c r="AC380" i="2"/>
  <c r="AJ380" i="2"/>
  <c r="AA380" i="2"/>
  <c r="W380" i="2"/>
  <c r="C380" i="2"/>
  <c r="P380" i="2" s="1"/>
  <c r="K380" i="2"/>
  <c r="L379" i="2" s="1"/>
  <c r="E379" i="2"/>
  <c r="V379" i="2" s="1"/>
  <c r="BC379" i="2" s="1"/>
  <c r="D379" i="2"/>
  <c r="U379" i="2" s="1"/>
  <c r="AQ380" i="2"/>
  <c r="A381" i="2"/>
  <c r="AK157" i="2" l="1"/>
  <c r="BB157" i="2"/>
  <c r="Y379" i="2"/>
  <c r="AB379" i="2" s="1"/>
  <c r="H378" i="2"/>
  <c r="AM381" i="2"/>
  <c r="AP381" i="2"/>
  <c r="Q157" i="2"/>
  <c r="R157" i="2" s="1"/>
  <c r="AG157" i="2" s="1"/>
  <c r="AV157" i="2"/>
  <c r="AR157" i="2" s="1"/>
  <c r="AW157" i="2" s="1"/>
  <c r="AD380" i="2"/>
  <c r="J380" i="2"/>
  <c r="F379" i="2"/>
  <c r="G379" i="2" s="1"/>
  <c r="Z378" i="2"/>
  <c r="AQ381" i="2"/>
  <c r="E380" i="2"/>
  <c r="V380" i="2" s="1"/>
  <c r="BC380" i="2" s="1"/>
  <c r="D380" i="2"/>
  <c r="U380" i="2" s="1"/>
  <c r="B382" i="2"/>
  <c r="AC381" i="2"/>
  <c r="AJ381" i="2"/>
  <c r="AA381" i="2"/>
  <c r="W381" i="2"/>
  <c r="C381" i="2"/>
  <c r="J381" i="2" s="1"/>
  <c r="K381" i="2"/>
  <c r="L380" i="2" s="1"/>
  <c r="A382" i="2"/>
  <c r="Y380" i="2" l="1"/>
  <c r="AB380" i="2" s="1"/>
  <c r="H379" i="2"/>
  <c r="AM382" i="2"/>
  <c r="AP382" i="2"/>
  <c r="AU157" i="2"/>
  <c r="T158" i="2"/>
  <c r="M159" i="2" s="1"/>
  <c r="AE157" i="2"/>
  <c r="S158" i="2"/>
  <c r="AH157" i="2"/>
  <c r="AI158" i="2" s="1"/>
  <c r="O157" i="2"/>
  <c r="AD381" i="2"/>
  <c r="P381" i="2"/>
  <c r="F380" i="2"/>
  <c r="G380" i="2" s="1"/>
  <c r="Z379" i="2"/>
  <c r="AQ382" i="2"/>
  <c r="E381" i="2"/>
  <c r="V381" i="2" s="1"/>
  <c r="BC381" i="2" s="1"/>
  <c r="D381" i="2"/>
  <c r="U381" i="2" s="1"/>
  <c r="B383" i="2"/>
  <c r="AC382" i="2"/>
  <c r="AJ382" i="2"/>
  <c r="W382" i="2"/>
  <c r="AA382" i="2"/>
  <c r="C382" i="2"/>
  <c r="J382" i="2" s="1"/>
  <c r="K382" i="2"/>
  <c r="L381" i="2" s="1"/>
  <c r="A383" i="2"/>
  <c r="AT157" i="2" l="1"/>
  <c r="AF158" i="2"/>
  <c r="AL157" i="2"/>
  <c r="BA157" i="2" s="1"/>
  <c r="Y381" i="2"/>
  <c r="AB381" i="2" s="1"/>
  <c r="H380" i="2"/>
  <c r="I158" i="2"/>
  <c r="AN158" i="2"/>
  <c r="AP383" i="2"/>
  <c r="P382" i="2"/>
  <c r="X158" i="2"/>
  <c r="AS158" i="2"/>
  <c r="N158" i="2"/>
  <c r="AO158" i="2"/>
  <c r="AD382" i="2"/>
  <c r="F381" i="2"/>
  <c r="G381" i="2" s="1"/>
  <c r="Z380" i="2"/>
  <c r="AU383" i="2"/>
  <c r="B384" i="2"/>
  <c r="AJ383" i="2"/>
  <c r="AC383" i="2"/>
  <c r="W383" i="2"/>
  <c r="AA383" i="2"/>
  <c r="K383" i="2"/>
  <c r="L382" i="2" s="1"/>
  <c r="C383" i="2"/>
  <c r="P383" i="2" s="1"/>
  <c r="AQ383" i="2"/>
  <c r="E382" i="2"/>
  <c r="V382" i="2" s="1"/>
  <c r="BC382" i="2" s="1"/>
  <c r="D382" i="2"/>
  <c r="U382" i="2" s="1"/>
  <c r="A384" i="2"/>
  <c r="AK158" i="2" l="1"/>
  <c r="BB158" i="2"/>
  <c r="Y382" i="2"/>
  <c r="AB382" i="2" s="1"/>
  <c r="Q158" i="2"/>
  <c r="R158" i="2" s="1"/>
  <c r="H381" i="2"/>
  <c r="AP384" i="2"/>
  <c r="AV158" i="2"/>
  <c r="AR158" i="2" s="1"/>
  <c r="AW158" i="2" s="1"/>
  <c r="AD383" i="2"/>
  <c r="F382" i="2"/>
  <c r="G382" i="2" s="1"/>
  <c r="J383" i="2"/>
  <c r="AQ384" i="2"/>
  <c r="Z381" i="2"/>
  <c r="B385" i="2"/>
  <c r="AC384" i="2"/>
  <c r="W384" i="2"/>
  <c r="K384" i="2"/>
  <c r="L383" i="2" s="1"/>
  <c r="C384" i="2"/>
  <c r="P384" i="2" s="1"/>
  <c r="D383" i="2"/>
  <c r="U383" i="2" s="1"/>
  <c r="E383" i="2"/>
  <c r="V383" i="2" s="1"/>
  <c r="BC383" i="2" s="1"/>
  <c r="A385" i="2"/>
  <c r="S159" i="2" l="1"/>
  <c r="AG158" i="2"/>
  <c r="AH158" i="2"/>
  <c r="AI159" i="2" s="1"/>
  <c r="AE158" i="2"/>
  <c r="O158" i="2"/>
  <c r="Y383" i="2"/>
  <c r="AB383" i="2" s="1"/>
  <c r="T159" i="2"/>
  <c r="H382" i="2"/>
  <c r="AP385" i="2"/>
  <c r="AM385" i="2"/>
  <c r="AU158" i="2"/>
  <c r="J384" i="2"/>
  <c r="Z382" i="2"/>
  <c r="F383" i="2"/>
  <c r="G383" i="2" s="1"/>
  <c r="B386" i="2"/>
  <c r="AA385" i="2"/>
  <c r="AJ385" i="2"/>
  <c r="AC385" i="2"/>
  <c r="W385" i="2"/>
  <c r="K385" i="2"/>
  <c r="L384" i="2" s="1"/>
  <c r="C385" i="2"/>
  <c r="J385" i="2" s="1"/>
  <c r="AQ385" i="2"/>
  <c r="D384" i="2"/>
  <c r="U384" i="2" s="1"/>
  <c r="E384" i="2"/>
  <c r="V384" i="2" s="1"/>
  <c r="BC384" i="2" s="1"/>
  <c r="A386" i="2"/>
  <c r="AL158" i="2" l="1"/>
  <c r="BA158" i="2" s="1"/>
  <c r="AN159" i="2"/>
  <c r="AT158" i="2"/>
  <c r="AF159" i="2"/>
  <c r="I159" i="2"/>
  <c r="AS159" i="2"/>
  <c r="N159" i="2"/>
  <c r="X159" i="2"/>
  <c r="AO159" i="2"/>
  <c r="Y384" i="2"/>
  <c r="AB384" i="2" s="1"/>
  <c r="H383" i="2"/>
  <c r="AP386" i="2"/>
  <c r="Z383" i="2"/>
  <c r="P385" i="2"/>
  <c r="AQ386" i="2"/>
  <c r="F384" i="2"/>
  <c r="G384" i="2" s="1"/>
  <c r="E385" i="2"/>
  <c r="V385" i="2" s="1"/>
  <c r="BC385" i="2" s="1"/>
  <c r="D385" i="2"/>
  <c r="U385" i="2" s="1"/>
  <c r="B387" i="2"/>
  <c r="AA386" i="2"/>
  <c r="W386" i="2"/>
  <c r="AC386" i="2"/>
  <c r="AJ386" i="2"/>
  <c r="K386" i="2"/>
  <c r="L385" i="2" s="1"/>
  <c r="C386" i="2"/>
  <c r="P386" i="2" s="1"/>
  <c r="A387" i="2"/>
  <c r="BB159" i="2" l="1"/>
  <c r="Q159" i="2"/>
  <c r="R159" i="2" s="1"/>
  <c r="AG159" i="2" s="1"/>
  <c r="AK159" i="2"/>
  <c r="AV159" i="2"/>
  <c r="AR159" i="2" s="1"/>
  <c r="AW159" i="2" s="1"/>
  <c r="Y385" i="2"/>
  <c r="AB385" i="2" s="1"/>
  <c r="H384" i="2"/>
  <c r="AP387" i="2"/>
  <c r="AM387" i="2"/>
  <c r="J386" i="2"/>
  <c r="AQ387" i="2"/>
  <c r="F385" i="2"/>
  <c r="G385" i="2" s="1"/>
  <c r="AA384" i="2"/>
  <c r="AD384" i="2" s="1"/>
  <c r="AD385" i="2" s="1"/>
  <c r="AD386" i="2" s="1"/>
  <c r="Z384" i="2"/>
  <c r="E386" i="2"/>
  <c r="V386" i="2" s="1"/>
  <c r="BC386" i="2" s="1"/>
  <c r="D386" i="2"/>
  <c r="U386" i="2" s="1"/>
  <c r="B388" i="2"/>
  <c r="AJ387" i="2"/>
  <c r="AC387" i="2"/>
  <c r="W387" i="2"/>
  <c r="AA387" i="2"/>
  <c r="K387" i="2"/>
  <c r="L386" i="2" s="1"/>
  <c r="C387" i="2"/>
  <c r="P387" i="2" s="1"/>
  <c r="A388" i="2"/>
  <c r="AU159" i="2" l="1"/>
  <c r="O159" i="2"/>
  <c r="Y386" i="2"/>
  <c r="AB386" i="2" s="1"/>
  <c r="H385" i="2"/>
  <c r="AP388" i="2"/>
  <c r="AH159" i="2"/>
  <c r="AI160" i="2" s="1"/>
  <c r="AE159" i="2"/>
  <c r="J387" i="2"/>
  <c r="Z385" i="2"/>
  <c r="AD387" i="2"/>
  <c r="F386" i="2"/>
  <c r="G386" i="2" s="1"/>
  <c r="D387" i="2"/>
  <c r="U387" i="2" s="1"/>
  <c r="E387" i="2"/>
  <c r="V387" i="2" s="1"/>
  <c r="BC387" i="2" s="1"/>
  <c r="B389" i="2"/>
  <c r="AJ388" i="2"/>
  <c r="AC388" i="2"/>
  <c r="W388" i="2"/>
  <c r="AA388" i="2"/>
  <c r="C388" i="2"/>
  <c r="J388" i="2" s="1"/>
  <c r="K388" i="2"/>
  <c r="L387" i="2" s="1"/>
  <c r="AQ388" i="2"/>
  <c r="A389" i="2"/>
  <c r="AL159" i="2" l="1"/>
  <c r="BA159" i="2" s="1"/>
  <c r="AN160" i="2"/>
  <c r="AT159" i="2"/>
  <c r="AO160" i="2"/>
  <c r="X160" i="2"/>
  <c r="AS160" i="2"/>
  <c r="Y387" i="2"/>
  <c r="AB387" i="2" s="1"/>
  <c r="H386" i="2"/>
  <c r="AM160" i="2"/>
  <c r="AM389" i="2"/>
  <c r="AP389" i="2"/>
  <c r="P388" i="2"/>
  <c r="AF160" i="2"/>
  <c r="AD388" i="2"/>
  <c r="F387" i="2"/>
  <c r="G387" i="2" s="1"/>
  <c r="Z386" i="2"/>
  <c r="AQ389" i="2"/>
  <c r="E388" i="2"/>
  <c r="V388" i="2" s="1"/>
  <c r="BC388" i="2" s="1"/>
  <c r="D388" i="2"/>
  <c r="U388" i="2" s="1"/>
  <c r="B390" i="2"/>
  <c r="AJ389" i="2"/>
  <c r="AC389" i="2"/>
  <c r="AA389" i="2"/>
  <c r="W389" i="2"/>
  <c r="C389" i="2"/>
  <c r="J389" i="2" s="1"/>
  <c r="K389" i="2"/>
  <c r="L388" i="2" s="1"/>
  <c r="A390" i="2"/>
  <c r="BB160" i="2" l="1"/>
  <c r="Y388" i="2"/>
  <c r="AB388" i="2" s="1"/>
  <c r="H387" i="2"/>
  <c r="AP390" i="2"/>
  <c r="AV160" i="2"/>
  <c r="AR160" i="2" s="1"/>
  <c r="AW160" i="2" s="1"/>
  <c r="AD389" i="2"/>
  <c r="P389" i="2"/>
  <c r="F388" i="2"/>
  <c r="G388" i="2" s="1"/>
  <c r="Z387" i="2"/>
  <c r="AQ390" i="2"/>
  <c r="B391" i="2"/>
  <c r="AJ390" i="2"/>
  <c r="AC390" i="2"/>
  <c r="AA390" i="2"/>
  <c r="W390" i="2"/>
  <c r="C390" i="2"/>
  <c r="J390" i="2" s="1"/>
  <c r="K390" i="2"/>
  <c r="L389" i="2" s="1"/>
  <c r="E389" i="2"/>
  <c r="V389" i="2" s="1"/>
  <c r="BC389" i="2" s="1"/>
  <c r="D389" i="2"/>
  <c r="U389" i="2" s="1"/>
  <c r="A391" i="2"/>
  <c r="Y389" i="2" l="1"/>
  <c r="AB389" i="2" s="1"/>
  <c r="H388" i="2"/>
  <c r="AM391" i="2"/>
  <c r="AP391" i="2"/>
  <c r="AU160" i="2"/>
  <c r="AD390" i="2"/>
  <c r="P390" i="2"/>
  <c r="F389" i="2"/>
  <c r="G389" i="2" s="1"/>
  <c r="Z388" i="2"/>
  <c r="B392" i="2"/>
  <c r="AA391" i="2"/>
  <c r="W391" i="2"/>
  <c r="AC391" i="2"/>
  <c r="AJ391" i="2"/>
  <c r="K391" i="2"/>
  <c r="L390" i="2" s="1"/>
  <c r="C391" i="2"/>
  <c r="P391" i="2" s="1"/>
  <c r="E390" i="2"/>
  <c r="V390" i="2" s="1"/>
  <c r="BC390" i="2" s="1"/>
  <c r="D390" i="2"/>
  <c r="U390" i="2" s="1"/>
  <c r="AQ391" i="2"/>
  <c r="A392" i="2"/>
  <c r="Y390" i="2" l="1"/>
  <c r="AB390" i="2" s="1"/>
  <c r="H389" i="2"/>
  <c r="AP392" i="2"/>
  <c r="AD391" i="2"/>
  <c r="J391" i="2"/>
  <c r="F390" i="2"/>
  <c r="G390" i="2" s="1"/>
  <c r="Z389" i="2"/>
  <c r="AQ392" i="2"/>
  <c r="D391" i="2"/>
  <c r="U391" i="2" s="1"/>
  <c r="E391" i="2"/>
  <c r="V391" i="2" s="1"/>
  <c r="BC391" i="2" s="1"/>
  <c r="B393" i="2"/>
  <c r="AJ392" i="2"/>
  <c r="AC392" i="2"/>
  <c r="AA392" i="2"/>
  <c r="W392" i="2"/>
  <c r="C392" i="2"/>
  <c r="P392" i="2" s="1"/>
  <c r="K392" i="2"/>
  <c r="L391" i="2" s="1"/>
  <c r="A393" i="2"/>
  <c r="Y391" i="2" l="1"/>
  <c r="AB391" i="2" s="1"/>
  <c r="H390" i="2"/>
  <c r="AP393" i="2"/>
  <c r="AD392" i="2"/>
  <c r="J392" i="2"/>
  <c r="F391" i="2"/>
  <c r="G391" i="2" s="1"/>
  <c r="Z390" i="2"/>
  <c r="D392" i="2"/>
  <c r="U392" i="2" s="1"/>
  <c r="E392" i="2"/>
  <c r="V392" i="2" s="1"/>
  <c r="BC392" i="2" s="1"/>
  <c r="B394" i="2"/>
  <c r="AA393" i="2"/>
  <c r="AJ393" i="2"/>
  <c r="AC393" i="2"/>
  <c r="W393" i="2"/>
  <c r="K393" i="2"/>
  <c r="L392" i="2" s="1"/>
  <c r="C393" i="2"/>
  <c r="J393" i="2" s="1"/>
  <c r="AQ393" i="2"/>
  <c r="A394" i="2"/>
  <c r="Y392" i="2" l="1"/>
  <c r="AB392" i="2" s="1"/>
  <c r="H391" i="2"/>
  <c r="AM394" i="2"/>
  <c r="AP394" i="2"/>
  <c r="AD393" i="2"/>
  <c r="P393" i="2"/>
  <c r="F392" i="2"/>
  <c r="G392" i="2" s="1"/>
  <c r="Z391" i="2"/>
  <c r="B395" i="2"/>
  <c r="AJ394" i="2"/>
  <c r="AC394" i="2"/>
  <c r="AA394" i="2"/>
  <c r="W394" i="2"/>
  <c r="K394" i="2"/>
  <c r="L393" i="2" s="1"/>
  <c r="C394" i="2"/>
  <c r="J394" i="2" s="1"/>
  <c r="AQ394" i="2"/>
  <c r="D393" i="2"/>
  <c r="U393" i="2" s="1"/>
  <c r="E393" i="2"/>
  <c r="V393" i="2" s="1"/>
  <c r="BC393" i="2" s="1"/>
  <c r="A395" i="2"/>
  <c r="Y393" i="2" l="1"/>
  <c r="AB393" i="2" s="1"/>
  <c r="H392" i="2"/>
  <c r="AM395" i="2"/>
  <c r="AP395" i="2"/>
  <c r="AD394" i="2"/>
  <c r="P394" i="2"/>
  <c r="AQ395" i="2"/>
  <c r="F393" i="2"/>
  <c r="G393" i="2" s="1"/>
  <c r="Z392" i="2"/>
  <c r="AU395" i="2"/>
  <c r="B396" i="2"/>
  <c r="AJ395" i="2"/>
  <c r="AC395" i="2"/>
  <c r="W395" i="2"/>
  <c r="AA395" i="2"/>
  <c r="K395" i="2"/>
  <c r="L394" i="2" s="1"/>
  <c r="C395" i="2"/>
  <c r="P395" i="2" s="1"/>
  <c r="E394" i="2"/>
  <c r="V394" i="2" s="1"/>
  <c r="BC394" i="2" s="1"/>
  <c r="D394" i="2"/>
  <c r="U394" i="2" s="1"/>
  <c r="A396" i="2"/>
  <c r="Y394" i="2" l="1"/>
  <c r="AB394" i="2" s="1"/>
  <c r="H393" i="2"/>
  <c r="AP396" i="2"/>
  <c r="AQ396" i="2"/>
  <c r="AD395" i="2"/>
  <c r="F394" i="2"/>
  <c r="G394" i="2" s="1"/>
  <c r="J395" i="2"/>
  <c r="Z393" i="2"/>
  <c r="B397" i="2"/>
  <c r="AC396" i="2"/>
  <c r="W396" i="2"/>
  <c r="C396" i="2"/>
  <c r="J396" i="2" s="1"/>
  <c r="K396" i="2"/>
  <c r="L395" i="2" s="1"/>
  <c r="E395" i="2"/>
  <c r="V395" i="2" s="1"/>
  <c r="BC395" i="2" s="1"/>
  <c r="D395" i="2"/>
  <c r="U395" i="2" s="1"/>
  <c r="A397" i="2"/>
  <c r="Y395" i="2" l="1"/>
  <c r="AB395" i="2" s="1"/>
  <c r="H394" i="2"/>
  <c r="AM397" i="2"/>
  <c r="AP397" i="2"/>
  <c r="P396" i="2"/>
  <c r="F395" i="2"/>
  <c r="G395" i="2" s="1"/>
  <c r="Z394" i="2"/>
  <c r="B398" i="2"/>
  <c r="AJ397" i="2"/>
  <c r="AC397" i="2"/>
  <c r="AA397" i="2"/>
  <c r="W397" i="2"/>
  <c r="C397" i="2"/>
  <c r="P397" i="2" s="1"/>
  <c r="K397" i="2"/>
  <c r="L396" i="2" s="1"/>
  <c r="AQ397" i="2"/>
  <c r="E396" i="2"/>
  <c r="V396" i="2" s="1"/>
  <c r="BC396" i="2" s="1"/>
  <c r="D396" i="2"/>
  <c r="U396" i="2" s="1"/>
  <c r="A398" i="2"/>
  <c r="Y396" i="2" l="1"/>
  <c r="AB396" i="2" s="1"/>
  <c r="H395" i="2"/>
  <c r="AP398" i="2"/>
  <c r="AQ398" i="2"/>
  <c r="J397" i="2"/>
  <c r="F396" i="2"/>
  <c r="G396" i="2" s="1"/>
  <c r="Z395" i="2"/>
  <c r="E397" i="2"/>
  <c r="V397" i="2" s="1"/>
  <c r="BC397" i="2" s="1"/>
  <c r="D397" i="2"/>
  <c r="U397" i="2" s="1"/>
  <c r="B399" i="2"/>
  <c r="AJ398" i="2"/>
  <c r="AC398" i="2"/>
  <c r="AA398" i="2"/>
  <c r="W398" i="2"/>
  <c r="C398" i="2"/>
  <c r="J398" i="2" s="1"/>
  <c r="K398" i="2"/>
  <c r="L397" i="2" s="1"/>
  <c r="A399" i="2"/>
  <c r="Y397" i="2" l="1"/>
  <c r="AB397" i="2" s="1"/>
  <c r="H396" i="2"/>
  <c r="AP399" i="2"/>
  <c r="P398" i="2"/>
  <c r="F397" i="2"/>
  <c r="G397" i="2" s="1"/>
  <c r="AA396" i="2"/>
  <c r="AD396" i="2" s="1"/>
  <c r="AD397" i="2" s="1"/>
  <c r="AD398" i="2" s="1"/>
  <c r="Z396" i="2"/>
  <c r="AQ399" i="2"/>
  <c r="E398" i="2"/>
  <c r="V398" i="2" s="1"/>
  <c r="BC398" i="2" s="1"/>
  <c r="D398" i="2"/>
  <c r="U398" i="2" s="1"/>
  <c r="B400" i="2"/>
  <c r="AJ399" i="2"/>
  <c r="AC399" i="2"/>
  <c r="AA399" i="2"/>
  <c r="W399" i="2"/>
  <c r="K399" i="2"/>
  <c r="L398" i="2" s="1"/>
  <c r="C399" i="2"/>
  <c r="J399" i="2" s="1"/>
  <c r="A400" i="2"/>
  <c r="Y398" i="2" l="1"/>
  <c r="AB398" i="2" s="1"/>
  <c r="H397" i="2"/>
  <c r="AP400" i="2"/>
  <c r="P399" i="2"/>
  <c r="AD399" i="2"/>
  <c r="F398" i="2"/>
  <c r="G398" i="2" s="1"/>
  <c r="Z397" i="2"/>
  <c r="AQ400" i="2"/>
  <c r="B401" i="2"/>
  <c r="AC400" i="2"/>
  <c r="AJ400" i="2"/>
  <c r="AA400" i="2"/>
  <c r="W400" i="2"/>
  <c r="K400" i="2"/>
  <c r="L399" i="2" s="1"/>
  <c r="C400" i="2"/>
  <c r="J400" i="2" s="1"/>
  <c r="D399" i="2"/>
  <c r="U399" i="2" s="1"/>
  <c r="E399" i="2"/>
  <c r="V399" i="2" s="1"/>
  <c r="BC399" i="2" s="1"/>
  <c r="A401" i="2"/>
  <c r="Y399" i="2" l="1"/>
  <c r="AB399" i="2" s="1"/>
  <c r="H398" i="2"/>
  <c r="AM401" i="2"/>
  <c r="AP401" i="2"/>
  <c r="P400" i="2"/>
  <c r="AD400" i="2"/>
  <c r="F399" i="2"/>
  <c r="G399" i="2" s="1"/>
  <c r="Z398" i="2"/>
  <c r="AQ401" i="2"/>
  <c r="B402" i="2"/>
  <c r="AJ401" i="2"/>
  <c r="AC401" i="2"/>
  <c r="W401" i="2"/>
  <c r="AA401" i="2"/>
  <c r="K401" i="2"/>
  <c r="L400" i="2" s="1"/>
  <c r="C401" i="2"/>
  <c r="J401" i="2" s="1"/>
  <c r="D400" i="2"/>
  <c r="U400" i="2" s="1"/>
  <c r="E400" i="2"/>
  <c r="V400" i="2" s="1"/>
  <c r="BC400" i="2" s="1"/>
  <c r="A402" i="2"/>
  <c r="Y400" i="2" l="1"/>
  <c r="AB400" i="2" s="1"/>
  <c r="H399" i="2"/>
  <c r="AM402" i="2"/>
  <c r="AP402" i="2"/>
  <c r="AD401" i="2"/>
  <c r="F400" i="2"/>
  <c r="G400" i="2" s="1"/>
  <c r="AQ402" i="2"/>
  <c r="P401" i="2"/>
  <c r="Z399" i="2"/>
  <c r="E401" i="2"/>
  <c r="V401" i="2" s="1"/>
  <c r="BC401" i="2" s="1"/>
  <c r="D401" i="2"/>
  <c r="U401" i="2" s="1"/>
  <c r="B403" i="2"/>
  <c r="AA402" i="2"/>
  <c r="W402" i="2"/>
  <c r="AJ402" i="2"/>
  <c r="AC402" i="2"/>
  <c r="K402" i="2"/>
  <c r="L401" i="2" s="1"/>
  <c r="C402" i="2"/>
  <c r="P402" i="2" s="1"/>
  <c r="A403" i="2"/>
  <c r="Y401" i="2" l="1"/>
  <c r="AB401" i="2" s="1"/>
  <c r="H400" i="2"/>
  <c r="AP403" i="2"/>
  <c r="J402" i="2"/>
  <c r="AD402" i="2"/>
  <c r="F401" i="2"/>
  <c r="G401" i="2" s="1"/>
  <c r="Z400" i="2"/>
  <c r="AQ403" i="2"/>
  <c r="E402" i="2"/>
  <c r="V402" i="2" s="1"/>
  <c r="BC402" i="2" s="1"/>
  <c r="D402" i="2"/>
  <c r="U402" i="2" s="1"/>
  <c r="B404" i="2"/>
  <c r="AC403" i="2"/>
  <c r="AA403" i="2"/>
  <c r="W403" i="2"/>
  <c r="AJ403" i="2"/>
  <c r="K403" i="2"/>
  <c r="L402" i="2" s="1"/>
  <c r="C403" i="2"/>
  <c r="J403" i="2" s="1"/>
  <c r="A404" i="2"/>
  <c r="Y402" i="2" l="1"/>
  <c r="AB402" i="2" s="1"/>
  <c r="H401" i="2"/>
  <c r="AP404" i="2"/>
  <c r="AD403" i="2"/>
  <c r="P403" i="2"/>
  <c r="F402" i="2"/>
  <c r="G402" i="2" s="1"/>
  <c r="Z401" i="2"/>
  <c r="E403" i="2"/>
  <c r="V403" i="2" s="1"/>
  <c r="BC403" i="2" s="1"/>
  <c r="D403" i="2"/>
  <c r="U403" i="2" s="1"/>
  <c r="B405" i="2"/>
  <c r="AJ404" i="2"/>
  <c r="AC404" i="2"/>
  <c r="W404" i="2"/>
  <c r="AA404" i="2"/>
  <c r="C404" i="2"/>
  <c r="J404" i="2" s="1"/>
  <c r="K404" i="2"/>
  <c r="L403" i="2" s="1"/>
  <c r="AQ404" i="2"/>
  <c r="A405" i="2"/>
  <c r="Y403" i="2" l="1"/>
  <c r="AB403" i="2" s="1"/>
  <c r="H402" i="2"/>
  <c r="AP405" i="2"/>
  <c r="AM405" i="2"/>
  <c r="AD404" i="2"/>
  <c r="P404" i="2"/>
  <c r="F403" i="2"/>
  <c r="G403" i="2" s="1"/>
  <c r="Z402" i="2"/>
  <c r="AQ405" i="2"/>
  <c r="B406" i="2"/>
  <c r="AJ405" i="2"/>
  <c r="AC405" i="2"/>
  <c r="AA405" i="2"/>
  <c r="W405" i="2"/>
  <c r="C405" i="2"/>
  <c r="J405" i="2" s="1"/>
  <c r="K405" i="2"/>
  <c r="L404" i="2" s="1"/>
  <c r="E404" i="2"/>
  <c r="V404" i="2" s="1"/>
  <c r="BC404" i="2" s="1"/>
  <c r="D404" i="2"/>
  <c r="U404" i="2" s="1"/>
  <c r="A406" i="2"/>
  <c r="Y404" i="2" l="1"/>
  <c r="AB404" i="2" s="1"/>
  <c r="H403" i="2"/>
  <c r="AP406" i="2"/>
  <c r="AM406" i="2"/>
  <c r="AD405" i="2"/>
  <c r="F404" i="2"/>
  <c r="G404" i="2" s="1"/>
  <c r="P405" i="2"/>
  <c r="Z403" i="2"/>
  <c r="B407" i="2"/>
  <c r="AJ406" i="2"/>
  <c r="AC406" i="2"/>
  <c r="AA406" i="2"/>
  <c r="W406" i="2"/>
  <c r="K406" i="2"/>
  <c r="L405" i="2" s="1"/>
  <c r="C406" i="2"/>
  <c r="J406" i="2" s="1"/>
  <c r="E405" i="2"/>
  <c r="V405" i="2" s="1"/>
  <c r="BC405" i="2" s="1"/>
  <c r="D405" i="2"/>
  <c r="U405" i="2" s="1"/>
  <c r="AQ406" i="2"/>
  <c r="A407" i="2"/>
  <c r="Y405" i="2" l="1"/>
  <c r="AB405" i="2" s="1"/>
  <c r="H404" i="2"/>
  <c r="AP407" i="2"/>
  <c r="AM407" i="2"/>
  <c r="AD406" i="2"/>
  <c r="P406" i="2"/>
  <c r="AQ407" i="2"/>
  <c r="F405" i="2"/>
  <c r="G405" i="2" s="1"/>
  <c r="Z404" i="2"/>
  <c r="AU407" i="2"/>
  <c r="B408" i="2"/>
  <c r="AJ407" i="2"/>
  <c r="AA407" i="2"/>
  <c r="W407" i="2"/>
  <c r="AC407" i="2"/>
  <c r="K407" i="2"/>
  <c r="L406" i="2" s="1"/>
  <c r="C407" i="2"/>
  <c r="P407" i="2" s="1"/>
  <c r="E406" i="2"/>
  <c r="V406" i="2" s="1"/>
  <c r="BC406" i="2" s="1"/>
  <c r="D406" i="2"/>
  <c r="U406" i="2" s="1"/>
  <c r="A408" i="2"/>
  <c r="Y406" i="2" l="1"/>
  <c r="AB406" i="2" s="1"/>
  <c r="H405" i="2"/>
  <c r="AM408" i="2"/>
  <c r="AP408" i="2"/>
  <c r="AD407" i="2"/>
  <c r="J407" i="2"/>
  <c r="F406" i="2"/>
  <c r="G406" i="2" s="1"/>
  <c r="Z405" i="2"/>
  <c r="AQ408" i="2"/>
  <c r="B409" i="2"/>
  <c r="AC408" i="2"/>
  <c r="W408" i="2"/>
  <c r="K408" i="2"/>
  <c r="L407" i="2" s="1"/>
  <c r="C408" i="2"/>
  <c r="P408" i="2" s="1"/>
  <c r="D407" i="2"/>
  <c r="U407" i="2" s="1"/>
  <c r="E407" i="2"/>
  <c r="V407" i="2" s="1"/>
  <c r="BC407" i="2" s="1"/>
  <c r="A409" i="2"/>
  <c r="Y407" i="2" l="1"/>
  <c r="AB407" i="2" s="1"/>
  <c r="H406" i="2"/>
  <c r="AP409" i="2"/>
  <c r="AM409" i="2"/>
  <c r="J408" i="2"/>
  <c r="F407" i="2"/>
  <c r="G407" i="2" s="1"/>
  <c r="Z406" i="2"/>
  <c r="AQ409" i="2"/>
  <c r="B410" i="2"/>
  <c r="AA409" i="2"/>
  <c r="W409" i="2"/>
  <c r="AJ409" i="2"/>
  <c r="AC409" i="2"/>
  <c r="K409" i="2"/>
  <c r="L408" i="2" s="1"/>
  <c r="C409" i="2"/>
  <c r="P409" i="2" s="1"/>
  <c r="D408" i="2"/>
  <c r="U408" i="2" s="1"/>
  <c r="E408" i="2"/>
  <c r="V408" i="2" s="1"/>
  <c r="BC408" i="2" s="1"/>
  <c r="A410" i="2"/>
  <c r="Y408" i="2" l="1"/>
  <c r="AB408" i="2" s="1"/>
  <c r="H407" i="2"/>
  <c r="AP410" i="2"/>
  <c r="J409" i="2"/>
  <c r="F408" i="2"/>
  <c r="G408" i="2" s="1"/>
  <c r="Z407" i="2"/>
  <c r="B411" i="2"/>
  <c r="AJ410" i="2"/>
  <c r="AC410" i="2"/>
  <c r="W410" i="2"/>
  <c r="AA410" i="2"/>
  <c r="K410" i="2"/>
  <c r="L409" i="2" s="1"/>
  <c r="C410" i="2"/>
  <c r="P410" i="2" s="1"/>
  <c r="D409" i="2"/>
  <c r="U409" i="2" s="1"/>
  <c r="E409" i="2"/>
  <c r="V409" i="2" s="1"/>
  <c r="BC409" i="2" s="1"/>
  <c r="AQ410" i="2"/>
  <c r="A411" i="2"/>
  <c r="Y409" i="2" l="1"/>
  <c r="AB409" i="2" s="1"/>
  <c r="H408" i="2"/>
  <c r="AP411" i="2"/>
  <c r="J410" i="2"/>
  <c r="F409" i="2"/>
  <c r="G409" i="2" s="1"/>
  <c r="AA408" i="2"/>
  <c r="AD408" i="2" s="1"/>
  <c r="AD409" i="2" s="1"/>
  <c r="AD410" i="2" s="1"/>
  <c r="Z408" i="2"/>
  <c r="AQ411" i="2"/>
  <c r="E410" i="2"/>
  <c r="V410" i="2" s="1"/>
  <c r="BC410" i="2" s="1"/>
  <c r="D410" i="2"/>
  <c r="U410" i="2" s="1"/>
  <c r="B412" i="2"/>
  <c r="AC411" i="2"/>
  <c r="AA411" i="2"/>
  <c r="W411" i="2"/>
  <c r="AJ411" i="2"/>
  <c r="K411" i="2"/>
  <c r="L410" i="2" s="1"/>
  <c r="C411" i="2"/>
  <c r="P411" i="2" s="1"/>
  <c r="A412" i="2"/>
  <c r="Y410" i="2" l="1"/>
  <c r="AB410" i="2" s="1"/>
  <c r="H409" i="2"/>
  <c r="AM412" i="2"/>
  <c r="AP412" i="2"/>
  <c r="J411" i="2"/>
  <c r="Z409" i="2"/>
  <c r="F410" i="2"/>
  <c r="G410" i="2" s="1"/>
  <c r="AD411" i="2"/>
  <c r="AQ412" i="2"/>
  <c r="B413" i="2"/>
  <c r="AC412" i="2"/>
  <c r="AJ412" i="2"/>
  <c r="AA412" i="2"/>
  <c r="W412" i="2"/>
  <c r="C412" i="2"/>
  <c r="P412" i="2" s="1"/>
  <c r="K412" i="2"/>
  <c r="L411" i="2" s="1"/>
  <c r="D411" i="2"/>
  <c r="U411" i="2" s="1"/>
  <c r="E411" i="2"/>
  <c r="V411" i="2" s="1"/>
  <c r="BC411" i="2" s="1"/>
  <c r="A413" i="2"/>
  <c r="Y411" i="2" l="1"/>
  <c r="AB411" i="2" s="1"/>
  <c r="H410" i="2"/>
  <c r="AM413" i="2"/>
  <c r="AP413" i="2"/>
  <c r="AD412" i="2"/>
  <c r="F411" i="2"/>
  <c r="G411" i="2" s="1"/>
  <c r="J412" i="2"/>
  <c r="Z410" i="2"/>
  <c r="B414" i="2"/>
  <c r="AJ413" i="2"/>
  <c r="AC413" i="2"/>
  <c r="W413" i="2"/>
  <c r="AA413" i="2"/>
  <c r="C413" i="2"/>
  <c r="P413" i="2" s="1"/>
  <c r="K413" i="2"/>
  <c r="L412" i="2" s="1"/>
  <c r="E412" i="2"/>
  <c r="V412" i="2" s="1"/>
  <c r="BC412" i="2" s="1"/>
  <c r="D412" i="2"/>
  <c r="U412" i="2" s="1"/>
  <c r="AQ413" i="2"/>
  <c r="A414" i="2"/>
  <c r="Y412" i="2" l="1"/>
  <c r="AB412" i="2" s="1"/>
  <c r="H411" i="2"/>
  <c r="AP414" i="2"/>
  <c r="AD413" i="2"/>
  <c r="J413" i="2"/>
  <c r="F412" i="2"/>
  <c r="G412" i="2" s="1"/>
  <c r="Z411" i="2"/>
  <c r="AQ414" i="2"/>
  <c r="E413" i="2"/>
  <c r="V413" i="2" s="1"/>
  <c r="BC413" i="2" s="1"/>
  <c r="D413" i="2"/>
  <c r="U413" i="2" s="1"/>
  <c r="B415" i="2"/>
  <c r="AJ414" i="2"/>
  <c r="AC414" i="2"/>
  <c r="AA414" i="2"/>
  <c r="W414" i="2"/>
  <c r="K414" i="2"/>
  <c r="L413" i="2" s="1"/>
  <c r="C414" i="2"/>
  <c r="P414" i="2" s="1"/>
  <c r="A415" i="2"/>
  <c r="Y413" i="2" l="1"/>
  <c r="AB413" i="2" s="1"/>
  <c r="H412" i="2"/>
  <c r="AP415" i="2"/>
  <c r="AD414" i="2"/>
  <c r="AQ415" i="2"/>
  <c r="J414" i="2"/>
  <c r="F413" i="2"/>
  <c r="G413" i="2" s="1"/>
  <c r="Z412" i="2"/>
  <c r="E414" i="2"/>
  <c r="V414" i="2" s="1"/>
  <c r="BC414" i="2" s="1"/>
  <c r="D414" i="2"/>
  <c r="U414" i="2" s="1"/>
  <c r="B416" i="2"/>
  <c r="AJ415" i="2"/>
  <c r="AC415" i="2"/>
  <c r="W415" i="2"/>
  <c r="P415" i="2"/>
  <c r="AA415" i="2"/>
  <c r="K415" i="2"/>
  <c r="L414" i="2" s="1"/>
  <c r="C415" i="2"/>
  <c r="J415" i="2" s="1"/>
  <c r="A416" i="2"/>
  <c r="Y414" i="2" l="1"/>
  <c r="AB414" i="2" s="1"/>
  <c r="H413" i="2"/>
  <c r="AM416" i="2"/>
  <c r="AP416" i="2"/>
  <c r="AD415" i="2"/>
  <c r="AQ416" i="2"/>
  <c r="Z413" i="2"/>
  <c r="F414" i="2"/>
  <c r="G414" i="2" s="1"/>
  <c r="D415" i="2"/>
  <c r="U415" i="2" s="1"/>
  <c r="E415" i="2"/>
  <c r="V415" i="2" s="1"/>
  <c r="BC415" i="2" s="1"/>
  <c r="B417" i="2"/>
  <c r="AC416" i="2"/>
  <c r="AJ416" i="2"/>
  <c r="AA416" i="2"/>
  <c r="W416" i="2"/>
  <c r="C416" i="2"/>
  <c r="J416" i="2" s="1"/>
  <c r="K416" i="2"/>
  <c r="L415" i="2" s="1"/>
  <c r="A417" i="2"/>
  <c r="Y415" i="2" l="1"/>
  <c r="AB415" i="2" s="1"/>
  <c r="H414" i="2"/>
  <c r="AP417" i="2"/>
  <c r="AM417" i="2"/>
  <c r="AD416" i="2"/>
  <c r="P416" i="2"/>
  <c r="F415" i="2"/>
  <c r="G415" i="2" s="1"/>
  <c r="Z414" i="2"/>
  <c r="B418" i="2"/>
  <c r="AJ417" i="2"/>
  <c r="AC417" i="2"/>
  <c r="AA417" i="2"/>
  <c r="W417" i="2"/>
  <c r="K417" i="2"/>
  <c r="L416" i="2" s="1"/>
  <c r="C417" i="2"/>
  <c r="J417" i="2" s="1"/>
  <c r="D416" i="2"/>
  <c r="U416" i="2" s="1"/>
  <c r="E416" i="2"/>
  <c r="V416" i="2" s="1"/>
  <c r="BC416" i="2" s="1"/>
  <c r="AQ417" i="2"/>
  <c r="A418" i="2"/>
  <c r="Y416" i="2" l="1"/>
  <c r="AB416" i="2" s="1"/>
  <c r="H415" i="2"/>
  <c r="AP418" i="2"/>
  <c r="AM418" i="2"/>
  <c r="AD417" i="2"/>
  <c r="P417" i="2"/>
  <c r="F416" i="2"/>
  <c r="G416" i="2" s="1"/>
  <c r="Z415" i="2"/>
  <c r="E417" i="2"/>
  <c r="V417" i="2" s="1"/>
  <c r="BC417" i="2" s="1"/>
  <c r="D417" i="2"/>
  <c r="U417" i="2" s="1"/>
  <c r="B419" i="2"/>
  <c r="AJ418" i="2"/>
  <c r="AA418" i="2"/>
  <c r="W418" i="2"/>
  <c r="AC418" i="2"/>
  <c r="K418" i="2"/>
  <c r="L417" i="2" s="1"/>
  <c r="C418" i="2"/>
  <c r="J418" i="2" s="1"/>
  <c r="AQ418" i="2"/>
  <c r="A419" i="2"/>
  <c r="Y417" i="2" l="1"/>
  <c r="AB417" i="2" s="1"/>
  <c r="H416" i="2"/>
  <c r="AP419" i="2"/>
  <c r="AD418" i="2"/>
  <c r="P418" i="2"/>
  <c r="F417" i="2"/>
  <c r="G417" i="2" s="1"/>
  <c r="Z416" i="2"/>
  <c r="AQ419" i="2"/>
  <c r="AU419" i="2"/>
  <c r="AC419" i="2"/>
  <c r="AA419" i="2"/>
  <c r="W419" i="2"/>
  <c r="AJ419" i="2"/>
  <c r="K419" i="2"/>
  <c r="L418" i="2" s="1"/>
  <c r="B420" i="2"/>
  <c r="C419" i="2"/>
  <c r="P419" i="2" s="1"/>
  <c r="E418" i="2"/>
  <c r="V418" i="2" s="1"/>
  <c r="BC418" i="2" s="1"/>
  <c r="D418" i="2"/>
  <c r="U418" i="2" s="1"/>
  <c r="A420" i="2"/>
  <c r="Y418" i="2" l="1"/>
  <c r="AB418" i="2" s="1"/>
  <c r="H417" i="2"/>
  <c r="AM420" i="2"/>
  <c r="AP420" i="2"/>
  <c r="AD419" i="2"/>
  <c r="J419" i="2"/>
  <c r="F418" i="2"/>
  <c r="G418" i="2" s="1"/>
  <c r="Z417" i="2"/>
  <c r="C420" i="2"/>
  <c r="J420" i="2" s="1"/>
  <c r="AC420" i="2"/>
  <c r="W420" i="2"/>
  <c r="B421" i="2"/>
  <c r="K420" i="2"/>
  <c r="L419" i="2" s="1"/>
  <c r="E419" i="2"/>
  <c r="V419" i="2" s="1"/>
  <c r="BC419" i="2" s="1"/>
  <c r="D419" i="2"/>
  <c r="U419" i="2" s="1"/>
  <c r="AQ420" i="2"/>
  <c r="M169" i="2"/>
  <c r="M182" i="2"/>
  <c r="M231" i="2"/>
  <c r="M205" i="2"/>
  <c r="M161" i="2"/>
  <c r="M177" i="2"/>
  <c r="M168" i="2"/>
  <c r="M195" i="2"/>
  <c r="M190" i="2"/>
  <c r="M192" i="2"/>
  <c r="M189" i="2"/>
  <c r="M175" i="2"/>
  <c r="M163" i="2"/>
  <c r="M214" i="2"/>
  <c r="M254" i="2"/>
  <c r="M179" i="2"/>
  <c r="M215" i="2"/>
  <c r="M173" i="2"/>
  <c r="M165" i="2"/>
  <c r="M237" i="2"/>
  <c r="M172" i="2"/>
  <c r="M188" i="2"/>
  <c r="M243" i="2"/>
  <c r="M202" i="2"/>
  <c r="M186" i="2"/>
  <c r="M207" i="2"/>
  <c r="M242" i="2"/>
  <c r="M203" i="2"/>
  <c r="M199" i="2"/>
  <c r="M218" i="2"/>
  <c r="M269" i="2"/>
  <c r="M162" i="2"/>
  <c r="M280" i="2"/>
  <c r="M217" i="2"/>
  <c r="M229" i="2"/>
  <c r="M257" i="2"/>
  <c r="M194" i="2"/>
  <c r="M178" i="2"/>
  <c r="M200" i="2"/>
  <c r="M225" i="2"/>
  <c r="M253" i="2"/>
  <c r="M223" i="2"/>
  <c r="M224" i="2"/>
  <c r="M259" i="2"/>
  <c r="M201" i="2"/>
  <c r="M187" i="2"/>
  <c r="M235" i="2"/>
  <c r="M285" i="2"/>
  <c r="M183" i="2"/>
  <c r="M246" i="2"/>
  <c r="M292" i="2"/>
  <c r="M386" i="2"/>
  <c r="M166" i="2"/>
  <c r="M234" i="2"/>
  <c r="M326" i="2"/>
  <c r="M355" i="2"/>
  <c r="M185" i="2"/>
  <c r="M293" i="2"/>
  <c r="M252" i="2"/>
  <c r="M283" i="2"/>
  <c r="M300" i="2"/>
  <c r="M247" i="2"/>
  <c r="M306" i="2"/>
  <c r="M298" i="2"/>
  <c r="M208" i="2"/>
  <c r="M164" i="2"/>
  <c r="M278" i="2"/>
  <c r="M275" i="2"/>
  <c r="M354" i="2"/>
  <c r="M211" i="2"/>
  <c r="M204" i="2"/>
  <c r="M327" i="2"/>
  <c r="M341" i="2"/>
  <c r="M305" i="2"/>
  <c r="M398" i="2"/>
  <c r="M270" i="2"/>
  <c r="M372" i="2"/>
  <c r="M266" i="2"/>
  <c r="M267" i="2"/>
  <c r="M319" i="2"/>
  <c r="M385" i="2"/>
  <c r="M245" i="2"/>
  <c r="M356" i="2"/>
  <c r="M206" i="2"/>
  <c r="M263" i="2"/>
  <c r="M302" i="2"/>
  <c r="M174" i="2"/>
  <c r="M329" i="2"/>
  <c r="M212" i="2"/>
  <c r="M284" i="2"/>
  <c r="M239" i="2"/>
  <c r="M374" i="2"/>
  <c r="M349" i="2"/>
  <c r="M381" i="2"/>
  <c r="M250" i="2"/>
  <c r="M198" i="2"/>
  <c r="M314" i="2"/>
  <c r="M348" i="2"/>
  <c r="M353" i="2"/>
  <c r="M363" i="2"/>
  <c r="M210" i="2"/>
  <c r="M274" i="2"/>
  <c r="M290" i="2"/>
  <c r="M227" i="2"/>
  <c r="M340" i="2"/>
  <c r="M220" i="2"/>
  <c r="M332" i="2"/>
  <c r="M361" i="2"/>
  <c r="M365" i="2"/>
  <c r="M320" i="2"/>
  <c r="M380" i="2"/>
  <c r="M339" i="2"/>
  <c r="M255" i="2"/>
  <c r="M244" i="2"/>
  <c r="M390" i="2"/>
  <c r="M416" i="2"/>
  <c r="M418" i="2"/>
  <c r="M318" i="2"/>
  <c r="M351" i="2"/>
  <c r="M373" i="2"/>
  <c r="M226" i="2"/>
  <c r="M264" i="2"/>
  <c r="M240" i="2"/>
  <c r="M317" i="2"/>
  <c r="M399" i="2"/>
  <c r="M414" i="2"/>
  <c r="M360" i="2"/>
  <c r="M388" i="2"/>
  <c r="M417" i="2"/>
  <c r="M400" i="2"/>
  <c r="M376" i="2"/>
  <c r="M406" i="2"/>
  <c r="M413" i="2"/>
  <c r="M357" i="2"/>
  <c r="M375" i="2"/>
  <c r="M394" i="2"/>
  <c r="M209" i="2"/>
  <c r="M315" i="2"/>
  <c r="M316" i="2"/>
  <c r="M196" i="2"/>
  <c r="M325" i="2"/>
  <c r="M251" i="2"/>
  <c r="M311" i="2"/>
  <c r="M232" i="2"/>
  <c r="M389" i="2"/>
  <c r="M328" i="2"/>
  <c r="M307" i="2"/>
  <c r="M401" i="2"/>
  <c r="M352" i="2"/>
  <c r="M379" i="2"/>
  <c r="M370" i="2"/>
  <c r="M334" i="2"/>
  <c r="M324" i="2"/>
  <c r="M408" i="2"/>
  <c r="M346" i="2"/>
  <c r="M377" i="2"/>
  <c r="M310" i="2"/>
  <c r="M180" i="2"/>
  <c r="M230" i="2"/>
  <c r="M297" i="2"/>
  <c r="M338" i="2"/>
  <c r="M333" i="2"/>
  <c r="M364" i="2"/>
  <c r="M410" i="2"/>
  <c r="M347" i="2"/>
  <c r="M392" i="2"/>
  <c r="M216" i="2"/>
  <c r="M409" i="2"/>
  <c r="M260" i="2"/>
  <c r="M366" i="2"/>
  <c r="M335" i="2"/>
  <c r="M382" i="2"/>
  <c r="M412" i="2"/>
  <c r="M337" i="2"/>
  <c r="M330" i="2"/>
  <c r="M404" i="2"/>
  <c r="M184" i="2"/>
  <c r="M228" i="2"/>
  <c r="M261" i="2"/>
  <c r="M312" i="2"/>
  <c r="M313" i="2"/>
  <c r="M402" i="2"/>
  <c r="M309" i="2"/>
  <c r="M286" i="2"/>
  <c r="M336" i="2"/>
  <c r="M287" i="2"/>
  <c r="M322" i="2"/>
  <c r="M282" i="2"/>
  <c r="M299" i="2"/>
  <c r="M403" i="2"/>
  <c r="M415" i="2"/>
  <c r="M383" i="2"/>
  <c r="M411" i="2"/>
  <c r="M273" i="2"/>
  <c r="M393" i="2"/>
  <c r="M407" i="2"/>
  <c r="M371" i="2"/>
  <c r="M291" i="2"/>
  <c r="M167" i="2"/>
  <c r="M359" i="2"/>
  <c r="M170" i="2"/>
  <c r="M288" i="2"/>
  <c r="M397" i="2"/>
  <c r="M391" i="2"/>
  <c r="M384" i="2"/>
  <c r="M303" i="2"/>
  <c r="M350" i="2"/>
  <c r="M344" i="2"/>
  <c r="M321" i="2"/>
  <c r="M358" i="2"/>
  <c r="M256" i="2"/>
  <c r="M396" i="2"/>
  <c r="M296" i="2"/>
  <c r="M248" i="2"/>
  <c r="M405" i="2"/>
  <c r="M160" i="2"/>
  <c r="T160" i="2" s="1"/>
  <c r="M171" i="2"/>
  <c r="M176" i="2"/>
  <c r="M197" i="2"/>
  <c r="M213" i="2"/>
  <c r="M222" i="2"/>
  <c r="M233" i="2"/>
  <c r="M236" i="2"/>
  <c r="M238" i="2"/>
  <c r="M258" i="2"/>
  <c r="M262" i="2"/>
  <c r="M268" i="2"/>
  <c r="M272" i="2"/>
  <c r="M279" i="2"/>
  <c r="M281" i="2"/>
  <c r="M304" i="2"/>
  <c r="M323" i="2"/>
  <c r="M342" i="2"/>
  <c r="M343" i="2"/>
  <c r="M362" i="2"/>
  <c r="M368" i="2"/>
  <c r="M369" i="2"/>
  <c r="M378" i="2"/>
  <c r="M395" i="2"/>
  <c r="Y419" i="2" l="1"/>
  <c r="AB419" i="2" s="1"/>
  <c r="H418" i="2"/>
  <c r="AM421" i="2"/>
  <c r="AP421" i="2"/>
  <c r="P420" i="2"/>
  <c r="F419" i="2"/>
  <c r="G419" i="2" s="1"/>
  <c r="Z418" i="2"/>
  <c r="AQ421" i="2"/>
  <c r="B422" i="2"/>
  <c r="AC421" i="2"/>
  <c r="AA421" i="2"/>
  <c r="W421" i="2"/>
  <c r="AJ421" i="2"/>
  <c r="K421" i="2"/>
  <c r="L420" i="2" s="1"/>
  <c r="M420" i="2" s="1"/>
  <c r="C421" i="2"/>
  <c r="P421" i="2" s="1"/>
  <c r="D420" i="2"/>
  <c r="U420" i="2" s="1"/>
  <c r="E420" i="2"/>
  <c r="M289" i="2"/>
  <c r="M301" i="2"/>
  <c r="M219" i="2"/>
  <c r="M181" i="2"/>
  <c r="M387" i="2"/>
  <c r="M276" i="2"/>
  <c r="M277" i="2"/>
  <c r="M331" i="2"/>
  <c r="M308" i="2"/>
  <c r="M294" i="2"/>
  <c r="N160" i="2"/>
  <c r="S160" i="2"/>
  <c r="I160" i="2"/>
  <c r="M265" i="2"/>
  <c r="M191" i="2"/>
  <c r="M249" i="2"/>
  <c r="M419" i="2"/>
  <c r="M345" i="2"/>
  <c r="M295" i="2"/>
  <c r="M271" i="2"/>
  <c r="M367" i="2"/>
  <c r="M221" i="2"/>
  <c r="M193" i="2"/>
  <c r="M241" i="2"/>
  <c r="H419" i="2" l="1"/>
  <c r="AP422" i="2"/>
  <c r="J421" i="2"/>
  <c r="F420" i="2"/>
  <c r="G420" i="2" s="1"/>
  <c r="V420" i="2"/>
  <c r="Z419" i="2"/>
  <c r="AQ422" i="2"/>
  <c r="B423" i="2"/>
  <c r="AJ422" i="2"/>
  <c r="AC422" i="2"/>
  <c r="AA422" i="2"/>
  <c r="W422" i="2"/>
  <c r="K422" i="2"/>
  <c r="L421" i="2" s="1"/>
  <c r="C422" i="2"/>
  <c r="P422" i="2" s="1"/>
  <c r="D421" i="2"/>
  <c r="U421" i="2" s="1"/>
  <c r="E421" i="2"/>
  <c r="V421" i="2" s="1"/>
  <c r="AK160" i="2"/>
  <c r="Q160" i="2"/>
  <c r="R160" i="2" s="1"/>
  <c r="AG160" i="2" s="1"/>
  <c r="Y420" i="2" l="1"/>
  <c r="AB420" i="2" s="1"/>
  <c r="BC420" i="2"/>
  <c r="BC421" i="2" s="1"/>
  <c r="Y421" i="2"/>
  <c r="H420" i="2"/>
  <c r="AP423" i="2"/>
  <c r="F421" i="2"/>
  <c r="G421" i="2" s="1"/>
  <c r="M421" i="2"/>
  <c r="J422" i="2"/>
  <c r="AA420" i="2"/>
  <c r="AD420" i="2" s="1"/>
  <c r="AD421" i="2" s="1"/>
  <c r="AD422" i="2" s="1"/>
  <c r="B424" i="2"/>
  <c r="AJ423" i="2"/>
  <c r="AA423" i="2"/>
  <c r="W423" i="2"/>
  <c r="AC423" i="2"/>
  <c r="C423" i="2"/>
  <c r="P423" i="2" s="1"/>
  <c r="K423" i="2"/>
  <c r="L422" i="2" s="1"/>
  <c r="D422" i="2"/>
  <c r="U422" i="2" s="1"/>
  <c r="E422" i="2"/>
  <c r="V422" i="2" s="1"/>
  <c r="AQ423" i="2"/>
  <c r="AH160" i="2"/>
  <c r="AI161" i="2" s="1"/>
  <c r="AE160" i="2"/>
  <c r="O160" i="2"/>
  <c r="S161" i="2"/>
  <c r="T161" i="2"/>
  <c r="Z420" i="2" l="1"/>
  <c r="Z421" i="2" s="1"/>
  <c r="AB421" i="2"/>
  <c r="BC422" i="2"/>
  <c r="AN161" i="2"/>
  <c r="AT160" i="2"/>
  <c r="AF161" i="2"/>
  <c r="AL160" i="2"/>
  <c r="BA160" i="2" s="1"/>
  <c r="Y422" i="2"/>
  <c r="H421" i="2"/>
  <c r="M422" i="2"/>
  <c r="AP424" i="2"/>
  <c r="J423" i="2"/>
  <c r="F422" i="2"/>
  <c r="G422" i="2" s="1"/>
  <c r="AD423" i="2"/>
  <c r="AQ424" i="2"/>
  <c r="E423" i="2"/>
  <c r="V423" i="2" s="1"/>
  <c r="D423" i="2"/>
  <c r="U423" i="2" s="1"/>
  <c r="AO161" i="2"/>
  <c r="AS161" i="2"/>
  <c r="B425" i="2"/>
  <c r="AJ424" i="2"/>
  <c r="AC424" i="2"/>
  <c r="AA424" i="2"/>
  <c r="W424" i="2"/>
  <c r="K424" i="2"/>
  <c r="L423" i="2" s="1"/>
  <c r="C424" i="2"/>
  <c r="J424" i="2" s="1"/>
  <c r="X161" i="2"/>
  <c r="I161" i="2"/>
  <c r="N161" i="2"/>
  <c r="AB422" i="2" l="1"/>
  <c r="BC423" i="2"/>
  <c r="BB161" i="2"/>
  <c r="Y423" i="2"/>
  <c r="H422" i="2"/>
  <c r="AP425" i="2"/>
  <c r="M423" i="2"/>
  <c r="AD424" i="2"/>
  <c r="P424" i="2"/>
  <c r="F423" i="2"/>
  <c r="G423" i="2" s="1"/>
  <c r="Z422" i="2"/>
  <c r="AQ425" i="2"/>
  <c r="D424" i="2"/>
  <c r="U424" i="2" s="1"/>
  <c r="E424" i="2"/>
  <c r="V424" i="2" s="1"/>
  <c r="AV161" i="2"/>
  <c r="AR161" i="2" s="1"/>
  <c r="B426" i="2"/>
  <c r="AJ425" i="2"/>
  <c r="AA425" i="2"/>
  <c r="AC425" i="2"/>
  <c r="W425" i="2"/>
  <c r="K425" i="2"/>
  <c r="L424" i="2" s="1"/>
  <c r="M424" i="2" s="1"/>
  <c r="C425" i="2"/>
  <c r="P425" i="2" s="1"/>
  <c r="AK161" i="2"/>
  <c r="Q161" i="2"/>
  <c r="R161" i="2" s="1"/>
  <c r="AG161" i="2" s="1"/>
  <c r="AB423" i="2" l="1"/>
  <c r="BC424" i="2"/>
  <c r="Y424" i="2"/>
  <c r="H423" i="2"/>
  <c r="AP426" i="2"/>
  <c r="AD425" i="2"/>
  <c r="J425" i="2"/>
  <c r="F424" i="2"/>
  <c r="G424" i="2" s="1"/>
  <c r="Z423" i="2"/>
  <c r="AQ426" i="2"/>
  <c r="AW161" i="2"/>
  <c r="AU161" i="2" s="1"/>
  <c r="D425" i="2"/>
  <c r="U425" i="2" s="1"/>
  <c r="E425" i="2"/>
  <c r="V425" i="2" s="1"/>
  <c r="B427" i="2"/>
  <c r="AC426" i="2"/>
  <c r="W426" i="2"/>
  <c r="AJ426" i="2"/>
  <c r="AA426" i="2"/>
  <c r="C426" i="2"/>
  <c r="P426" i="2" s="1"/>
  <c r="K426" i="2"/>
  <c r="L425" i="2" s="1"/>
  <c r="AH161" i="2"/>
  <c r="AI162" i="2" s="1"/>
  <c r="AE161" i="2"/>
  <c r="S162" i="2"/>
  <c r="T162" i="2"/>
  <c r="O161" i="2"/>
  <c r="AB424" i="2" l="1"/>
  <c r="BC425" i="2"/>
  <c r="AT161" i="2"/>
  <c r="AF162" i="2"/>
  <c r="AL161" i="2"/>
  <c r="BA161" i="2" s="1"/>
  <c r="Y425" i="2"/>
  <c r="H424" i="2"/>
  <c r="AM162" i="2"/>
  <c r="AN162" i="2"/>
  <c r="J426" i="2"/>
  <c r="AP427" i="2"/>
  <c r="M425" i="2"/>
  <c r="AD426" i="2"/>
  <c r="F425" i="2"/>
  <c r="G425" i="2" s="1"/>
  <c r="Z424" i="2"/>
  <c r="AO162" i="2"/>
  <c r="AS162" i="2"/>
  <c r="B428" i="2"/>
  <c r="AC427" i="2"/>
  <c r="AJ427" i="2"/>
  <c r="W427" i="2"/>
  <c r="AA427" i="2"/>
  <c r="K427" i="2"/>
  <c r="L426" i="2" s="1"/>
  <c r="C427" i="2"/>
  <c r="P427" i="2" s="1"/>
  <c r="E426" i="2"/>
  <c r="V426" i="2" s="1"/>
  <c r="D426" i="2"/>
  <c r="U426" i="2" s="1"/>
  <c r="AQ427" i="2"/>
  <c r="X162" i="2"/>
  <c r="I162" i="2"/>
  <c r="N162" i="2"/>
  <c r="AB425" i="2" l="1"/>
  <c r="BC426" i="2"/>
  <c r="BB162" i="2"/>
  <c r="Y426" i="2"/>
  <c r="H425" i="2"/>
  <c r="M426" i="2"/>
  <c r="AM428" i="2"/>
  <c r="AP428" i="2"/>
  <c r="AD427" i="2"/>
  <c r="J427" i="2"/>
  <c r="F426" i="2"/>
  <c r="G426" i="2" s="1"/>
  <c r="Z425" i="2"/>
  <c r="Q162" i="2"/>
  <c r="R162" i="2" s="1"/>
  <c r="B429" i="2"/>
  <c r="AC428" i="2"/>
  <c r="AA428" i="2"/>
  <c r="AJ428" i="2"/>
  <c r="W428" i="2"/>
  <c r="C428" i="2"/>
  <c r="J428" i="2" s="1"/>
  <c r="K428" i="2"/>
  <c r="L427" i="2" s="1"/>
  <c r="AQ428" i="2"/>
  <c r="E427" i="2"/>
  <c r="V427" i="2" s="1"/>
  <c r="D427" i="2"/>
  <c r="U427" i="2" s="1"/>
  <c r="AV162" i="2"/>
  <c r="AR162" i="2" s="1"/>
  <c r="AK162" i="2"/>
  <c r="AB426" i="2" l="1"/>
  <c r="BC427" i="2"/>
  <c r="AE162" i="2"/>
  <c r="AG162" i="2"/>
  <c r="Y427" i="2"/>
  <c r="H426" i="2"/>
  <c r="M427" i="2"/>
  <c r="AM429" i="2"/>
  <c r="AP429" i="2"/>
  <c r="AD428" i="2"/>
  <c r="AQ429" i="2"/>
  <c r="P428" i="2"/>
  <c r="F427" i="2"/>
  <c r="G427" i="2" s="1"/>
  <c r="AH162" i="2"/>
  <c r="AI163" i="2" s="1"/>
  <c r="Z426" i="2"/>
  <c r="T163" i="2"/>
  <c r="S163" i="2"/>
  <c r="O162" i="2"/>
  <c r="AW162" i="2"/>
  <c r="AU162" i="2" s="1"/>
  <c r="D428" i="2"/>
  <c r="U428" i="2" s="1"/>
  <c r="E428" i="2"/>
  <c r="B430" i="2"/>
  <c r="AC429" i="2"/>
  <c r="AJ429" i="2"/>
  <c r="AA429" i="2"/>
  <c r="W429" i="2"/>
  <c r="K429" i="2"/>
  <c r="L428" i="2" s="1"/>
  <c r="M428" i="2" s="1"/>
  <c r="C429" i="2"/>
  <c r="J429" i="2" s="1"/>
  <c r="AB427" i="2" l="1"/>
  <c r="AN163" i="2"/>
  <c r="AT162" i="2"/>
  <c r="AF163" i="2"/>
  <c r="AL162" i="2"/>
  <c r="BA162" i="2" s="1"/>
  <c r="H427" i="2"/>
  <c r="AM163" i="2"/>
  <c r="AM430" i="2"/>
  <c r="AP430" i="2"/>
  <c r="AD429" i="2"/>
  <c r="X163" i="2"/>
  <c r="P429" i="2"/>
  <c r="Z427" i="2"/>
  <c r="F428" i="2"/>
  <c r="G428" i="2" s="1"/>
  <c r="V428" i="2"/>
  <c r="Y428" i="2" s="1"/>
  <c r="AQ430" i="2"/>
  <c r="N163" i="2"/>
  <c r="I163" i="2"/>
  <c r="AS163" i="2"/>
  <c r="AO163" i="2"/>
  <c r="B431" i="2"/>
  <c r="AJ430" i="2"/>
  <c r="AC430" i="2"/>
  <c r="W430" i="2"/>
  <c r="AA430" i="2"/>
  <c r="K430" i="2"/>
  <c r="L429" i="2" s="1"/>
  <c r="M429" i="2" s="1"/>
  <c r="C430" i="2"/>
  <c r="P430" i="2" s="1"/>
  <c r="D429" i="2"/>
  <c r="U429" i="2" s="1"/>
  <c r="E429" i="2"/>
  <c r="V429" i="2" s="1"/>
  <c r="AB428" i="2" l="1"/>
  <c r="BC428" i="2"/>
  <c r="BC429" i="2" s="1"/>
  <c r="AK163" i="2"/>
  <c r="BB163" i="2"/>
  <c r="Y429" i="2"/>
  <c r="H428" i="2"/>
  <c r="AM431" i="2"/>
  <c r="AP431" i="2"/>
  <c r="AD430" i="2"/>
  <c r="F429" i="2"/>
  <c r="G429" i="2" s="1"/>
  <c r="J430" i="2"/>
  <c r="Z428" i="2"/>
  <c r="AV163" i="2"/>
  <c r="AR163" i="2" s="1"/>
  <c r="AW163" i="2" s="1"/>
  <c r="Q163" i="2"/>
  <c r="R163" i="2" s="1"/>
  <c r="AU431" i="2"/>
  <c r="B432" i="2"/>
  <c r="AJ431" i="2"/>
  <c r="AC431" i="2"/>
  <c r="W431" i="2"/>
  <c r="AA431" i="2"/>
  <c r="C431" i="2"/>
  <c r="P431" i="2" s="1"/>
  <c r="K431" i="2"/>
  <c r="L430" i="2" s="1"/>
  <c r="D430" i="2"/>
  <c r="U430" i="2" s="1"/>
  <c r="E430" i="2"/>
  <c r="V430" i="2" s="1"/>
  <c r="AQ431" i="2"/>
  <c r="AB429" i="2" l="1"/>
  <c r="BC430" i="2"/>
  <c r="T164" i="2"/>
  <c r="AG163" i="2"/>
  <c r="Y430" i="2"/>
  <c r="H429" i="2"/>
  <c r="AD431" i="2"/>
  <c r="AM432" i="2"/>
  <c r="AP432" i="2"/>
  <c r="M430" i="2"/>
  <c r="AU163" i="2"/>
  <c r="F430" i="2"/>
  <c r="G430" i="2" s="1"/>
  <c r="AH163" i="2"/>
  <c r="AI164" i="2" s="1"/>
  <c r="AE163" i="2"/>
  <c r="J431" i="2"/>
  <c r="Z429" i="2"/>
  <c r="S164" i="2"/>
  <c r="O163" i="2"/>
  <c r="AQ432" i="2"/>
  <c r="E431" i="2"/>
  <c r="V431" i="2" s="1"/>
  <c r="D431" i="2"/>
  <c r="U431" i="2" s="1"/>
  <c r="B433" i="2"/>
  <c r="AC432" i="2"/>
  <c r="W432" i="2"/>
  <c r="K432" i="2"/>
  <c r="L431" i="2" s="1"/>
  <c r="C432" i="2"/>
  <c r="P432" i="2" s="1"/>
  <c r="AB430" i="2" l="1"/>
  <c r="BC431" i="2"/>
  <c r="AT163" i="2"/>
  <c r="AF164" i="2"/>
  <c r="AL163" i="2"/>
  <c r="BA163" i="2" s="1"/>
  <c r="Y431" i="2"/>
  <c r="N164" i="2"/>
  <c r="AN164" i="2"/>
  <c r="H430" i="2"/>
  <c r="AP433" i="2"/>
  <c r="AM433" i="2"/>
  <c r="M431" i="2"/>
  <c r="F431" i="2"/>
  <c r="G431" i="2" s="1"/>
  <c r="J432" i="2"/>
  <c r="X164" i="2"/>
  <c r="I164" i="2"/>
  <c r="AO164" i="2"/>
  <c r="AS164" i="2"/>
  <c r="Z430" i="2"/>
  <c r="AQ433" i="2"/>
  <c r="B434" i="2"/>
  <c r="AJ433" i="2"/>
  <c r="AA433" i="2"/>
  <c r="AC433" i="2"/>
  <c r="W433" i="2"/>
  <c r="K433" i="2"/>
  <c r="L432" i="2" s="1"/>
  <c r="C433" i="2"/>
  <c r="P433" i="2" s="1"/>
  <c r="E432" i="2"/>
  <c r="V432" i="2" s="1"/>
  <c r="D432" i="2"/>
  <c r="U432" i="2" s="1"/>
  <c r="AB431" i="2" l="1"/>
  <c r="BC432" i="2"/>
  <c r="BB164" i="2"/>
  <c r="AK164" i="2"/>
  <c r="Y432" i="2"/>
  <c r="H431" i="2"/>
  <c r="AP434" i="2"/>
  <c r="M432" i="2"/>
  <c r="Z431" i="2"/>
  <c r="F432" i="2"/>
  <c r="G432" i="2" s="1"/>
  <c r="J433" i="2"/>
  <c r="AV164" i="2"/>
  <c r="AR164" i="2" s="1"/>
  <c r="AW164" i="2" s="1"/>
  <c r="Q164" i="2"/>
  <c r="B435" i="2"/>
  <c r="AJ434" i="2"/>
  <c r="AA434" i="2"/>
  <c r="W434" i="2"/>
  <c r="AC434" i="2"/>
  <c r="C434" i="2"/>
  <c r="P434" i="2" s="1"/>
  <c r="K434" i="2"/>
  <c r="L433" i="2" s="1"/>
  <c r="D433" i="2"/>
  <c r="U433" i="2" s="1"/>
  <c r="E433" i="2"/>
  <c r="V433" i="2" s="1"/>
  <c r="AQ434" i="2"/>
  <c r="AB432" i="2" l="1"/>
  <c r="BC433" i="2"/>
  <c r="Y433" i="2"/>
  <c r="AU164" i="2"/>
  <c r="H432" i="2"/>
  <c r="AA432" i="2"/>
  <c r="AD432" i="2" s="1"/>
  <c r="AD433" i="2" s="1"/>
  <c r="AD434" i="2" s="1"/>
  <c r="AM435" i="2"/>
  <c r="AP435" i="2"/>
  <c r="M433" i="2"/>
  <c r="J434" i="2"/>
  <c r="F433" i="2"/>
  <c r="G433" i="2" s="1"/>
  <c r="R164" i="2"/>
  <c r="AG164" i="2" s="1"/>
  <c r="O164" i="2"/>
  <c r="Z432" i="2"/>
  <c r="AQ435" i="2"/>
  <c r="D434" i="2"/>
  <c r="U434" i="2" s="1"/>
  <c r="E434" i="2"/>
  <c r="V434" i="2" s="1"/>
  <c r="B436" i="2"/>
  <c r="AC435" i="2"/>
  <c r="AJ435" i="2"/>
  <c r="AA435" i="2"/>
  <c r="W435" i="2"/>
  <c r="K435" i="2"/>
  <c r="L434" i="2" s="1"/>
  <c r="C435" i="2"/>
  <c r="P435" i="2" s="1"/>
  <c r="AB433" i="2" l="1"/>
  <c r="BC434" i="2"/>
  <c r="AN165" i="2"/>
  <c r="Y434" i="2"/>
  <c r="H433" i="2"/>
  <c r="AM436" i="2"/>
  <c r="AP436" i="2"/>
  <c r="J435" i="2"/>
  <c r="M434" i="2"/>
  <c r="AD435" i="2"/>
  <c r="F434" i="2"/>
  <c r="G434" i="2" s="1"/>
  <c r="I165" i="2"/>
  <c r="N165" i="2"/>
  <c r="AS165" i="2"/>
  <c r="AO165" i="2"/>
  <c r="X165" i="2"/>
  <c r="S165" i="2"/>
  <c r="T165" i="2"/>
  <c r="AE164" i="2"/>
  <c r="AH164" i="2"/>
  <c r="AI165" i="2" s="1"/>
  <c r="Z433" i="2"/>
  <c r="B437" i="2"/>
  <c r="AC436" i="2"/>
  <c r="AJ436" i="2"/>
  <c r="AA436" i="2"/>
  <c r="W436" i="2"/>
  <c r="C436" i="2"/>
  <c r="J436" i="2" s="1"/>
  <c r="K436" i="2"/>
  <c r="L435" i="2" s="1"/>
  <c r="E435" i="2"/>
  <c r="V435" i="2" s="1"/>
  <c r="D435" i="2"/>
  <c r="U435" i="2" s="1"/>
  <c r="AQ436" i="2"/>
  <c r="AB434" i="2" l="1"/>
  <c r="BC435" i="2"/>
  <c r="AD436" i="2"/>
  <c r="AL164" i="2"/>
  <c r="BA164" i="2" s="1"/>
  <c r="AT164" i="2"/>
  <c r="BB165" i="2" s="1"/>
  <c r="Y435" i="2"/>
  <c r="H434" i="2"/>
  <c r="AP437" i="2"/>
  <c r="F435" i="2"/>
  <c r="G435" i="2" s="1"/>
  <c r="M435" i="2"/>
  <c r="P436" i="2"/>
  <c r="AF165" i="2"/>
  <c r="AK165" i="2" s="1"/>
  <c r="Q165" i="2"/>
  <c r="Z434" i="2"/>
  <c r="AQ437" i="2"/>
  <c r="D436" i="2"/>
  <c r="U436" i="2" s="1"/>
  <c r="E436" i="2"/>
  <c r="B438" i="2"/>
  <c r="AC437" i="2"/>
  <c r="AA437" i="2"/>
  <c r="AJ437" i="2"/>
  <c r="W437" i="2"/>
  <c r="K437" i="2"/>
  <c r="L436" i="2" s="1"/>
  <c r="M436" i="2" s="1"/>
  <c r="C437" i="2"/>
  <c r="J437" i="2" s="1"/>
  <c r="AB435" i="2" l="1"/>
  <c r="AD437" i="2"/>
  <c r="H435" i="2"/>
  <c r="AP438" i="2"/>
  <c r="AM438" i="2"/>
  <c r="P437" i="2"/>
  <c r="AV165" i="2"/>
  <c r="AR165" i="2" s="1"/>
  <c r="AW165" i="2" s="1"/>
  <c r="AU165" i="2" s="1"/>
  <c r="R165" i="2"/>
  <c r="AG165" i="2" s="1"/>
  <c r="O165" i="2"/>
  <c r="F436" i="2"/>
  <c r="G436" i="2" s="1"/>
  <c r="V436" i="2"/>
  <c r="Z435" i="2"/>
  <c r="AQ438" i="2"/>
  <c r="B439" i="2"/>
  <c r="AA438" i="2"/>
  <c r="AC438" i="2"/>
  <c r="AJ438" i="2"/>
  <c r="W438" i="2"/>
  <c r="K438" i="2"/>
  <c r="L437" i="2" s="1"/>
  <c r="M437" i="2" s="1"/>
  <c r="C438" i="2"/>
  <c r="J438" i="2" s="1"/>
  <c r="D437" i="2"/>
  <c r="U437" i="2" s="1"/>
  <c r="E437" i="2"/>
  <c r="V437" i="2" s="1"/>
  <c r="AD438" i="2" l="1"/>
  <c r="Y436" i="2"/>
  <c r="AB436" i="2" s="1"/>
  <c r="BC436" i="2"/>
  <c r="BC437" i="2" s="1"/>
  <c r="AN166" i="2"/>
  <c r="Y437" i="2"/>
  <c r="H436" i="2"/>
  <c r="F437" i="2"/>
  <c r="G437" i="2" s="1"/>
  <c r="AP439" i="2"/>
  <c r="AM439" i="2"/>
  <c r="P438" i="2"/>
  <c r="I166" i="2"/>
  <c r="X166" i="2"/>
  <c r="AO166" i="2"/>
  <c r="N166" i="2"/>
  <c r="AS166" i="2"/>
  <c r="T166" i="2"/>
  <c r="AE165" i="2"/>
  <c r="AH165" i="2"/>
  <c r="AI166" i="2" s="1"/>
  <c r="S166" i="2"/>
  <c r="B440" i="2"/>
  <c r="AJ439" i="2"/>
  <c r="W439" i="2"/>
  <c r="AC439" i="2"/>
  <c r="AA439" i="2"/>
  <c r="AD439" i="2" s="1"/>
  <c r="C439" i="2"/>
  <c r="J439" i="2" s="1"/>
  <c r="K439" i="2"/>
  <c r="L438" i="2" s="1"/>
  <c r="M438" i="2" s="1"/>
  <c r="D438" i="2"/>
  <c r="U438" i="2" s="1"/>
  <c r="E438" i="2"/>
  <c r="V438" i="2" s="1"/>
  <c r="AQ439" i="2"/>
  <c r="Z436" i="2" l="1"/>
  <c r="Z437" i="2" s="1"/>
  <c r="BC438" i="2"/>
  <c r="AB437" i="2"/>
  <c r="AL165" i="2"/>
  <c r="BA165" i="2" s="1"/>
  <c r="AT165" i="2"/>
  <c r="BB166" i="2" s="1"/>
  <c r="Y438" i="2"/>
  <c r="H437" i="2"/>
  <c r="AM166" i="2"/>
  <c r="AM440" i="2"/>
  <c r="AP440" i="2"/>
  <c r="Q166" i="2"/>
  <c r="O166" i="2" s="1"/>
  <c r="AQ440" i="2"/>
  <c r="P439" i="2"/>
  <c r="F438" i="2"/>
  <c r="G438" i="2" s="1"/>
  <c r="AF166" i="2"/>
  <c r="AK166" i="2" s="1"/>
  <c r="B441" i="2"/>
  <c r="AJ440" i="2"/>
  <c r="AC440" i="2"/>
  <c r="AA440" i="2"/>
  <c r="AD440" i="2" s="1"/>
  <c r="W440" i="2"/>
  <c r="K440" i="2"/>
  <c r="L439" i="2" s="1"/>
  <c r="M439" i="2" s="1"/>
  <c r="C440" i="2"/>
  <c r="J440" i="2" s="1"/>
  <c r="E439" i="2"/>
  <c r="V439" i="2" s="1"/>
  <c r="D439" i="2"/>
  <c r="U439" i="2" s="1"/>
  <c r="AB438" i="2" l="1"/>
  <c r="BC439" i="2"/>
  <c r="AV166" i="2"/>
  <c r="AR166" i="2" s="1"/>
  <c r="AW166" i="2" s="1"/>
  <c r="AU166" i="2" s="1"/>
  <c r="AN167" i="2"/>
  <c r="Y439" i="2"/>
  <c r="H438" i="2"/>
  <c r="AP441" i="2"/>
  <c r="AM441" i="2"/>
  <c r="R166" i="2"/>
  <c r="F439" i="2"/>
  <c r="G439" i="2" s="1"/>
  <c r="P440" i="2"/>
  <c r="AS167" i="2"/>
  <c r="N167" i="2"/>
  <c r="I167" i="2"/>
  <c r="AO167" i="2"/>
  <c r="X167" i="2"/>
  <c r="Z438" i="2"/>
  <c r="AQ441" i="2"/>
  <c r="B442" i="2"/>
  <c r="AJ441" i="2"/>
  <c r="AA441" i="2"/>
  <c r="AD441" i="2" s="1"/>
  <c r="W441" i="2"/>
  <c r="AC441" i="2"/>
  <c r="C441" i="2"/>
  <c r="J441" i="2" s="1"/>
  <c r="K441" i="2"/>
  <c r="L440" i="2" s="1"/>
  <c r="M440" i="2" s="1"/>
  <c r="E440" i="2"/>
  <c r="D440" i="2"/>
  <c r="U440" i="2" s="1"/>
  <c r="AB439" i="2" l="1"/>
  <c r="AH166" i="2"/>
  <c r="AI167" i="2" s="1"/>
  <c r="AG166" i="2"/>
  <c r="H439" i="2"/>
  <c r="AM167" i="2"/>
  <c r="AM442" i="2"/>
  <c r="AP442" i="2"/>
  <c r="T167" i="2"/>
  <c r="S167" i="2"/>
  <c r="AE166" i="2"/>
  <c r="P441" i="2"/>
  <c r="F440" i="2"/>
  <c r="G440" i="2" s="1"/>
  <c r="V440" i="2"/>
  <c r="Y440" i="2" s="1"/>
  <c r="Q167" i="2"/>
  <c r="Z439" i="2"/>
  <c r="AQ442" i="2"/>
  <c r="E441" i="2"/>
  <c r="D441" i="2"/>
  <c r="U441" i="2" s="1"/>
  <c r="B443" i="2"/>
  <c r="AC442" i="2"/>
  <c r="AJ442" i="2"/>
  <c r="AA442" i="2"/>
  <c r="AD442" i="2" s="1"/>
  <c r="W442" i="2"/>
  <c r="K442" i="2"/>
  <c r="L441" i="2" s="1"/>
  <c r="M441" i="2" s="1"/>
  <c r="C442" i="2"/>
  <c r="P442" i="2" s="1"/>
  <c r="AB440" i="2" l="1"/>
  <c r="BC440" i="2"/>
  <c r="AF167" i="2"/>
  <c r="AK167" i="2" s="1"/>
  <c r="AL166" i="2"/>
  <c r="BA166" i="2" s="1"/>
  <c r="AT166" i="2"/>
  <c r="BB167" i="2" s="1"/>
  <c r="H440" i="2"/>
  <c r="AP443" i="2"/>
  <c r="R167" i="2"/>
  <c r="J442" i="2"/>
  <c r="O167" i="2"/>
  <c r="F441" i="2"/>
  <c r="G441" i="2" s="1"/>
  <c r="V441" i="2"/>
  <c r="Y441" i="2" s="1"/>
  <c r="Z440" i="2"/>
  <c r="AU443" i="2"/>
  <c r="E442" i="2"/>
  <c r="V442" i="2" s="1"/>
  <c r="D442" i="2"/>
  <c r="U442" i="2" s="1"/>
  <c r="AQ443" i="2"/>
  <c r="B444" i="2"/>
  <c r="AC443" i="2"/>
  <c r="W443" i="2"/>
  <c r="AJ443" i="2"/>
  <c r="AA443" i="2"/>
  <c r="AD443" i="2" s="1"/>
  <c r="K443" i="2"/>
  <c r="L442" i="2" s="1"/>
  <c r="C443" i="2"/>
  <c r="J443" i="2" s="1"/>
  <c r="BC441" i="2" l="1"/>
  <c r="BC442" i="2" s="1"/>
  <c r="AB441" i="2"/>
  <c r="T168" i="2"/>
  <c r="AG167" i="2"/>
  <c r="Y442" i="2"/>
  <c r="H441" i="2"/>
  <c r="AO168" i="2"/>
  <c r="AN168" i="2"/>
  <c r="AH167" i="2"/>
  <c r="AM444" i="2"/>
  <c r="AP444" i="2"/>
  <c r="S168" i="2"/>
  <c r="AE167" i="2"/>
  <c r="AV167" i="2"/>
  <c r="AR167" i="2" s="1"/>
  <c r="AW167" i="2" s="1"/>
  <c r="M442" i="2"/>
  <c r="AS168" i="2"/>
  <c r="I168" i="2"/>
  <c r="X168" i="2"/>
  <c r="N168" i="2"/>
  <c r="P443" i="2"/>
  <c r="F442" i="2"/>
  <c r="G442" i="2" s="1"/>
  <c r="Z441" i="2"/>
  <c r="D443" i="2"/>
  <c r="U443" i="2" s="1"/>
  <c r="E443" i="2"/>
  <c r="V443" i="2" s="1"/>
  <c r="B445" i="2"/>
  <c r="AC444" i="2"/>
  <c r="W444" i="2"/>
  <c r="C444" i="2"/>
  <c r="P444" i="2" s="1"/>
  <c r="K444" i="2"/>
  <c r="L443" i="2" s="1"/>
  <c r="M443" i="2" s="1"/>
  <c r="AQ444" i="2"/>
  <c r="AB442" i="2" l="1"/>
  <c r="BC443" i="2"/>
  <c r="AL167" i="2"/>
  <c r="BA167" i="2" s="1"/>
  <c r="Y443" i="2"/>
  <c r="H442" i="2"/>
  <c r="AM445" i="2"/>
  <c r="AP445" i="2"/>
  <c r="AJ168" i="2"/>
  <c r="AT167" i="2" s="1"/>
  <c r="BB168" i="2" s="1"/>
  <c r="AF168" i="2"/>
  <c r="F443" i="2"/>
  <c r="G443" i="2" s="1"/>
  <c r="Q168" i="2"/>
  <c r="R168" i="2" s="1"/>
  <c r="J444" i="2"/>
  <c r="Z442" i="2"/>
  <c r="AQ445" i="2"/>
  <c r="B446" i="2"/>
  <c r="AJ445" i="2"/>
  <c r="AC445" i="2"/>
  <c r="AA445" i="2"/>
  <c r="W445" i="2"/>
  <c r="C445" i="2"/>
  <c r="P445" i="2" s="1"/>
  <c r="K445" i="2"/>
  <c r="L444" i="2" s="1"/>
  <c r="D444" i="2"/>
  <c r="U444" i="2" s="1"/>
  <c r="E444" i="2"/>
  <c r="AB443" i="2" l="1"/>
  <c r="T169" i="2"/>
  <c r="AG168" i="2"/>
  <c r="H443" i="2"/>
  <c r="AM446" i="2"/>
  <c r="AP446" i="2"/>
  <c r="AV168" i="2"/>
  <c r="AR168" i="2" s="1"/>
  <c r="AW168" i="2" s="1"/>
  <c r="AU168" i="2" s="1"/>
  <c r="AI168" i="2"/>
  <c r="AK168" i="2" s="1"/>
  <c r="M444" i="2"/>
  <c r="AE168" i="2"/>
  <c r="S169" i="2"/>
  <c r="O168" i="2"/>
  <c r="J445" i="2"/>
  <c r="AQ446" i="2"/>
  <c r="F444" i="2"/>
  <c r="G444" i="2" s="1"/>
  <c r="V444" i="2"/>
  <c r="Y444" i="2" s="1"/>
  <c r="Z443" i="2"/>
  <c r="B447" i="2"/>
  <c r="AA446" i="2"/>
  <c r="AC446" i="2"/>
  <c r="AJ446" i="2"/>
  <c r="W446" i="2"/>
  <c r="C446" i="2"/>
  <c r="J446" i="2" s="1"/>
  <c r="K446" i="2"/>
  <c r="L445" i="2" s="1"/>
  <c r="D445" i="2"/>
  <c r="U445" i="2" s="1"/>
  <c r="E445" i="2"/>
  <c r="V445" i="2" s="1"/>
  <c r="AB444" i="2" l="1"/>
  <c r="BC444" i="2"/>
  <c r="BC445" i="2" s="1"/>
  <c r="AN169" i="2"/>
  <c r="AF169" i="2"/>
  <c r="Y445" i="2"/>
  <c r="H444" i="2"/>
  <c r="AO169" i="2"/>
  <c r="AM447" i="2"/>
  <c r="AP447" i="2"/>
  <c r="AH168" i="2"/>
  <c r="AI169" i="2" s="1"/>
  <c r="M445" i="2"/>
  <c r="N169" i="2"/>
  <c r="I169" i="2"/>
  <c r="X169" i="2"/>
  <c r="AS169" i="2"/>
  <c r="P446" i="2"/>
  <c r="F445" i="2"/>
  <c r="G445" i="2" s="1"/>
  <c r="Z444" i="2"/>
  <c r="AA444" i="2"/>
  <c r="AD444" i="2" s="1"/>
  <c r="AD445" i="2" s="1"/>
  <c r="AD446" i="2" s="1"/>
  <c r="AQ447" i="2"/>
  <c r="D446" i="2"/>
  <c r="U446" i="2" s="1"/>
  <c r="E446" i="2"/>
  <c r="V446" i="2" s="1"/>
  <c r="B448" i="2"/>
  <c r="AJ447" i="2"/>
  <c r="AA447" i="2"/>
  <c r="W447" i="2"/>
  <c r="AC447" i="2"/>
  <c r="C447" i="2"/>
  <c r="J447" i="2" s="1"/>
  <c r="K447" i="2"/>
  <c r="L446" i="2" s="1"/>
  <c r="M446" i="2" s="1"/>
  <c r="BC446" i="2" l="1"/>
  <c r="AB445" i="2"/>
  <c r="AT168" i="2"/>
  <c r="BB169" i="2" s="1"/>
  <c r="AL168" i="2"/>
  <c r="BA168" i="2" s="1"/>
  <c r="Y446" i="2"/>
  <c r="H445" i="2"/>
  <c r="AM169" i="2"/>
  <c r="AM448" i="2"/>
  <c r="AP448" i="2"/>
  <c r="AK169" i="2"/>
  <c r="Q169" i="2"/>
  <c r="R169" i="2" s="1"/>
  <c r="AG169" i="2" s="1"/>
  <c r="P447" i="2"/>
  <c r="F446" i="2"/>
  <c r="G446" i="2" s="1"/>
  <c r="AD447" i="2"/>
  <c r="Z445" i="2"/>
  <c r="AQ448" i="2"/>
  <c r="D447" i="2"/>
  <c r="U447" i="2" s="1"/>
  <c r="E447" i="2"/>
  <c r="V447" i="2" s="1"/>
  <c r="B449" i="2"/>
  <c r="AJ448" i="2"/>
  <c r="AC448" i="2"/>
  <c r="AA448" i="2"/>
  <c r="W448" i="2"/>
  <c r="K448" i="2"/>
  <c r="L447" i="2" s="1"/>
  <c r="M447" i="2" s="1"/>
  <c r="C448" i="2"/>
  <c r="J448" i="2" s="1"/>
  <c r="AV169" i="2" l="1"/>
  <c r="AR169" i="2" s="1"/>
  <c r="AW169" i="2" s="1"/>
  <c r="AU169" i="2" s="1"/>
  <c r="AB446" i="2"/>
  <c r="BC447" i="2"/>
  <c r="Y447" i="2"/>
  <c r="H446" i="2"/>
  <c r="AP449" i="2"/>
  <c r="AM449" i="2"/>
  <c r="O169" i="2"/>
  <c r="S170" i="2"/>
  <c r="AE169" i="2"/>
  <c r="T170" i="2"/>
  <c r="AH169" i="2"/>
  <c r="AI170" i="2" s="1"/>
  <c r="AD448" i="2"/>
  <c r="P448" i="2"/>
  <c r="F447" i="2"/>
  <c r="G447" i="2" s="1"/>
  <c r="Z446" i="2"/>
  <c r="D448" i="2"/>
  <c r="U448" i="2" s="1"/>
  <c r="E448" i="2"/>
  <c r="B450" i="2"/>
  <c r="AJ449" i="2"/>
  <c r="AA449" i="2"/>
  <c r="AC449" i="2"/>
  <c r="W449" i="2"/>
  <c r="K449" i="2"/>
  <c r="L448" i="2" s="1"/>
  <c r="M448" i="2" s="1"/>
  <c r="C449" i="2"/>
  <c r="J449" i="2" s="1"/>
  <c r="AQ449" i="2"/>
  <c r="AB447" i="2" l="1"/>
  <c r="AT169" i="2"/>
  <c r="AL169" i="2"/>
  <c r="BA169" i="2" s="1"/>
  <c r="AM170" i="2"/>
  <c r="AN170" i="2"/>
  <c r="H447" i="2"/>
  <c r="AM450" i="2"/>
  <c r="AP450" i="2"/>
  <c r="I170" i="2"/>
  <c r="N170" i="2"/>
  <c r="AS170" i="2"/>
  <c r="X170" i="2"/>
  <c r="AO170" i="2"/>
  <c r="AD449" i="2"/>
  <c r="AF170" i="2"/>
  <c r="P449" i="2"/>
  <c r="F448" i="2"/>
  <c r="G448" i="2" s="1"/>
  <c r="V448" i="2"/>
  <c r="Y448" i="2" s="1"/>
  <c r="Z447" i="2"/>
  <c r="D449" i="2"/>
  <c r="U449" i="2" s="1"/>
  <c r="E449" i="2"/>
  <c r="V449" i="2" s="1"/>
  <c r="B451" i="2"/>
  <c r="AJ450" i="2"/>
  <c r="AC450" i="2"/>
  <c r="W450" i="2"/>
  <c r="AA450" i="2"/>
  <c r="C450" i="2"/>
  <c r="P450" i="2" s="1"/>
  <c r="K450" i="2"/>
  <c r="L449" i="2" s="1"/>
  <c r="M449" i="2" s="1"/>
  <c r="AQ450" i="2"/>
  <c r="AB448" i="2" l="1"/>
  <c r="BC448" i="2"/>
  <c r="BC449" i="2" s="1"/>
  <c r="BB170" i="2"/>
  <c r="Y449" i="2"/>
  <c r="H448" i="2"/>
  <c r="AP451" i="2"/>
  <c r="AM451" i="2"/>
  <c r="AK170" i="2"/>
  <c r="Q170" i="2"/>
  <c r="O170" i="2" s="1"/>
  <c r="AD450" i="2"/>
  <c r="AV170" i="2"/>
  <c r="AR170" i="2" s="1"/>
  <c r="AW170" i="2" s="1"/>
  <c r="F449" i="2"/>
  <c r="G449" i="2" s="1"/>
  <c r="J450" i="2"/>
  <c r="Z448" i="2"/>
  <c r="B452" i="2"/>
  <c r="AC451" i="2"/>
  <c r="AJ451" i="2"/>
  <c r="AA451" i="2"/>
  <c r="W451" i="2"/>
  <c r="C451" i="2"/>
  <c r="P451" i="2" s="1"/>
  <c r="K451" i="2"/>
  <c r="L450" i="2" s="1"/>
  <c r="D450" i="2"/>
  <c r="U450" i="2" s="1"/>
  <c r="E450" i="2"/>
  <c r="V450" i="2" s="1"/>
  <c r="AQ451" i="2"/>
  <c r="BC450" i="2" l="1"/>
  <c r="AB449" i="2"/>
  <c r="Y450" i="2"/>
  <c r="I171" i="2"/>
  <c r="AN171" i="2"/>
  <c r="H449" i="2"/>
  <c r="AM452" i="2"/>
  <c r="AP452" i="2"/>
  <c r="N171" i="2"/>
  <c r="X171" i="2"/>
  <c r="R170" i="2"/>
  <c r="AG170" i="2" s="1"/>
  <c r="AO171" i="2"/>
  <c r="AS171" i="2"/>
  <c r="AD451" i="2"/>
  <c r="M450" i="2"/>
  <c r="AU170" i="2"/>
  <c r="F450" i="2"/>
  <c r="G450" i="2" s="1"/>
  <c r="J451" i="2"/>
  <c r="Z449" i="2"/>
  <c r="AQ452" i="2"/>
  <c r="E451" i="2"/>
  <c r="V451" i="2" s="1"/>
  <c r="D451" i="2"/>
  <c r="U451" i="2" s="1"/>
  <c r="B453" i="2"/>
  <c r="AC452" i="2"/>
  <c r="AJ452" i="2"/>
  <c r="W452" i="2"/>
  <c r="AA452" i="2"/>
  <c r="C452" i="2"/>
  <c r="P452" i="2" s="1"/>
  <c r="K452" i="2"/>
  <c r="L451" i="2" s="1"/>
  <c r="AB450" i="2" l="1"/>
  <c r="BC451" i="2"/>
  <c r="Q171" i="2"/>
  <c r="O171" i="2" s="1"/>
  <c r="Y451" i="2"/>
  <c r="H450" i="2"/>
  <c r="AM453" i="2"/>
  <c r="AP453" i="2"/>
  <c r="AD452" i="2"/>
  <c r="AH170" i="2"/>
  <c r="AI171" i="2" s="1"/>
  <c r="T171" i="2"/>
  <c r="AE170" i="2"/>
  <c r="S171" i="2"/>
  <c r="F451" i="2"/>
  <c r="G451" i="2" s="1"/>
  <c r="M451" i="2"/>
  <c r="J452" i="2"/>
  <c r="Z450" i="2"/>
  <c r="AQ453" i="2"/>
  <c r="D452" i="2"/>
  <c r="U452" i="2" s="1"/>
  <c r="E452" i="2"/>
  <c r="B454" i="2"/>
  <c r="AJ453" i="2"/>
  <c r="AC453" i="2"/>
  <c r="AA453" i="2"/>
  <c r="W453" i="2"/>
  <c r="C453" i="2"/>
  <c r="J453" i="2" s="1"/>
  <c r="K453" i="2"/>
  <c r="L452" i="2" s="1"/>
  <c r="AT170" i="2" l="1"/>
  <c r="BB171" i="2" s="1"/>
  <c r="AB451" i="2"/>
  <c r="AN172" i="2"/>
  <c r="AS172" i="2"/>
  <c r="N172" i="2"/>
  <c r="I172" i="2"/>
  <c r="X172" i="2"/>
  <c r="AO172" i="2"/>
  <c r="AL170" i="2"/>
  <c r="BA170" i="2" s="1"/>
  <c r="H451" i="2"/>
  <c r="AD453" i="2"/>
  <c r="AM454" i="2"/>
  <c r="AP454" i="2"/>
  <c r="R171" i="2"/>
  <c r="AG171" i="2" s="1"/>
  <c r="AF171" i="2"/>
  <c r="AK171" i="2" s="1"/>
  <c r="P453" i="2"/>
  <c r="M452" i="2"/>
  <c r="Z451" i="2"/>
  <c r="F452" i="2"/>
  <c r="G452" i="2" s="1"/>
  <c r="V452" i="2"/>
  <c r="Y452" i="2" s="1"/>
  <c r="AQ454" i="2"/>
  <c r="B455" i="2"/>
  <c r="AA454" i="2"/>
  <c r="AC454" i="2"/>
  <c r="AJ454" i="2"/>
  <c r="W454" i="2"/>
  <c r="C454" i="2"/>
  <c r="P454" i="2" s="1"/>
  <c r="K454" i="2"/>
  <c r="L453" i="2" s="1"/>
  <c r="M453" i="2" s="1"/>
  <c r="E453" i="2"/>
  <c r="V453" i="2" s="1"/>
  <c r="D453" i="2"/>
  <c r="U453" i="2" s="1"/>
  <c r="AB452" i="2" l="1"/>
  <c r="AD454" i="2"/>
  <c r="BC452" i="2"/>
  <c r="BC453" i="2" s="1"/>
  <c r="Q172" i="2"/>
  <c r="O172" i="2" s="1"/>
  <c r="I173" i="2" s="1"/>
  <c r="Y453" i="2"/>
  <c r="H452" i="2"/>
  <c r="AP455" i="2"/>
  <c r="T172" i="2"/>
  <c r="AH171" i="2"/>
  <c r="AI172" i="2" s="1"/>
  <c r="S172" i="2"/>
  <c r="AV171" i="2"/>
  <c r="AR171" i="2" s="1"/>
  <c r="AW171" i="2" s="1"/>
  <c r="AU171" i="2" s="1"/>
  <c r="AE171" i="2"/>
  <c r="F453" i="2"/>
  <c r="G453" i="2" s="1"/>
  <c r="J454" i="2"/>
  <c r="Z452" i="2"/>
  <c r="AU455" i="2"/>
  <c r="B456" i="2"/>
  <c r="AA455" i="2"/>
  <c r="AD455" i="2" s="1"/>
  <c r="AC455" i="2"/>
  <c r="W455" i="2"/>
  <c r="AJ455" i="2"/>
  <c r="C455" i="2"/>
  <c r="J455" i="2" s="1"/>
  <c r="K455" i="2"/>
  <c r="L454" i="2" s="1"/>
  <c r="E454" i="2"/>
  <c r="V454" i="2" s="1"/>
  <c r="D454" i="2"/>
  <c r="U454" i="2" s="1"/>
  <c r="AQ455" i="2"/>
  <c r="AT171" i="2" l="1"/>
  <c r="BB172" i="2" s="1"/>
  <c r="AB453" i="2"/>
  <c r="BC454" i="2"/>
  <c r="AS173" i="2"/>
  <c r="N173" i="2"/>
  <c r="Q173" i="2" s="1"/>
  <c r="O173" i="2" s="1"/>
  <c r="X173" i="2"/>
  <c r="AO173" i="2"/>
  <c r="AN173" i="2"/>
  <c r="AF172" i="2"/>
  <c r="AK172" i="2" s="1"/>
  <c r="AL171" i="2"/>
  <c r="BA171" i="2" s="1"/>
  <c r="Y454" i="2"/>
  <c r="H453" i="2"/>
  <c r="AM172" i="2"/>
  <c r="AP456" i="2"/>
  <c r="R172" i="2"/>
  <c r="AG172" i="2" s="1"/>
  <c r="P455" i="2"/>
  <c r="AQ456" i="2"/>
  <c r="M454" i="2"/>
  <c r="F454" i="2"/>
  <c r="G454" i="2" s="1"/>
  <c r="Z453" i="2"/>
  <c r="B457" i="2"/>
  <c r="AC456" i="2"/>
  <c r="W456" i="2"/>
  <c r="C456" i="2"/>
  <c r="P456" i="2" s="1"/>
  <c r="K456" i="2"/>
  <c r="L455" i="2" s="1"/>
  <c r="M455" i="2" s="1"/>
  <c r="D455" i="2"/>
  <c r="U455" i="2" s="1"/>
  <c r="E455" i="2"/>
  <c r="V455" i="2" s="1"/>
  <c r="AB454" i="2" l="1"/>
  <c r="BC455" i="2"/>
  <c r="Y455" i="2"/>
  <c r="AS174" i="2"/>
  <c r="AN174" i="2"/>
  <c r="H454" i="2"/>
  <c r="N174" i="2"/>
  <c r="I174" i="2"/>
  <c r="AO174" i="2"/>
  <c r="X174" i="2"/>
  <c r="S173" i="2"/>
  <c r="AP457" i="2"/>
  <c r="AM457" i="2"/>
  <c r="AH172" i="2"/>
  <c r="AI173" i="2" s="1"/>
  <c r="T173" i="2"/>
  <c r="AE172" i="2"/>
  <c r="AV172" i="2"/>
  <c r="AR172" i="2" s="1"/>
  <c r="AW172" i="2" s="1"/>
  <c r="AU172" i="2" s="1"/>
  <c r="J456" i="2"/>
  <c r="F455" i="2"/>
  <c r="G455" i="2" s="1"/>
  <c r="AQ457" i="2"/>
  <c r="Z454" i="2"/>
  <c r="B458" i="2"/>
  <c r="AJ457" i="2"/>
  <c r="AA457" i="2"/>
  <c r="W457" i="2"/>
  <c r="AC457" i="2"/>
  <c r="C457" i="2"/>
  <c r="P457" i="2" s="1"/>
  <c r="K457" i="2"/>
  <c r="L456" i="2" s="1"/>
  <c r="D456" i="2"/>
  <c r="U456" i="2" s="1"/>
  <c r="E456" i="2"/>
  <c r="AB455" i="2" l="1"/>
  <c r="AT172" i="2"/>
  <c r="BB173" i="2" s="1"/>
  <c r="AF173" i="2"/>
  <c r="AK173" i="2" s="1"/>
  <c r="AL172" i="2"/>
  <c r="BA172" i="2" s="1"/>
  <c r="H455" i="2"/>
  <c r="Q174" i="2"/>
  <c r="O174" i="2" s="1"/>
  <c r="R173" i="2"/>
  <c r="AM173" i="2"/>
  <c r="AP458" i="2"/>
  <c r="M456" i="2"/>
  <c r="J457" i="2"/>
  <c r="AQ458" i="2"/>
  <c r="F456" i="2"/>
  <c r="G456" i="2" s="1"/>
  <c r="V456" i="2"/>
  <c r="Y456" i="2" s="1"/>
  <c r="Z455" i="2"/>
  <c r="D457" i="2"/>
  <c r="U457" i="2" s="1"/>
  <c r="E457" i="2"/>
  <c r="V457" i="2" s="1"/>
  <c r="B459" i="2"/>
  <c r="AJ458" i="2"/>
  <c r="W458" i="2"/>
  <c r="AA458" i="2"/>
  <c r="AC458" i="2"/>
  <c r="C458" i="2"/>
  <c r="P458" i="2" s="1"/>
  <c r="K458" i="2"/>
  <c r="L457" i="2" s="1"/>
  <c r="AB456" i="2" l="1"/>
  <c r="BC456" i="2"/>
  <c r="BC457" i="2" s="1"/>
  <c r="S174" i="2"/>
  <c r="AG173" i="2"/>
  <c r="Y457" i="2"/>
  <c r="AO175" i="2"/>
  <c r="AN175" i="2"/>
  <c r="H456" i="2"/>
  <c r="T174" i="2"/>
  <c r="AH173" i="2"/>
  <c r="AI174" i="2" s="1"/>
  <c r="N175" i="2"/>
  <c r="X175" i="2"/>
  <c r="I175" i="2"/>
  <c r="AS175" i="2"/>
  <c r="AE173" i="2"/>
  <c r="AP459" i="2"/>
  <c r="AM459" i="2"/>
  <c r="AV173" i="2"/>
  <c r="AR173" i="2" s="1"/>
  <c r="AW173" i="2" s="1"/>
  <c r="AU173" i="2" s="1"/>
  <c r="M457" i="2"/>
  <c r="J458" i="2"/>
  <c r="F457" i="2"/>
  <c r="G457" i="2" s="1"/>
  <c r="AA456" i="2"/>
  <c r="AD456" i="2" s="1"/>
  <c r="AD457" i="2" s="1"/>
  <c r="AD458" i="2" s="1"/>
  <c r="Z456" i="2"/>
  <c r="B460" i="2"/>
  <c r="AJ459" i="2"/>
  <c r="AC459" i="2"/>
  <c r="W459" i="2"/>
  <c r="AA459" i="2"/>
  <c r="K459" i="2"/>
  <c r="L458" i="2" s="1"/>
  <c r="C459" i="2"/>
  <c r="P459" i="2" s="1"/>
  <c r="D458" i="2"/>
  <c r="U458" i="2" s="1"/>
  <c r="E458" i="2"/>
  <c r="V458" i="2" s="1"/>
  <c r="AQ459" i="2"/>
  <c r="AB457" i="2" l="1"/>
  <c r="BC458" i="2"/>
  <c r="AT173" i="2"/>
  <c r="BB174" i="2" s="1"/>
  <c r="R174" i="2"/>
  <c r="AH174" i="2" s="1"/>
  <c r="AI175" i="2" s="1"/>
  <c r="AF174" i="2"/>
  <c r="AK174" i="2" s="1"/>
  <c r="AL173" i="2"/>
  <c r="BA173" i="2" s="1"/>
  <c r="Y458" i="2"/>
  <c r="H457" i="2"/>
  <c r="Q175" i="2"/>
  <c r="O175" i="2" s="1"/>
  <c r="AP460" i="2"/>
  <c r="AM460" i="2"/>
  <c r="F458" i="2"/>
  <c r="G458" i="2" s="1"/>
  <c r="M458" i="2"/>
  <c r="J459" i="2"/>
  <c r="AQ460" i="2"/>
  <c r="AD459" i="2"/>
  <c r="Z457" i="2"/>
  <c r="E459" i="2"/>
  <c r="V459" i="2" s="1"/>
  <c r="D459" i="2"/>
  <c r="U459" i="2" s="1"/>
  <c r="B461" i="2"/>
  <c r="AC460" i="2"/>
  <c r="AJ460" i="2"/>
  <c r="AA460" i="2"/>
  <c r="W460" i="2"/>
  <c r="C460" i="2"/>
  <c r="J460" i="2" s="1"/>
  <c r="K460" i="2"/>
  <c r="L459" i="2" s="1"/>
  <c r="AB458" i="2" l="1"/>
  <c r="BC459" i="2"/>
  <c r="AN176" i="2"/>
  <c r="S175" i="2"/>
  <c r="AG174" i="2"/>
  <c r="AE174" i="2"/>
  <c r="AF175" i="2" s="1"/>
  <c r="T175" i="2"/>
  <c r="AM175" i="2"/>
  <c r="Y459" i="2"/>
  <c r="AB459" i="2" s="1"/>
  <c r="H458" i="2"/>
  <c r="AV174" i="2"/>
  <c r="AR174" i="2" s="1"/>
  <c r="AW174" i="2" s="1"/>
  <c r="AU174" i="2" s="1"/>
  <c r="AP461" i="2"/>
  <c r="AM461" i="2"/>
  <c r="M459" i="2"/>
  <c r="AD460" i="2"/>
  <c r="P460" i="2"/>
  <c r="X176" i="2"/>
  <c r="AO176" i="2"/>
  <c r="I176" i="2"/>
  <c r="AS176" i="2"/>
  <c r="N176" i="2"/>
  <c r="F459" i="2"/>
  <c r="G459" i="2" s="1"/>
  <c r="Z458" i="2"/>
  <c r="AQ461" i="2"/>
  <c r="D460" i="2"/>
  <c r="U460" i="2" s="1"/>
  <c r="E460" i="2"/>
  <c r="V460" i="2" s="1"/>
  <c r="B462" i="2"/>
  <c r="AC461" i="2"/>
  <c r="AA461" i="2"/>
  <c r="W461" i="2"/>
  <c r="AJ461" i="2"/>
  <c r="K461" i="2"/>
  <c r="L460" i="2" s="1"/>
  <c r="M460" i="2" s="1"/>
  <c r="C461" i="2"/>
  <c r="P461" i="2" s="1"/>
  <c r="R175" i="2" l="1"/>
  <c r="S176" i="2" s="1"/>
  <c r="AK175" i="2"/>
  <c r="BC460" i="2"/>
  <c r="AL174" i="2"/>
  <c r="BA174" i="2" s="1"/>
  <c r="AT174" i="2"/>
  <c r="BB175" i="2" s="1"/>
  <c r="Y460" i="2"/>
  <c r="AB460" i="2" s="1"/>
  <c r="H459" i="2"/>
  <c r="AM462" i="2"/>
  <c r="AP462" i="2"/>
  <c r="Q176" i="2"/>
  <c r="AD461" i="2"/>
  <c r="AQ462" i="2"/>
  <c r="J461" i="2"/>
  <c r="F460" i="2"/>
  <c r="G460" i="2" s="1"/>
  <c r="Z459" i="2"/>
  <c r="B463" i="2"/>
  <c r="AJ462" i="2"/>
  <c r="AA462" i="2"/>
  <c r="AC462" i="2"/>
  <c r="W462" i="2"/>
  <c r="C462" i="2"/>
  <c r="J462" i="2" s="1"/>
  <c r="K462" i="2"/>
  <c r="L461" i="2" s="1"/>
  <c r="D461" i="2"/>
  <c r="U461" i="2" s="1"/>
  <c r="E461" i="2"/>
  <c r="V461" i="2" s="1"/>
  <c r="AE175" i="2" l="1"/>
  <c r="AF176" i="2" s="1"/>
  <c r="AH175" i="2"/>
  <c r="AI176" i="2" s="1"/>
  <c r="AG175" i="2"/>
  <c r="T176" i="2"/>
  <c r="R176" i="2" s="1"/>
  <c r="BC461" i="2"/>
  <c r="AV175" i="2"/>
  <c r="AR175" i="2" s="1"/>
  <c r="AW175" i="2" s="1"/>
  <c r="AU175" i="2" s="1"/>
  <c r="Y461" i="2"/>
  <c r="AB461" i="2" s="1"/>
  <c r="H460" i="2"/>
  <c r="AP463" i="2"/>
  <c r="AQ463" i="2"/>
  <c r="AD462" i="2"/>
  <c r="M461" i="2"/>
  <c r="O176" i="2"/>
  <c r="P462" i="2"/>
  <c r="F461" i="2"/>
  <c r="G461" i="2" s="1"/>
  <c r="Z460" i="2"/>
  <c r="B464" i="2"/>
  <c r="AA463" i="2"/>
  <c r="AJ463" i="2"/>
  <c r="W463" i="2"/>
  <c r="AC463" i="2"/>
  <c r="K463" i="2"/>
  <c r="L462" i="2" s="1"/>
  <c r="M462" i="2" s="1"/>
  <c r="C463" i="2"/>
  <c r="J463" i="2" s="1"/>
  <c r="D462" i="2"/>
  <c r="U462" i="2" s="1"/>
  <c r="E462" i="2"/>
  <c r="V462" i="2" s="1"/>
  <c r="AL175" i="2" l="1"/>
  <c r="BA175" i="2" s="1"/>
  <c r="AT175" i="2"/>
  <c r="BB176" i="2" s="1"/>
  <c r="AK176" i="2"/>
  <c r="BC462" i="2"/>
  <c r="AE176" i="2"/>
  <c r="AF177" i="2" s="1"/>
  <c r="AG176" i="2"/>
  <c r="Y462" i="2"/>
  <c r="AB462" i="2" s="1"/>
  <c r="H461" i="2"/>
  <c r="N177" i="2"/>
  <c r="AN177" i="2"/>
  <c r="AH176" i="2"/>
  <c r="AI177" i="2" s="1"/>
  <c r="T177" i="2"/>
  <c r="S177" i="2"/>
  <c r="AQ464" i="2"/>
  <c r="AM464" i="2"/>
  <c r="AP464" i="2"/>
  <c r="AD463" i="2"/>
  <c r="AO177" i="2"/>
  <c r="AS177" i="2"/>
  <c r="I177" i="2"/>
  <c r="X177" i="2"/>
  <c r="P463" i="2"/>
  <c r="F462" i="2"/>
  <c r="G462" i="2" s="1"/>
  <c r="Z461" i="2"/>
  <c r="B465" i="2"/>
  <c r="AJ464" i="2"/>
  <c r="AA464" i="2"/>
  <c r="AC464" i="2"/>
  <c r="W464" i="2"/>
  <c r="C464" i="2"/>
  <c r="P464" i="2" s="1"/>
  <c r="K464" i="2"/>
  <c r="L463" i="2" s="1"/>
  <c r="M463" i="2" s="1"/>
  <c r="E463" i="2"/>
  <c r="V463" i="2" s="1"/>
  <c r="D463" i="2"/>
  <c r="U463" i="2" s="1"/>
  <c r="AV176" i="2" l="1"/>
  <c r="AR176" i="2" s="1"/>
  <c r="AW176" i="2" s="1"/>
  <c r="AU176" i="2" s="1"/>
  <c r="BC463" i="2"/>
  <c r="AT176" i="2"/>
  <c r="BB177" i="2" s="1"/>
  <c r="AL176" i="2"/>
  <c r="BA176" i="2" s="1"/>
  <c r="Y463" i="2"/>
  <c r="AB463" i="2" s="1"/>
  <c r="H462" i="2"/>
  <c r="AK177" i="2"/>
  <c r="AD464" i="2"/>
  <c r="AM465" i="2"/>
  <c r="AP465" i="2"/>
  <c r="Q177" i="2"/>
  <c r="R177" i="2" s="1"/>
  <c r="F463" i="2"/>
  <c r="G463" i="2" s="1"/>
  <c r="J464" i="2"/>
  <c r="Z462" i="2"/>
  <c r="AQ465" i="2"/>
  <c r="B466" i="2"/>
  <c r="AJ465" i="2"/>
  <c r="AA465" i="2"/>
  <c r="AC465" i="2"/>
  <c r="W465" i="2"/>
  <c r="K465" i="2"/>
  <c r="L464" i="2" s="1"/>
  <c r="C465" i="2"/>
  <c r="J465" i="2" s="1"/>
  <c r="D464" i="2"/>
  <c r="U464" i="2" s="1"/>
  <c r="E464" i="2"/>
  <c r="V464" i="2" s="1"/>
  <c r="BC464" i="2" l="1"/>
  <c r="AV177" i="2"/>
  <c r="AR177" i="2" s="1"/>
  <c r="AW177" i="2" s="1"/>
  <c r="AU177" i="2" s="1"/>
  <c r="AH177" i="2"/>
  <c r="AI178" i="2" s="1"/>
  <c r="AG177" i="2"/>
  <c r="Y464" i="2"/>
  <c r="AB464" i="2" s="1"/>
  <c r="H463" i="2"/>
  <c r="AD465" i="2"/>
  <c r="AM466" i="2"/>
  <c r="AP466" i="2"/>
  <c r="O177" i="2"/>
  <c r="AE177" i="2"/>
  <c r="S178" i="2"/>
  <c r="T178" i="2"/>
  <c r="P465" i="2"/>
  <c r="M464" i="2"/>
  <c r="Z463" i="2"/>
  <c r="F464" i="2"/>
  <c r="G464" i="2" s="1"/>
  <c r="B467" i="2"/>
  <c r="AJ466" i="2"/>
  <c r="AC466" i="2"/>
  <c r="W466" i="2"/>
  <c r="AA466" i="2"/>
  <c r="C466" i="2"/>
  <c r="P466" i="2" s="1"/>
  <c r="K466" i="2"/>
  <c r="L465" i="2" s="1"/>
  <c r="M465" i="2" s="1"/>
  <c r="E465" i="2"/>
  <c r="V465" i="2" s="1"/>
  <c r="D465" i="2"/>
  <c r="U465" i="2" s="1"/>
  <c r="AQ466" i="2"/>
  <c r="BC465" i="2" l="1"/>
  <c r="AN178" i="2"/>
  <c r="AT177" i="2"/>
  <c r="AF178" i="2"/>
  <c r="AL177" i="2"/>
  <c r="BA177" i="2" s="1"/>
  <c r="Y465" i="2"/>
  <c r="AB465" i="2" s="1"/>
  <c r="H464" i="2"/>
  <c r="AM178" i="2"/>
  <c r="AD466" i="2"/>
  <c r="AP467" i="2"/>
  <c r="AS178" i="2"/>
  <c r="AO178" i="2"/>
  <c r="X178" i="2"/>
  <c r="I178" i="2"/>
  <c r="N178" i="2"/>
  <c r="F465" i="2"/>
  <c r="G465" i="2" s="1"/>
  <c r="J466" i="2"/>
  <c r="AQ467" i="2"/>
  <c r="Z464" i="2"/>
  <c r="AU467" i="2"/>
  <c r="B468" i="2"/>
  <c r="AJ467" i="2"/>
  <c r="AC467" i="2"/>
  <c r="W467" i="2"/>
  <c r="AA467" i="2"/>
  <c r="K467" i="2"/>
  <c r="L466" i="2" s="1"/>
  <c r="C467" i="2"/>
  <c r="J467" i="2" s="1"/>
  <c r="E466" i="2"/>
  <c r="V466" i="2" s="1"/>
  <c r="D466" i="2"/>
  <c r="U466" i="2" s="1"/>
  <c r="BC466" i="2" l="1"/>
  <c r="BB178" i="2"/>
  <c r="AK178" i="2"/>
  <c r="Y466" i="2"/>
  <c r="AB466" i="2" s="1"/>
  <c r="H465" i="2"/>
  <c r="AD467" i="2"/>
  <c r="Q178" i="2"/>
  <c r="R178" i="2" s="1"/>
  <c r="AM468" i="2"/>
  <c r="AP468" i="2"/>
  <c r="AV178" i="2"/>
  <c r="AR178" i="2" s="1"/>
  <c r="AW178" i="2" s="1"/>
  <c r="AU178" i="2" s="1"/>
  <c r="P467" i="2"/>
  <c r="AQ468" i="2"/>
  <c r="F466" i="2"/>
  <c r="G466" i="2" s="1"/>
  <c r="M466" i="2"/>
  <c r="Z465" i="2"/>
  <c r="B469" i="2"/>
  <c r="AC468" i="2"/>
  <c r="W468" i="2"/>
  <c r="C468" i="2"/>
  <c r="P468" i="2" s="1"/>
  <c r="K468" i="2"/>
  <c r="L467" i="2" s="1"/>
  <c r="M467" i="2" s="1"/>
  <c r="E467" i="2"/>
  <c r="V467" i="2" s="1"/>
  <c r="D467" i="2"/>
  <c r="U467" i="2" s="1"/>
  <c r="BC467" i="2" l="1"/>
  <c r="AE178" i="2"/>
  <c r="AF179" i="2" s="1"/>
  <c r="AG178" i="2"/>
  <c r="Y467" i="2"/>
  <c r="AB467" i="2" s="1"/>
  <c r="H466" i="2"/>
  <c r="AH178" i="2"/>
  <c r="AI179" i="2" s="1"/>
  <c r="O178" i="2"/>
  <c r="S179" i="2"/>
  <c r="T179" i="2"/>
  <c r="AP469" i="2"/>
  <c r="AM469" i="2"/>
  <c r="AQ469" i="2"/>
  <c r="F467" i="2"/>
  <c r="G467" i="2" s="1"/>
  <c r="J468" i="2"/>
  <c r="Z466" i="2"/>
  <c r="D468" i="2"/>
  <c r="U468" i="2" s="1"/>
  <c r="E468" i="2"/>
  <c r="V468" i="2" s="1"/>
  <c r="B470" i="2"/>
  <c r="AJ469" i="2"/>
  <c r="AC469" i="2"/>
  <c r="AA469" i="2"/>
  <c r="W469" i="2"/>
  <c r="C469" i="2"/>
  <c r="P469" i="2" s="1"/>
  <c r="K469" i="2"/>
  <c r="L468" i="2" s="1"/>
  <c r="BC468" i="2" l="1"/>
  <c r="AT178" i="2"/>
  <c r="AL178" i="2"/>
  <c r="BA178" i="2" s="1"/>
  <c r="Y468" i="2"/>
  <c r="AB468" i="2" s="1"/>
  <c r="H467" i="2"/>
  <c r="X179" i="2"/>
  <c r="AN179" i="2"/>
  <c r="AM179" i="2"/>
  <c r="AO179" i="2"/>
  <c r="N179" i="2"/>
  <c r="I179" i="2"/>
  <c r="AK179" i="2" s="1"/>
  <c r="AS179" i="2"/>
  <c r="AP470" i="2"/>
  <c r="J469" i="2"/>
  <c r="F468" i="2"/>
  <c r="G468" i="2" s="1"/>
  <c r="M468" i="2"/>
  <c r="Z467" i="2"/>
  <c r="AQ470" i="2"/>
  <c r="B471" i="2"/>
  <c r="AJ470" i="2"/>
  <c r="AC470" i="2"/>
  <c r="AA470" i="2"/>
  <c r="W470" i="2"/>
  <c r="K470" i="2"/>
  <c r="L469" i="2" s="1"/>
  <c r="C470" i="2"/>
  <c r="P470" i="2" s="1"/>
  <c r="D469" i="2"/>
  <c r="U469" i="2" s="1"/>
  <c r="E469" i="2"/>
  <c r="V469" i="2" s="1"/>
  <c r="BB179" i="2" l="1"/>
  <c r="BC469" i="2"/>
  <c r="Y469" i="2"/>
  <c r="AB469" i="2" s="1"/>
  <c r="H468" i="2"/>
  <c r="Q179" i="2"/>
  <c r="R179" i="2" s="1"/>
  <c r="AV179" i="2"/>
  <c r="AR179" i="2" s="1"/>
  <c r="AW179" i="2" s="1"/>
  <c r="AM471" i="2"/>
  <c r="AP471" i="2"/>
  <c r="M469" i="2"/>
  <c r="J470" i="2"/>
  <c r="F469" i="2"/>
  <c r="G469" i="2" s="1"/>
  <c r="AA468" i="2"/>
  <c r="AD468" i="2" s="1"/>
  <c r="AD469" i="2" s="1"/>
  <c r="AD470" i="2" s="1"/>
  <c r="Z468" i="2"/>
  <c r="B472" i="2"/>
  <c r="AJ471" i="2"/>
  <c r="AC471" i="2"/>
  <c r="W471" i="2"/>
  <c r="AA471" i="2"/>
  <c r="C471" i="2"/>
  <c r="J471" i="2" s="1"/>
  <c r="K471" i="2"/>
  <c r="L470" i="2" s="1"/>
  <c r="E470" i="2"/>
  <c r="V470" i="2" s="1"/>
  <c r="D470" i="2"/>
  <c r="U470" i="2" s="1"/>
  <c r="AQ471" i="2"/>
  <c r="BC470" i="2" l="1"/>
  <c r="T180" i="2"/>
  <c r="AG179" i="2"/>
  <c r="Y470" i="2"/>
  <c r="AB470" i="2" s="1"/>
  <c r="H469" i="2"/>
  <c r="AH179" i="2"/>
  <c r="O179" i="2"/>
  <c r="AE179" i="2"/>
  <c r="S180" i="2"/>
  <c r="AM472" i="2"/>
  <c r="AP472" i="2"/>
  <c r="P471" i="2"/>
  <c r="F470" i="2"/>
  <c r="G470" i="2" s="1"/>
  <c r="AQ472" i="2"/>
  <c r="M470" i="2"/>
  <c r="AD471" i="2"/>
  <c r="Z469" i="2"/>
  <c r="D471" i="2"/>
  <c r="U471" i="2" s="1"/>
  <c r="E471" i="2"/>
  <c r="V471" i="2" s="1"/>
  <c r="B473" i="2"/>
  <c r="AA472" i="2"/>
  <c r="AC472" i="2"/>
  <c r="AJ472" i="2"/>
  <c r="W472" i="2"/>
  <c r="C472" i="2"/>
  <c r="J472" i="2" s="1"/>
  <c r="K472" i="2"/>
  <c r="L471" i="2" s="1"/>
  <c r="M471" i="2" s="1"/>
  <c r="BC471" i="2" l="1"/>
  <c r="AF180" i="2"/>
  <c r="AL179" i="2"/>
  <c r="BA179" i="2" s="1"/>
  <c r="Y471" i="2"/>
  <c r="AB471" i="2" s="1"/>
  <c r="H470" i="2"/>
  <c r="AS180" i="2"/>
  <c r="AN180" i="2"/>
  <c r="AO180" i="2"/>
  <c r="AJ180" i="2"/>
  <c r="AT179" i="2" s="1"/>
  <c r="N180" i="2"/>
  <c r="I180" i="2"/>
  <c r="X180" i="2"/>
  <c r="AP473" i="2"/>
  <c r="AM473" i="2"/>
  <c r="AD472" i="2"/>
  <c r="F471" i="2"/>
  <c r="G471" i="2" s="1"/>
  <c r="P472" i="2"/>
  <c r="Z470" i="2"/>
  <c r="AQ473" i="2"/>
  <c r="B474" i="2"/>
  <c r="AA473" i="2"/>
  <c r="AJ473" i="2"/>
  <c r="W473" i="2"/>
  <c r="AC473" i="2"/>
  <c r="C473" i="2"/>
  <c r="J473" i="2" s="1"/>
  <c r="K473" i="2"/>
  <c r="L472" i="2" s="1"/>
  <c r="M472" i="2" s="1"/>
  <c r="E472" i="2"/>
  <c r="V472" i="2" s="1"/>
  <c r="D472" i="2"/>
  <c r="U472" i="2" s="1"/>
  <c r="BC472" i="2" l="1"/>
  <c r="BB180" i="2"/>
  <c r="Y472" i="2"/>
  <c r="AB472" i="2" s="1"/>
  <c r="H471" i="2"/>
  <c r="AI180" i="2"/>
  <c r="AK180" i="2" s="1"/>
  <c r="AV180" i="2"/>
  <c r="AR180" i="2" s="1"/>
  <c r="AW180" i="2" s="1"/>
  <c r="Q180" i="2"/>
  <c r="R180" i="2" s="1"/>
  <c r="AM474" i="2"/>
  <c r="AP474" i="2"/>
  <c r="AD473" i="2"/>
  <c r="P473" i="2"/>
  <c r="F472" i="2"/>
  <c r="G472" i="2" s="1"/>
  <c r="Z471" i="2"/>
  <c r="AQ474" i="2"/>
  <c r="D473" i="2"/>
  <c r="U473" i="2" s="1"/>
  <c r="E473" i="2"/>
  <c r="B475" i="2"/>
  <c r="AJ474" i="2"/>
  <c r="W474" i="2"/>
  <c r="AA474" i="2"/>
  <c r="AC474" i="2"/>
  <c r="C474" i="2"/>
  <c r="P474" i="2" s="1"/>
  <c r="K474" i="2"/>
  <c r="L473" i="2" s="1"/>
  <c r="M473" i="2" s="1"/>
  <c r="S181" i="2" l="1"/>
  <c r="AG180" i="2"/>
  <c r="H472" i="2"/>
  <c r="AU180" i="2"/>
  <c r="O180" i="2"/>
  <c r="AE180" i="2"/>
  <c r="AH180" i="2"/>
  <c r="AI181" i="2" s="1"/>
  <c r="T181" i="2"/>
  <c r="AP475" i="2"/>
  <c r="AD474" i="2"/>
  <c r="J474" i="2"/>
  <c r="F473" i="2"/>
  <c r="G473" i="2" s="1"/>
  <c r="V473" i="2"/>
  <c r="Y473" i="2" s="1"/>
  <c r="AB473" i="2" s="1"/>
  <c r="Z472" i="2"/>
  <c r="AQ475" i="2"/>
  <c r="B476" i="2"/>
  <c r="AJ475" i="2"/>
  <c r="AC475" i="2"/>
  <c r="AA475" i="2"/>
  <c r="W475" i="2"/>
  <c r="K475" i="2"/>
  <c r="L474" i="2" s="1"/>
  <c r="C475" i="2"/>
  <c r="J475" i="2" s="1"/>
  <c r="D474" i="2"/>
  <c r="U474" i="2" s="1"/>
  <c r="E474" i="2"/>
  <c r="V474" i="2" s="1"/>
  <c r="BC473" i="2" l="1"/>
  <c r="BC474" i="2" s="1"/>
  <c r="AN181" i="2"/>
  <c r="AT180" i="2"/>
  <c r="AF181" i="2"/>
  <c r="AL180" i="2"/>
  <c r="BA180" i="2" s="1"/>
  <c r="Y474" i="2"/>
  <c r="AB474" i="2" s="1"/>
  <c r="H473" i="2"/>
  <c r="AO181" i="2"/>
  <c r="AM181" i="2"/>
  <c r="X181" i="2"/>
  <c r="N181" i="2"/>
  <c r="AS181" i="2"/>
  <c r="I181" i="2"/>
  <c r="AM476" i="2"/>
  <c r="AP476" i="2"/>
  <c r="AD475" i="2"/>
  <c r="P475" i="2"/>
  <c r="M474" i="2"/>
  <c r="F474" i="2"/>
  <c r="G474" i="2" s="1"/>
  <c r="Z473" i="2"/>
  <c r="B477" i="2"/>
  <c r="AJ476" i="2"/>
  <c r="AC476" i="2"/>
  <c r="AA476" i="2"/>
  <c r="W476" i="2"/>
  <c r="C476" i="2"/>
  <c r="J476" i="2" s="1"/>
  <c r="K476" i="2"/>
  <c r="L475" i="2" s="1"/>
  <c r="M475" i="2" s="1"/>
  <c r="AQ476" i="2"/>
  <c r="E475" i="2"/>
  <c r="V475" i="2" s="1"/>
  <c r="D475" i="2"/>
  <c r="U475" i="2" s="1"/>
  <c r="BC475" i="2" l="1"/>
  <c r="BB181" i="2"/>
  <c r="AK181" i="2"/>
  <c r="Y475" i="2"/>
  <c r="AB475" i="2" s="1"/>
  <c r="H474" i="2"/>
  <c r="Q181" i="2"/>
  <c r="R181" i="2" s="1"/>
  <c r="AV181" i="2"/>
  <c r="AR181" i="2" s="1"/>
  <c r="AW181" i="2" s="1"/>
  <c r="AP477" i="2"/>
  <c r="AD476" i="2"/>
  <c r="F475" i="2"/>
  <c r="G475" i="2" s="1"/>
  <c r="P476" i="2"/>
  <c r="Z474" i="2"/>
  <c r="B478" i="2"/>
  <c r="AC477" i="2"/>
  <c r="AJ477" i="2"/>
  <c r="AA477" i="2"/>
  <c r="W477" i="2"/>
  <c r="K477" i="2"/>
  <c r="L476" i="2" s="1"/>
  <c r="M476" i="2" s="1"/>
  <c r="C477" i="2"/>
  <c r="J477" i="2" s="1"/>
  <c r="AQ477" i="2"/>
  <c r="D476" i="2"/>
  <c r="U476" i="2" s="1"/>
  <c r="E476" i="2"/>
  <c r="V476" i="2" s="1"/>
  <c r="BC476" i="2" l="1"/>
  <c r="S182" i="2"/>
  <c r="AG181" i="2"/>
  <c r="Y476" i="2"/>
  <c r="AB476" i="2" s="1"/>
  <c r="H475" i="2"/>
  <c r="AU181" i="2"/>
  <c r="AE181" i="2"/>
  <c r="O181" i="2"/>
  <c r="AH181" i="2"/>
  <c r="AI182" i="2" s="1"/>
  <c r="T182" i="2"/>
  <c r="AD477" i="2"/>
  <c r="AP478" i="2"/>
  <c r="AM478" i="2"/>
  <c r="P477" i="2"/>
  <c r="F476" i="2"/>
  <c r="G476" i="2" s="1"/>
  <c r="Z475" i="2"/>
  <c r="B479" i="2"/>
  <c r="AA478" i="2"/>
  <c r="AC478" i="2"/>
  <c r="W478" i="2"/>
  <c r="AJ478" i="2"/>
  <c r="K478" i="2"/>
  <c r="L477" i="2" s="1"/>
  <c r="M477" i="2" s="1"/>
  <c r="C478" i="2"/>
  <c r="J478" i="2" s="1"/>
  <c r="D477" i="2"/>
  <c r="U477" i="2" s="1"/>
  <c r="E477" i="2"/>
  <c r="V477" i="2" s="1"/>
  <c r="AQ478" i="2"/>
  <c r="AD478" i="2" l="1"/>
  <c r="BC477" i="2"/>
  <c r="AT181" i="2"/>
  <c r="AF182" i="2"/>
  <c r="AL181" i="2"/>
  <c r="BA181" i="2" s="1"/>
  <c r="Y477" i="2"/>
  <c r="AB477" i="2" s="1"/>
  <c r="H476" i="2"/>
  <c r="AO182" i="2"/>
  <c r="AN182" i="2"/>
  <c r="X182" i="2"/>
  <c r="AS182" i="2"/>
  <c r="N182" i="2"/>
  <c r="I182" i="2"/>
  <c r="AP479" i="2"/>
  <c r="AQ479" i="2"/>
  <c r="F477" i="2"/>
  <c r="G477" i="2" s="1"/>
  <c r="P478" i="2"/>
  <c r="Z476" i="2"/>
  <c r="AU479" i="2"/>
  <c r="D478" i="2"/>
  <c r="U478" i="2" s="1"/>
  <c r="E478" i="2"/>
  <c r="V478" i="2" s="1"/>
  <c r="B480" i="2"/>
  <c r="AJ479" i="2"/>
  <c r="W479" i="2"/>
  <c r="AA479" i="2"/>
  <c r="AD479" i="2" s="1"/>
  <c r="AC479" i="2"/>
  <c r="C479" i="2"/>
  <c r="P479" i="2" s="1"/>
  <c r="K479" i="2"/>
  <c r="L478" i="2" s="1"/>
  <c r="M478" i="2" s="1"/>
  <c r="BC478" i="2" l="1"/>
  <c r="BB182" i="2"/>
  <c r="AK182" i="2"/>
  <c r="Y478" i="2"/>
  <c r="AB478" i="2" s="1"/>
  <c r="H477" i="2"/>
  <c r="Q182" i="2"/>
  <c r="R182" i="2" s="1"/>
  <c r="AV182" i="2"/>
  <c r="AR182" i="2" s="1"/>
  <c r="AW182" i="2" s="1"/>
  <c r="AP480" i="2"/>
  <c r="F478" i="2"/>
  <c r="G478" i="2" s="1"/>
  <c r="J479" i="2"/>
  <c r="Z477" i="2"/>
  <c r="AQ480" i="2"/>
  <c r="B481" i="2"/>
  <c r="AC480" i="2"/>
  <c r="W480" i="2"/>
  <c r="C480" i="2"/>
  <c r="J480" i="2" s="1"/>
  <c r="K480" i="2"/>
  <c r="L479" i="2" s="1"/>
  <c r="D479" i="2"/>
  <c r="U479" i="2" s="1"/>
  <c r="E479" i="2"/>
  <c r="V479" i="2" s="1"/>
  <c r="BC479" i="2" l="1"/>
  <c r="AH182" i="2"/>
  <c r="AI183" i="2" s="1"/>
  <c r="AG182" i="2"/>
  <c r="Y479" i="2"/>
  <c r="AB479" i="2" s="1"/>
  <c r="H478" i="2"/>
  <c r="O182" i="2"/>
  <c r="S183" i="2"/>
  <c r="AE182" i="2"/>
  <c r="T183" i="2"/>
  <c r="AU182" i="2"/>
  <c r="AP481" i="2"/>
  <c r="M479" i="2"/>
  <c r="F479" i="2"/>
  <c r="G479" i="2" s="1"/>
  <c r="AQ481" i="2"/>
  <c r="P480" i="2"/>
  <c r="Z478" i="2"/>
  <c r="D480" i="2"/>
  <c r="U480" i="2" s="1"/>
  <c r="E480" i="2"/>
  <c r="V480" i="2" s="1"/>
  <c r="B482" i="2"/>
  <c r="AA481" i="2"/>
  <c r="AJ481" i="2"/>
  <c r="AC481" i="2"/>
  <c r="W481" i="2"/>
  <c r="K481" i="2"/>
  <c r="L480" i="2" s="1"/>
  <c r="M480" i="2" s="1"/>
  <c r="C481" i="2"/>
  <c r="J481" i="2" s="1"/>
  <c r="BC480" i="2" l="1"/>
  <c r="AS183" i="2"/>
  <c r="AT182" i="2"/>
  <c r="AF183" i="2"/>
  <c r="AL182" i="2"/>
  <c r="BA182" i="2" s="1"/>
  <c r="Y480" i="2"/>
  <c r="AB480" i="2" s="1"/>
  <c r="AM183" i="2"/>
  <c r="AN183" i="2"/>
  <c r="H479" i="2"/>
  <c r="N183" i="2"/>
  <c r="X183" i="2"/>
  <c r="I183" i="2"/>
  <c r="AO183" i="2"/>
  <c r="AM482" i="2"/>
  <c r="AP482" i="2"/>
  <c r="P481" i="2"/>
  <c r="F480" i="2"/>
  <c r="G480" i="2" s="1"/>
  <c r="Z479" i="2"/>
  <c r="B483" i="2"/>
  <c r="AJ482" i="2"/>
  <c r="AC482" i="2"/>
  <c r="W482" i="2"/>
  <c r="AA482" i="2"/>
  <c r="C482" i="2"/>
  <c r="J482" i="2" s="1"/>
  <c r="K482" i="2"/>
  <c r="L481" i="2" s="1"/>
  <c r="M481" i="2" s="1"/>
  <c r="AQ482" i="2"/>
  <c r="D481" i="2"/>
  <c r="U481" i="2" s="1"/>
  <c r="E481" i="2"/>
  <c r="V481" i="2" s="1"/>
  <c r="BC481" i="2" l="1"/>
  <c r="AK183" i="2"/>
  <c r="BB183" i="2"/>
  <c r="Y481" i="2"/>
  <c r="AB481" i="2" s="1"/>
  <c r="H480" i="2"/>
  <c r="Q183" i="2"/>
  <c r="R183" i="2" s="1"/>
  <c r="AV183" i="2"/>
  <c r="AR183" i="2" s="1"/>
  <c r="AW183" i="2" s="1"/>
  <c r="AP483" i="2"/>
  <c r="F481" i="2"/>
  <c r="G481" i="2" s="1"/>
  <c r="P482" i="2"/>
  <c r="AQ483" i="2"/>
  <c r="Z480" i="2"/>
  <c r="AA480" i="2"/>
  <c r="AD480" i="2" s="1"/>
  <c r="AD481" i="2" s="1"/>
  <c r="AD482" i="2" s="1"/>
  <c r="B484" i="2"/>
  <c r="AJ483" i="2"/>
  <c r="AC483" i="2"/>
  <c r="W483" i="2"/>
  <c r="AA483" i="2"/>
  <c r="K483" i="2"/>
  <c r="L482" i="2" s="1"/>
  <c r="M482" i="2" s="1"/>
  <c r="C483" i="2"/>
  <c r="J483" i="2" s="1"/>
  <c r="D482" i="2"/>
  <c r="U482" i="2" s="1"/>
  <c r="E482" i="2"/>
  <c r="V482" i="2" s="1"/>
  <c r="BC482" i="2" l="1"/>
  <c r="T184" i="2"/>
  <c r="AG183" i="2"/>
  <c r="AU183" i="2"/>
  <c r="Y482" i="2"/>
  <c r="AB482" i="2" s="1"/>
  <c r="H481" i="2"/>
  <c r="O183" i="2"/>
  <c r="S184" i="2"/>
  <c r="AE183" i="2"/>
  <c r="AH183" i="2"/>
  <c r="AI184" i="2" s="1"/>
  <c r="AM484" i="2"/>
  <c r="AP484" i="2"/>
  <c r="F482" i="2"/>
  <c r="G482" i="2" s="1"/>
  <c r="P483" i="2"/>
  <c r="AD483" i="2"/>
  <c r="Z481" i="2"/>
  <c r="AQ484" i="2"/>
  <c r="B485" i="2"/>
  <c r="AJ484" i="2"/>
  <c r="AC484" i="2"/>
  <c r="W484" i="2"/>
  <c r="AA484" i="2"/>
  <c r="C484" i="2"/>
  <c r="J484" i="2" s="1"/>
  <c r="K484" i="2"/>
  <c r="L483" i="2" s="1"/>
  <c r="M483" i="2" s="1"/>
  <c r="D483" i="2"/>
  <c r="U483" i="2" s="1"/>
  <c r="E483" i="2"/>
  <c r="V483" i="2" s="1"/>
  <c r="BC483" i="2" l="1"/>
  <c r="AT183" i="2"/>
  <c r="AF184" i="2"/>
  <c r="AL183" i="2"/>
  <c r="BA183" i="2" s="1"/>
  <c r="Y483" i="2"/>
  <c r="AB483" i="2" s="1"/>
  <c r="AO184" i="2"/>
  <c r="AN184" i="2"/>
  <c r="H482" i="2"/>
  <c r="AM184" i="2"/>
  <c r="X184" i="2"/>
  <c r="I184" i="2"/>
  <c r="AS184" i="2"/>
  <c r="N184" i="2"/>
  <c r="AP485" i="2"/>
  <c r="P484" i="2"/>
  <c r="F483" i="2"/>
  <c r="G483" i="2" s="1"/>
  <c r="AD484" i="2"/>
  <c r="Z482" i="2"/>
  <c r="AQ485" i="2"/>
  <c r="B486" i="2"/>
  <c r="AJ485" i="2"/>
  <c r="AC485" i="2"/>
  <c r="W485" i="2"/>
  <c r="AA485" i="2"/>
  <c r="K485" i="2"/>
  <c r="L484" i="2" s="1"/>
  <c r="M484" i="2" s="1"/>
  <c r="C485" i="2"/>
  <c r="J485" i="2" s="1"/>
  <c r="D484" i="2"/>
  <c r="U484" i="2" s="1"/>
  <c r="E484" i="2"/>
  <c r="V484" i="2" s="1"/>
  <c r="BC484" i="2" l="1"/>
  <c r="BB184" i="2"/>
  <c r="AK184" i="2"/>
  <c r="Y484" i="2"/>
  <c r="AB484" i="2" s="1"/>
  <c r="H483" i="2"/>
  <c r="Q184" i="2"/>
  <c r="R184" i="2" s="1"/>
  <c r="AV184" i="2"/>
  <c r="AR184" i="2" s="1"/>
  <c r="AW184" i="2" s="1"/>
  <c r="AP486" i="2"/>
  <c r="P485" i="2"/>
  <c r="F484" i="2"/>
  <c r="G484" i="2" s="1"/>
  <c r="AD485" i="2"/>
  <c r="Z483" i="2"/>
  <c r="B487" i="2"/>
  <c r="AJ486" i="2"/>
  <c r="AA486" i="2"/>
  <c r="AC486" i="2"/>
  <c r="W486" i="2"/>
  <c r="C486" i="2"/>
  <c r="P486" i="2" s="1"/>
  <c r="K486" i="2"/>
  <c r="L485" i="2" s="1"/>
  <c r="M485" i="2" s="1"/>
  <c r="D485" i="2"/>
  <c r="U485" i="2" s="1"/>
  <c r="E485" i="2"/>
  <c r="V485" i="2" s="1"/>
  <c r="AQ486" i="2"/>
  <c r="BC485" i="2" l="1"/>
  <c r="AH184" i="2"/>
  <c r="AI185" i="2" s="1"/>
  <c r="AG184" i="2"/>
  <c r="Y485" i="2"/>
  <c r="AB485" i="2" s="1"/>
  <c r="H484" i="2"/>
  <c r="T185" i="2"/>
  <c r="AE184" i="2"/>
  <c r="O184" i="2"/>
  <c r="S185" i="2"/>
  <c r="AU184" i="2"/>
  <c r="AP487" i="2"/>
  <c r="AQ487" i="2"/>
  <c r="AD486" i="2"/>
  <c r="J486" i="2"/>
  <c r="F485" i="2"/>
  <c r="G485" i="2" s="1"/>
  <c r="Z484" i="2"/>
  <c r="D486" i="2"/>
  <c r="U486" i="2" s="1"/>
  <c r="E486" i="2"/>
  <c r="V486" i="2" s="1"/>
  <c r="B488" i="2"/>
  <c r="AJ487" i="2"/>
  <c r="AA487" i="2"/>
  <c r="AD487" i="2" s="1"/>
  <c r="AC487" i="2"/>
  <c r="W487" i="2"/>
  <c r="K487" i="2"/>
  <c r="L486" i="2" s="1"/>
  <c r="C487" i="2"/>
  <c r="P487" i="2" s="1"/>
  <c r="BC486" i="2" l="1"/>
  <c r="AT184" i="2"/>
  <c r="AF185" i="2"/>
  <c r="AL184" i="2"/>
  <c r="BA184" i="2" s="1"/>
  <c r="Y486" i="2"/>
  <c r="AB486" i="2" s="1"/>
  <c r="AS185" i="2"/>
  <c r="AN185" i="2"/>
  <c r="H485" i="2"/>
  <c r="X185" i="2"/>
  <c r="AO185" i="2"/>
  <c r="I185" i="2"/>
  <c r="N185" i="2"/>
  <c r="AM488" i="2"/>
  <c r="AP488" i="2"/>
  <c r="M486" i="2"/>
  <c r="J487" i="2"/>
  <c r="F486" i="2"/>
  <c r="G486" i="2" s="1"/>
  <c r="Z485" i="2"/>
  <c r="B489" i="2"/>
  <c r="AJ488" i="2"/>
  <c r="AC488" i="2"/>
  <c r="AA488" i="2"/>
  <c r="AD488" i="2" s="1"/>
  <c r="W488" i="2"/>
  <c r="C488" i="2"/>
  <c r="J488" i="2" s="1"/>
  <c r="K488" i="2"/>
  <c r="L487" i="2" s="1"/>
  <c r="E487" i="2"/>
  <c r="D487" i="2"/>
  <c r="U487" i="2" s="1"/>
  <c r="AQ488" i="2"/>
  <c r="BB185" i="2" l="1"/>
  <c r="H486" i="2"/>
  <c r="Q185" i="2"/>
  <c r="R185" i="2" s="1"/>
  <c r="AK185" i="2"/>
  <c r="AV185" i="2"/>
  <c r="AR185" i="2" s="1"/>
  <c r="AW185" i="2" s="1"/>
  <c r="AP489" i="2"/>
  <c r="AM489" i="2"/>
  <c r="M487" i="2"/>
  <c r="P488" i="2"/>
  <c r="F487" i="2"/>
  <c r="G487" i="2" s="1"/>
  <c r="V487" i="2"/>
  <c r="Y487" i="2" s="1"/>
  <c r="AB487" i="2" s="1"/>
  <c r="Z486" i="2"/>
  <c r="AQ489" i="2"/>
  <c r="D488" i="2"/>
  <c r="U488" i="2" s="1"/>
  <c r="E488" i="2"/>
  <c r="V488" i="2" s="1"/>
  <c r="B490" i="2"/>
  <c r="AA489" i="2"/>
  <c r="AD489" i="2" s="1"/>
  <c r="AJ489" i="2"/>
  <c r="W489" i="2"/>
  <c r="AC489" i="2"/>
  <c r="K489" i="2"/>
  <c r="L488" i="2" s="1"/>
  <c r="M488" i="2" s="1"/>
  <c r="C489" i="2"/>
  <c r="P489" i="2" s="1"/>
  <c r="BC487" i="2" l="1"/>
  <c r="BC488" i="2" s="1"/>
  <c r="T186" i="2"/>
  <c r="AG185" i="2"/>
  <c r="Y488" i="2"/>
  <c r="AB488" i="2" s="1"/>
  <c r="AH185" i="2"/>
  <c r="AI186" i="2" s="1"/>
  <c r="H487" i="2"/>
  <c r="AU185" i="2"/>
  <c r="AE185" i="2"/>
  <c r="S186" i="2"/>
  <c r="O185" i="2"/>
  <c r="AP490" i="2"/>
  <c r="AM490" i="2"/>
  <c r="J489" i="2"/>
  <c r="Z487" i="2"/>
  <c r="F488" i="2"/>
  <c r="G488" i="2" s="1"/>
  <c r="B491" i="2"/>
  <c r="W490" i="2"/>
  <c r="AA490" i="2"/>
  <c r="AD490" i="2" s="1"/>
  <c r="AC490" i="2"/>
  <c r="AJ490" i="2"/>
  <c r="C490" i="2"/>
  <c r="P490" i="2" s="1"/>
  <c r="K490" i="2"/>
  <c r="L489" i="2" s="1"/>
  <c r="E489" i="2"/>
  <c r="V489" i="2" s="1"/>
  <c r="D489" i="2"/>
  <c r="U489" i="2" s="1"/>
  <c r="AQ490" i="2"/>
  <c r="BC489" i="2" l="1"/>
  <c r="AM186" i="2"/>
  <c r="AT185" i="2"/>
  <c r="AF186" i="2"/>
  <c r="AL185" i="2"/>
  <c r="BA185" i="2" s="1"/>
  <c r="Y489" i="2"/>
  <c r="AB489" i="2" s="1"/>
  <c r="H488" i="2"/>
  <c r="X186" i="2"/>
  <c r="AN186" i="2"/>
  <c r="AO186" i="2"/>
  <c r="AS186" i="2"/>
  <c r="N186" i="2"/>
  <c r="I186" i="2"/>
  <c r="AP491" i="2"/>
  <c r="M489" i="2"/>
  <c r="J490" i="2"/>
  <c r="F489" i="2"/>
  <c r="G489" i="2" s="1"/>
  <c r="Z488" i="2"/>
  <c r="AU491" i="2"/>
  <c r="AQ491" i="2"/>
  <c r="B492" i="2"/>
  <c r="AJ491" i="2"/>
  <c r="AC491" i="2"/>
  <c r="W491" i="2"/>
  <c r="AA491" i="2"/>
  <c r="AD491" i="2" s="1"/>
  <c r="K491" i="2"/>
  <c r="L490" i="2" s="1"/>
  <c r="C491" i="2"/>
  <c r="P491" i="2" s="1"/>
  <c r="D490" i="2"/>
  <c r="U490" i="2" s="1"/>
  <c r="E490" i="2"/>
  <c r="V490" i="2" s="1"/>
  <c r="BC490" i="2" l="1"/>
  <c r="BB186" i="2"/>
  <c r="AK186" i="2"/>
  <c r="Y490" i="2"/>
  <c r="AB490" i="2" s="1"/>
  <c r="H489" i="2"/>
  <c r="AV186" i="2"/>
  <c r="AR186" i="2" s="1"/>
  <c r="AW186" i="2" s="1"/>
  <c r="Q186" i="2"/>
  <c r="O186" i="2" s="1"/>
  <c r="AM492" i="2"/>
  <c r="AP492" i="2"/>
  <c r="F490" i="2"/>
  <c r="G490" i="2" s="1"/>
  <c r="M490" i="2"/>
  <c r="J491" i="2"/>
  <c r="Z489" i="2"/>
  <c r="B493" i="2"/>
  <c r="AC492" i="2"/>
  <c r="W492" i="2"/>
  <c r="K492" i="2"/>
  <c r="L491" i="2" s="1"/>
  <c r="C492" i="2"/>
  <c r="P492" i="2" s="1"/>
  <c r="D491" i="2"/>
  <c r="U491" i="2" s="1"/>
  <c r="E491" i="2"/>
  <c r="AQ492" i="2"/>
  <c r="H490" i="2" l="1"/>
  <c r="AS187" i="2"/>
  <c r="AN187" i="2"/>
  <c r="AU186" i="2"/>
  <c r="AO187" i="2"/>
  <c r="X187" i="2"/>
  <c r="R186" i="2"/>
  <c r="I187" i="2"/>
  <c r="N187" i="2"/>
  <c r="AP493" i="2"/>
  <c r="AM493" i="2"/>
  <c r="J492" i="2"/>
  <c r="Z490" i="2"/>
  <c r="M491" i="2"/>
  <c r="F491" i="2"/>
  <c r="G491" i="2" s="1"/>
  <c r="V491" i="2"/>
  <c r="Y491" i="2" s="1"/>
  <c r="AB491" i="2" s="1"/>
  <c r="AQ493" i="2"/>
  <c r="B494" i="2"/>
  <c r="AJ493" i="2"/>
  <c r="AC493" i="2"/>
  <c r="W493" i="2"/>
  <c r="AA493" i="2"/>
  <c r="K493" i="2"/>
  <c r="L492" i="2" s="1"/>
  <c r="C493" i="2"/>
  <c r="J493" i="2" s="1"/>
  <c r="D492" i="2"/>
  <c r="U492" i="2" s="1"/>
  <c r="E492" i="2"/>
  <c r="V492" i="2" s="1"/>
  <c r="BC491" i="2" l="1"/>
  <c r="BC492" i="2" s="1"/>
  <c r="AH186" i="2"/>
  <c r="AI187" i="2" s="1"/>
  <c r="AG186" i="2"/>
  <c r="AM187" i="2"/>
  <c r="Y492" i="2"/>
  <c r="AB492" i="2" s="1"/>
  <c r="H491" i="2"/>
  <c r="T187" i="2"/>
  <c r="S187" i="2"/>
  <c r="AE186" i="2"/>
  <c r="Q187" i="2"/>
  <c r="O187" i="2" s="1"/>
  <c r="AM494" i="2"/>
  <c r="AP494" i="2"/>
  <c r="M492" i="2"/>
  <c r="P493" i="2"/>
  <c r="F492" i="2"/>
  <c r="G492" i="2" s="1"/>
  <c r="Z491" i="2"/>
  <c r="B495" i="2"/>
  <c r="AJ494" i="2"/>
  <c r="AC494" i="2"/>
  <c r="AA494" i="2"/>
  <c r="W494" i="2"/>
  <c r="K494" i="2"/>
  <c r="L493" i="2" s="1"/>
  <c r="M493" i="2" s="1"/>
  <c r="C494" i="2"/>
  <c r="J494" i="2" s="1"/>
  <c r="D493" i="2"/>
  <c r="U493" i="2" s="1"/>
  <c r="E493" i="2"/>
  <c r="V493" i="2" s="1"/>
  <c r="AQ494" i="2"/>
  <c r="BC493" i="2" l="1"/>
  <c r="AT186" i="2"/>
  <c r="BB187" i="2" s="1"/>
  <c r="AN188" i="2"/>
  <c r="AF187" i="2"/>
  <c r="AK187" i="2" s="1"/>
  <c r="AL186" i="2"/>
  <c r="BA186" i="2" s="1"/>
  <c r="Y493" i="2"/>
  <c r="AB493" i="2" s="1"/>
  <c r="H492" i="2"/>
  <c r="R187" i="2"/>
  <c r="AM495" i="2"/>
  <c r="AP495" i="2"/>
  <c r="AO188" i="2"/>
  <c r="N188" i="2"/>
  <c r="I188" i="2"/>
  <c r="X188" i="2"/>
  <c r="AS188" i="2"/>
  <c r="AQ495" i="2"/>
  <c r="P494" i="2"/>
  <c r="F493" i="2"/>
  <c r="G493" i="2" s="1"/>
  <c r="Z492" i="2"/>
  <c r="AA492" i="2"/>
  <c r="AD492" i="2" s="1"/>
  <c r="AD493" i="2" s="1"/>
  <c r="AD494" i="2" s="1"/>
  <c r="D494" i="2"/>
  <c r="U494" i="2" s="1"/>
  <c r="E494" i="2"/>
  <c r="V494" i="2" s="1"/>
  <c r="B496" i="2"/>
  <c r="AJ495" i="2"/>
  <c r="AA495" i="2"/>
  <c r="W495" i="2"/>
  <c r="AC495" i="2"/>
  <c r="K495" i="2"/>
  <c r="L494" i="2" s="1"/>
  <c r="M494" i="2" s="1"/>
  <c r="C495" i="2"/>
  <c r="J495" i="2" s="1"/>
  <c r="BC494" i="2" l="1"/>
  <c r="T188" i="2"/>
  <c r="AG187" i="2"/>
  <c r="Y494" i="2"/>
  <c r="AB494" i="2" s="1"/>
  <c r="H493" i="2"/>
  <c r="S188" i="2"/>
  <c r="AV187" i="2"/>
  <c r="AR187" i="2" s="1"/>
  <c r="AW187" i="2" s="1"/>
  <c r="AU187" i="2" s="1"/>
  <c r="AE187" i="2"/>
  <c r="AH187" i="2"/>
  <c r="AI188" i="2" s="1"/>
  <c r="AM496" i="2"/>
  <c r="AP496" i="2"/>
  <c r="P495" i="2"/>
  <c r="AD495" i="2"/>
  <c r="Q188" i="2"/>
  <c r="F494" i="2"/>
  <c r="G494" i="2" s="1"/>
  <c r="Z493" i="2"/>
  <c r="D495" i="2"/>
  <c r="U495" i="2" s="1"/>
  <c r="E495" i="2"/>
  <c r="V495" i="2" s="1"/>
  <c r="B497" i="2"/>
  <c r="AC496" i="2"/>
  <c r="AJ496" i="2"/>
  <c r="W496" i="2"/>
  <c r="AA496" i="2"/>
  <c r="C496" i="2"/>
  <c r="P496" i="2" s="1"/>
  <c r="K496" i="2"/>
  <c r="L495" i="2" s="1"/>
  <c r="M495" i="2" s="1"/>
  <c r="AQ496" i="2"/>
  <c r="BC495" i="2" l="1"/>
  <c r="AT187" i="2"/>
  <c r="BB188" i="2" s="1"/>
  <c r="AF188" i="2"/>
  <c r="AK188" i="2" s="1"/>
  <c r="AL187" i="2"/>
  <c r="BA187" i="2" s="1"/>
  <c r="Y495" i="2"/>
  <c r="AB495" i="2" s="1"/>
  <c r="H494" i="2"/>
  <c r="R188" i="2"/>
  <c r="AP497" i="2"/>
  <c r="AM497" i="2"/>
  <c r="AD496" i="2"/>
  <c r="O188" i="2"/>
  <c r="F495" i="2"/>
  <c r="G495" i="2" s="1"/>
  <c r="J496" i="2"/>
  <c r="Z494" i="2"/>
  <c r="E496" i="2"/>
  <c r="D496" i="2"/>
  <c r="U496" i="2" s="1"/>
  <c r="B498" i="2"/>
  <c r="AJ497" i="2"/>
  <c r="AC497" i="2"/>
  <c r="AA497" i="2"/>
  <c r="W497" i="2"/>
  <c r="K497" i="2"/>
  <c r="L496" i="2" s="1"/>
  <c r="C497" i="2"/>
  <c r="J497" i="2" s="1"/>
  <c r="AQ497" i="2"/>
  <c r="AH188" i="2" l="1"/>
  <c r="AI189" i="2" s="1"/>
  <c r="AG188" i="2"/>
  <c r="H495" i="2"/>
  <c r="S189" i="2"/>
  <c r="AS189" i="2"/>
  <c r="AN189" i="2"/>
  <c r="P497" i="2"/>
  <c r="AD497" i="2"/>
  <c r="AE188" i="2"/>
  <c r="T189" i="2"/>
  <c r="AV188" i="2"/>
  <c r="AR188" i="2" s="1"/>
  <c r="AW188" i="2" s="1"/>
  <c r="AU188" i="2" s="1"/>
  <c r="AM498" i="2"/>
  <c r="AP498" i="2"/>
  <c r="N189" i="2"/>
  <c r="X189" i="2"/>
  <c r="AO189" i="2"/>
  <c r="I189" i="2"/>
  <c r="M496" i="2"/>
  <c r="F496" i="2"/>
  <c r="G496" i="2" s="1"/>
  <c r="V496" i="2"/>
  <c r="Y496" i="2" s="1"/>
  <c r="AB496" i="2" s="1"/>
  <c r="Z495" i="2"/>
  <c r="AQ498" i="2"/>
  <c r="B499" i="2"/>
  <c r="AJ498" i="2"/>
  <c r="AC498" i="2"/>
  <c r="AA498" i="2"/>
  <c r="W498" i="2"/>
  <c r="C498" i="2"/>
  <c r="P498" i="2" s="1"/>
  <c r="K498" i="2"/>
  <c r="L497" i="2" s="1"/>
  <c r="M497" i="2" s="1"/>
  <c r="D497" i="2"/>
  <c r="U497" i="2" s="1"/>
  <c r="E497" i="2"/>
  <c r="V497" i="2" s="1"/>
  <c r="BC496" i="2" l="1"/>
  <c r="BC497" i="2" s="1"/>
  <c r="AT188" i="2"/>
  <c r="BB189" i="2" s="1"/>
  <c r="AF189" i="2"/>
  <c r="AK189" i="2" s="1"/>
  <c r="AL188" i="2"/>
  <c r="BA188" i="2" s="1"/>
  <c r="AD498" i="2"/>
  <c r="Y497" i="2"/>
  <c r="AB497" i="2" s="1"/>
  <c r="H496" i="2"/>
  <c r="AM499" i="2"/>
  <c r="AP499" i="2"/>
  <c r="J498" i="2"/>
  <c r="Q189" i="2"/>
  <c r="O189" i="2" s="1"/>
  <c r="F497" i="2"/>
  <c r="G497" i="2" s="1"/>
  <c r="Z496" i="2"/>
  <c r="AQ499" i="2"/>
  <c r="B500" i="2"/>
  <c r="AJ499" i="2"/>
  <c r="AC499" i="2"/>
  <c r="AA499" i="2"/>
  <c r="W499" i="2"/>
  <c r="K499" i="2"/>
  <c r="L498" i="2" s="1"/>
  <c r="C499" i="2"/>
  <c r="J499" i="2" s="1"/>
  <c r="D498" i="2"/>
  <c r="U498" i="2" s="1"/>
  <c r="E498" i="2"/>
  <c r="V498" i="2" s="1"/>
  <c r="BC498" i="2" l="1"/>
  <c r="AN190" i="2"/>
  <c r="AD499" i="2"/>
  <c r="Y498" i="2"/>
  <c r="AB498" i="2" s="1"/>
  <c r="H497" i="2"/>
  <c r="AV189" i="2"/>
  <c r="AR189" i="2" s="1"/>
  <c r="AW189" i="2" s="1"/>
  <c r="AU189" i="2" s="1"/>
  <c r="AP500" i="2"/>
  <c r="AM500" i="2"/>
  <c r="M498" i="2"/>
  <c r="R189" i="2"/>
  <c r="AS190" i="2"/>
  <c r="I190" i="2"/>
  <c r="X190" i="2"/>
  <c r="N190" i="2"/>
  <c r="F498" i="2"/>
  <c r="G498" i="2" s="1"/>
  <c r="AO190" i="2"/>
  <c r="P499" i="2"/>
  <c r="Z497" i="2"/>
  <c r="B501" i="2"/>
  <c r="AJ500" i="2"/>
  <c r="AC500" i="2"/>
  <c r="AA500" i="2"/>
  <c r="AD500" i="2" s="1"/>
  <c r="W500" i="2"/>
  <c r="C500" i="2"/>
  <c r="P500" i="2" s="1"/>
  <c r="K500" i="2"/>
  <c r="L499" i="2" s="1"/>
  <c r="M499" i="2" s="1"/>
  <c r="E499" i="2"/>
  <c r="V499" i="2" s="1"/>
  <c r="D499" i="2"/>
  <c r="U499" i="2" s="1"/>
  <c r="AQ500" i="2"/>
  <c r="BC499" i="2" l="1"/>
  <c r="AE189" i="2"/>
  <c r="AF190" i="2" s="1"/>
  <c r="AG189" i="2"/>
  <c r="Y499" i="2"/>
  <c r="AB499" i="2" s="1"/>
  <c r="H498" i="2"/>
  <c r="AM501" i="2"/>
  <c r="AP501" i="2"/>
  <c r="AH189" i="2"/>
  <c r="AI190" i="2" s="1"/>
  <c r="S190" i="2"/>
  <c r="T190" i="2"/>
  <c r="Q190" i="2"/>
  <c r="O190" i="2" s="1"/>
  <c r="J500" i="2"/>
  <c r="F499" i="2"/>
  <c r="G499" i="2" s="1"/>
  <c r="Z498" i="2"/>
  <c r="AQ501" i="2"/>
  <c r="B502" i="2"/>
  <c r="AJ501" i="2"/>
  <c r="AC501" i="2"/>
  <c r="AA501" i="2"/>
  <c r="AD501" i="2" s="1"/>
  <c r="W501" i="2"/>
  <c r="K501" i="2"/>
  <c r="L500" i="2" s="1"/>
  <c r="C501" i="2"/>
  <c r="J501" i="2" s="1"/>
  <c r="D500" i="2"/>
  <c r="U500" i="2" s="1"/>
  <c r="E500" i="2"/>
  <c r="V500" i="2" s="1"/>
  <c r="BC500" i="2" l="1"/>
  <c r="AT189" i="2"/>
  <c r="BB190" i="2" s="1"/>
  <c r="AN191" i="2"/>
  <c r="AL189" i="2"/>
  <c r="BA189" i="2" s="1"/>
  <c r="Y500" i="2"/>
  <c r="AB500" i="2" s="1"/>
  <c r="H499" i="2"/>
  <c r="I191" i="2"/>
  <c r="AM502" i="2"/>
  <c r="AP502" i="2"/>
  <c r="X191" i="2"/>
  <c r="AK190" i="2"/>
  <c r="AO191" i="2"/>
  <c r="AS191" i="2"/>
  <c r="N191" i="2"/>
  <c r="R190" i="2"/>
  <c r="AG190" i="2" s="1"/>
  <c r="M500" i="2"/>
  <c r="P501" i="2"/>
  <c r="F500" i="2"/>
  <c r="G500" i="2" s="1"/>
  <c r="Z499" i="2"/>
  <c r="AQ502" i="2"/>
  <c r="B503" i="2"/>
  <c r="AJ502" i="2"/>
  <c r="AC502" i="2"/>
  <c r="AA502" i="2"/>
  <c r="AD502" i="2" s="1"/>
  <c r="W502" i="2"/>
  <c r="C502" i="2"/>
  <c r="J502" i="2" s="1"/>
  <c r="K502" i="2"/>
  <c r="L501" i="2" s="1"/>
  <c r="M501" i="2" s="1"/>
  <c r="E501" i="2"/>
  <c r="D501" i="2"/>
  <c r="U501" i="2" s="1"/>
  <c r="H500" i="2" l="1"/>
  <c r="Q191" i="2"/>
  <c r="O191" i="2" s="1"/>
  <c r="AP503" i="2"/>
  <c r="AV190" i="2"/>
  <c r="AR190" i="2" s="1"/>
  <c r="AW190" i="2" s="1"/>
  <c r="AU190" i="2" s="1"/>
  <c r="S191" i="2"/>
  <c r="AE190" i="2"/>
  <c r="T191" i="2"/>
  <c r="AH190" i="2"/>
  <c r="AI191" i="2" s="1"/>
  <c r="P502" i="2"/>
  <c r="F501" i="2"/>
  <c r="G501" i="2" s="1"/>
  <c r="V501" i="2"/>
  <c r="Y501" i="2" s="1"/>
  <c r="AB501" i="2" s="1"/>
  <c r="Z500" i="2"/>
  <c r="AQ503" i="2"/>
  <c r="AU503" i="2"/>
  <c r="E502" i="2"/>
  <c r="V502" i="2" s="1"/>
  <c r="D502" i="2"/>
  <c r="U502" i="2" s="1"/>
  <c r="B504" i="2"/>
  <c r="AJ503" i="2"/>
  <c r="AA503" i="2"/>
  <c r="AD503" i="2" s="1"/>
  <c r="AC503" i="2"/>
  <c r="W503" i="2"/>
  <c r="K503" i="2"/>
  <c r="L502" i="2" s="1"/>
  <c r="M502" i="2" s="1"/>
  <c r="C503" i="2"/>
  <c r="J503" i="2" s="1"/>
  <c r="BC501" i="2" l="1"/>
  <c r="BC502" i="2" s="1"/>
  <c r="AT190" i="2"/>
  <c r="BB191" i="2" s="1"/>
  <c r="AF191" i="2"/>
  <c r="AK191" i="2" s="1"/>
  <c r="AL190" i="2"/>
  <c r="BA190" i="2" s="1"/>
  <c r="Y502" i="2"/>
  <c r="AB502" i="2" s="1"/>
  <c r="AS192" i="2"/>
  <c r="AN192" i="2"/>
  <c r="H501" i="2"/>
  <c r="R191" i="2"/>
  <c r="AM191" i="2"/>
  <c r="AM504" i="2"/>
  <c r="AP504" i="2"/>
  <c r="AO192" i="2"/>
  <c r="N192" i="2"/>
  <c r="X192" i="2"/>
  <c r="I192" i="2"/>
  <c r="P503" i="2"/>
  <c r="F502" i="2"/>
  <c r="G502" i="2" s="1"/>
  <c r="Z501" i="2"/>
  <c r="AQ504" i="2"/>
  <c r="D503" i="2"/>
  <c r="U503" i="2" s="1"/>
  <c r="E503" i="2"/>
  <c r="V503" i="2" s="1"/>
  <c r="B505" i="2"/>
  <c r="AC504" i="2"/>
  <c r="W504" i="2"/>
  <c r="C504" i="2"/>
  <c r="P504" i="2" s="1"/>
  <c r="K504" i="2"/>
  <c r="L503" i="2" s="1"/>
  <c r="M503" i="2" s="1"/>
  <c r="BC503" i="2" l="1"/>
  <c r="AV191" i="2"/>
  <c r="AR191" i="2" s="1"/>
  <c r="AW191" i="2" s="1"/>
  <c r="T192" i="2"/>
  <c r="AG191" i="2"/>
  <c r="Y503" i="2"/>
  <c r="AB503" i="2" s="1"/>
  <c r="H502" i="2"/>
  <c r="AE191" i="2"/>
  <c r="AH191" i="2"/>
  <c r="S192" i="2"/>
  <c r="AP505" i="2"/>
  <c r="AM505" i="2"/>
  <c r="Q192" i="2"/>
  <c r="J504" i="2"/>
  <c r="F503" i="2"/>
  <c r="G503" i="2" s="1"/>
  <c r="Z502" i="2"/>
  <c r="D504" i="2"/>
  <c r="U504" i="2" s="1"/>
  <c r="E504" i="2"/>
  <c r="V504" i="2" s="1"/>
  <c r="B506" i="2"/>
  <c r="AJ505" i="2"/>
  <c r="AA505" i="2"/>
  <c r="W505" i="2"/>
  <c r="AC505" i="2"/>
  <c r="C505" i="2"/>
  <c r="J505" i="2" s="1"/>
  <c r="K505" i="2"/>
  <c r="L504" i="2" s="1"/>
  <c r="AQ505" i="2"/>
  <c r="BC504" i="2" l="1"/>
  <c r="AF192" i="2"/>
  <c r="AL191" i="2"/>
  <c r="BA191" i="2" s="1"/>
  <c r="Y504" i="2"/>
  <c r="AB504" i="2" s="1"/>
  <c r="R192" i="2"/>
  <c r="H503" i="2"/>
  <c r="AJ192" i="2"/>
  <c r="O192" i="2"/>
  <c r="AM506" i="2"/>
  <c r="AP506" i="2"/>
  <c r="M504" i="2"/>
  <c r="F504" i="2"/>
  <c r="G504" i="2" s="1"/>
  <c r="P505" i="2"/>
  <c r="Z503" i="2"/>
  <c r="B507" i="2"/>
  <c r="AJ506" i="2"/>
  <c r="W506" i="2"/>
  <c r="AC506" i="2"/>
  <c r="AA506" i="2"/>
  <c r="C506" i="2"/>
  <c r="J506" i="2" s="1"/>
  <c r="K506" i="2"/>
  <c r="L505" i="2" s="1"/>
  <c r="M505" i="2" s="1"/>
  <c r="D505" i="2"/>
  <c r="U505" i="2" s="1"/>
  <c r="E505" i="2"/>
  <c r="AQ506" i="2"/>
  <c r="AE192" i="2" l="1"/>
  <c r="AF193" i="2" s="1"/>
  <c r="S193" i="2"/>
  <c r="AG192" i="2"/>
  <c r="AT191" i="2"/>
  <c r="BB192" i="2" s="1"/>
  <c r="T193" i="2"/>
  <c r="H504" i="2"/>
  <c r="AS193" i="2"/>
  <c r="AN193" i="2"/>
  <c r="AI192" i="2"/>
  <c r="AK192" i="2" s="1"/>
  <c r="AO193" i="2"/>
  <c r="N193" i="2"/>
  <c r="X193" i="2"/>
  <c r="I193" i="2"/>
  <c r="AM507" i="2"/>
  <c r="AP507" i="2"/>
  <c r="P506" i="2"/>
  <c r="F505" i="2"/>
  <c r="G505" i="2" s="1"/>
  <c r="V505" i="2"/>
  <c r="Y505" i="2" s="1"/>
  <c r="AB505" i="2" s="1"/>
  <c r="Z504" i="2"/>
  <c r="AA504" i="2"/>
  <c r="AD504" i="2" s="1"/>
  <c r="AD505" i="2" s="1"/>
  <c r="AD506" i="2" s="1"/>
  <c r="AQ507" i="2"/>
  <c r="E506" i="2"/>
  <c r="V506" i="2" s="1"/>
  <c r="D506" i="2"/>
  <c r="U506" i="2" s="1"/>
  <c r="B508" i="2"/>
  <c r="AC507" i="2"/>
  <c r="AJ507" i="2"/>
  <c r="W507" i="2"/>
  <c r="AA507" i="2"/>
  <c r="C507" i="2"/>
  <c r="J507" i="2" s="1"/>
  <c r="K507" i="2"/>
  <c r="L506" i="2" s="1"/>
  <c r="M506" i="2" s="1"/>
  <c r="BC505" i="2" l="1"/>
  <c r="BC506" i="2" s="1"/>
  <c r="AV192" i="2"/>
  <c r="AR192" i="2" s="1"/>
  <c r="AW192" i="2" s="1"/>
  <c r="AU192" i="2" s="1"/>
  <c r="Y506" i="2"/>
  <c r="AB506" i="2" s="1"/>
  <c r="H505" i="2"/>
  <c r="Q193" i="2"/>
  <c r="R193" i="2" s="1"/>
  <c r="AG193" i="2" s="1"/>
  <c r="AH192" i="2"/>
  <c r="AT192" i="2" s="1"/>
  <c r="BB193" i="2" s="1"/>
  <c r="AM508" i="2"/>
  <c r="AP508" i="2"/>
  <c r="P507" i="2"/>
  <c r="F506" i="2"/>
  <c r="G506" i="2" s="1"/>
  <c r="AD507" i="2"/>
  <c r="Z505" i="2"/>
  <c r="B509" i="2"/>
  <c r="AC508" i="2"/>
  <c r="AA508" i="2"/>
  <c r="AJ508" i="2"/>
  <c r="W508" i="2"/>
  <c r="C508" i="2"/>
  <c r="P508" i="2" s="1"/>
  <c r="K508" i="2"/>
  <c r="L507" i="2" s="1"/>
  <c r="M507" i="2" s="1"/>
  <c r="AQ508" i="2"/>
  <c r="D507" i="2"/>
  <c r="U507" i="2" s="1"/>
  <c r="E507" i="2"/>
  <c r="AM193" i="2" l="1"/>
  <c r="AL192" i="2"/>
  <c r="BA192" i="2" s="1"/>
  <c r="H506" i="2"/>
  <c r="AE193" i="2"/>
  <c r="S194" i="2"/>
  <c r="O193" i="2"/>
  <c r="T194" i="2"/>
  <c r="AI193" i="2"/>
  <c r="AK193" i="2" s="1"/>
  <c r="AM509" i="2"/>
  <c r="AP509" i="2"/>
  <c r="J508" i="2"/>
  <c r="AD508" i="2"/>
  <c r="F507" i="2"/>
  <c r="G507" i="2" s="1"/>
  <c r="V507" i="2"/>
  <c r="Y507" i="2" s="1"/>
  <c r="AB507" i="2" s="1"/>
  <c r="Z506" i="2"/>
  <c r="AQ509" i="2"/>
  <c r="E508" i="2"/>
  <c r="V508" i="2" s="1"/>
  <c r="D508" i="2"/>
  <c r="U508" i="2" s="1"/>
  <c r="B510" i="2"/>
  <c r="AJ509" i="2"/>
  <c r="AC509" i="2"/>
  <c r="AA509" i="2"/>
  <c r="W509" i="2"/>
  <c r="K509" i="2"/>
  <c r="L508" i="2" s="1"/>
  <c r="C509" i="2"/>
  <c r="P509" i="2" s="1"/>
  <c r="BC507" i="2" l="1"/>
  <c r="BC508" i="2" s="1"/>
  <c r="AF194" i="2"/>
  <c r="Y508" i="2"/>
  <c r="AB508" i="2" s="1"/>
  <c r="AO194" i="2"/>
  <c r="AN194" i="2"/>
  <c r="H507" i="2"/>
  <c r="AS194" i="2"/>
  <c r="I194" i="2"/>
  <c r="X194" i="2"/>
  <c r="AV193" i="2"/>
  <c r="AR193" i="2" s="1"/>
  <c r="AW193" i="2" s="1"/>
  <c r="AU193" i="2" s="1"/>
  <c r="N194" i="2"/>
  <c r="AH193" i="2"/>
  <c r="AI194" i="2" s="1"/>
  <c r="M508" i="2"/>
  <c r="AM510" i="2"/>
  <c r="AP510" i="2"/>
  <c r="AD509" i="2"/>
  <c r="J509" i="2"/>
  <c r="F508" i="2"/>
  <c r="G508" i="2" s="1"/>
  <c r="Z507" i="2"/>
  <c r="E509" i="2"/>
  <c r="V509" i="2" s="1"/>
  <c r="D509" i="2"/>
  <c r="U509" i="2" s="1"/>
  <c r="B511" i="2"/>
  <c r="AJ510" i="2"/>
  <c r="AA510" i="2"/>
  <c r="AC510" i="2"/>
  <c r="W510" i="2"/>
  <c r="C510" i="2"/>
  <c r="P510" i="2" s="1"/>
  <c r="K510" i="2"/>
  <c r="L509" i="2" s="1"/>
  <c r="AQ510" i="2"/>
  <c r="BC509" i="2" l="1"/>
  <c r="AT193" i="2"/>
  <c r="BB194" i="2" s="1"/>
  <c r="AL193" i="2"/>
  <c r="BA193" i="2" s="1"/>
  <c r="Y509" i="2"/>
  <c r="AB509" i="2" s="1"/>
  <c r="Q194" i="2"/>
  <c r="R194" i="2" s="1"/>
  <c r="H508" i="2"/>
  <c r="AK194" i="2"/>
  <c r="AM511" i="2"/>
  <c r="AP511" i="2"/>
  <c r="AD510" i="2"/>
  <c r="F509" i="2"/>
  <c r="G509" i="2" s="1"/>
  <c r="M509" i="2"/>
  <c r="J510" i="2"/>
  <c r="Z508" i="2"/>
  <c r="E510" i="2"/>
  <c r="V510" i="2" s="1"/>
  <c r="D510" i="2"/>
  <c r="U510" i="2" s="1"/>
  <c r="AQ511" i="2"/>
  <c r="B512" i="2"/>
  <c r="AJ511" i="2"/>
  <c r="W511" i="2"/>
  <c r="AA511" i="2"/>
  <c r="AC511" i="2"/>
  <c r="K511" i="2"/>
  <c r="L510" i="2" s="1"/>
  <c r="C511" i="2"/>
  <c r="J511" i="2" s="1"/>
  <c r="BC510" i="2" l="1"/>
  <c r="T195" i="2"/>
  <c r="AG194" i="2"/>
  <c r="AD511" i="2"/>
  <c r="S195" i="2"/>
  <c r="AH194" i="2"/>
  <c r="AI195" i="2" s="1"/>
  <c r="Y510" i="2"/>
  <c r="AB510" i="2" s="1"/>
  <c r="O194" i="2"/>
  <c r="AE194" i="2"/>
  <c r="H509" i="2"/>
  <c r="P511" i="2"/>
  <c r="AV194" i="2"/>
  <c r="AR194" i="2" s="1"/>
  <c r="AW194" i="2" s="1"/>
  <c r="AU194" i="2" s="1"/>
  <c r="F510" i="2"/>
  <c r="G510" i="2" s="1"/>
  <c r="AM512" i="2"/>
  <c r="AP512" i="2"/>
  <c r="M510" i="2"/>
  <c r="Z509" i="2"/>
  <c r="AQ512" i="2"/>
  <c r="E511" i="2"/>
  <c r="V511" i="2" s="1"/>
  <c r="D511" i="2"/>
  <c r="U511" i="2" s="1"/>
  <c r="B513" i="2"/>
  <c r="AJ512" i="2"/>
  <c r="AC512" i="2"/>
  <c r="AA512" i="2"/>
  <c r="AD512" i="2" s="1"/>
  <c r="W512" i="2"/>
  <c r="C512" i="2"/>
  <c r="J512" i="2" s="1"/>
  <c r="K512" i="2"/>
  <c r="L511" i="2" s="1"/>
  <c r="M511" i="2" s="1"/>
  <c r="BC511" i="2" l="1"/>
  <c r="X195" i="2"/>
  <c r="AT194" i="2"/>
  <c r="AF195" i="2"/>
  <c r="AL194" i="2"/>
  <c r="BA194" i="2" s="1"/>
  <c r="AN195" i="2"/>
  <c r="N195" i="2"/>
  <c r="Y511" i="2"/>
  <c r="AB511" i="2" s="1"/>
  <c r="AO195" i="2"/>
  <c r="I195" i="2"/>
  <c r="AS195" i="2"/>
  <c r="H510" i="2"/>
  <c r="AP513" i="2"/>
  <c r="AM513" i="2"/>
  <c r="F511" i="2"/>
  <c r="G511" i="2" s="1"/>
  <c r="P512" i="2"/>
  <c r="Z510" i="2"/>
  <c r="B514" i="2"/>
  <c r="AJ513" i="2"/>
  <c r="AC513" i="2"/>
  <c r="W513" i="2"/>
  <c r="AA513" i="2"/>
  <c r="AD513" i="2" s="1"/>
  <c r="K513" i="2"/>
  <c r="L512" i="2" s="1"/>
  <c r="M512" i="2" s="1"/>
  <c r="C513" i="2"/>
  <c r="J513" i="2" s="1"/>
  <c r="E512" i="2"/>
  <c r="V512" i="2" s="1"/>
  <c r="D512" i="2"/>
  <c r="U512" i="2" s="1"/>
  <c r="AQ513" i="2"/>
  <c r="BC512" i="2" l="1"/>
  <c r="BB195" i="2"/>
  <c r="AK195" i="2"/>
  <c r="P513" i="2"/>
  <c r="Q195" i="2"/>
  <c r="R195" i="2" s="1"/>
  <c r="AG195" i="2" s="1"/>
  <c r="AV195" i="2"/>
  <c r="AR195" i="2" s="1"/>
  <c r="AW195" i="2" s="1"/>
  <c r="Y512" i="2"/>
  <c r="AB512" i="2" s="1"/>
  <c r="H511" i="2"/>
  <c r="AM514" i="2"/>
  <c r="AP514" i="2"/>
  <c r="F512" i="2"/>
  <c r="G512" i="2" s="1"/>
  <c r="Z511" i="2"/>
  <c r="AQ514" i="2"/>
  <c r="B515" i="2"/>
  <c r="AJ514" i="2"/>
  <c r="AC514" i="2"/>
  <c r="W514" i="2"/>
  <c r="AA514" i="2"/>
  <c r="AD514" i="2" s="1"/>
  <c r="K514" i="2"/>
  <c r="L513" i="2" s="1"/>
  <c r="M513" i="2" s="1"/>
  <c r="C514" i="2"/>
  <c r="J514" i="2" s="1"/>
  <c r="D513" i="2"/>
  <c r="U513" i="2" s="1"/>
  <c r="E513" i="2"/>
  <c r="V513" i="2" s="1"/>
  <c r="BC513" i="2" l="1"/>
  <c r="F513" i="2"/>
  <c r="G513" i="2" s="1"/>
  <c r="H513" i="2" s="1"/>
  <c r="P514" i="2"/>
  <c r="O195" i="2"/>
  <c r="AU195" i="2"/>
  <c r="Y513" i="2"/>
  <c r="AB513" i="2" s="1"/>
  <c r="H512" i="2"/>
  <c r="AM515" i="2"/>
  <c r="AP515" i="2"/>
  <c r="Z512" i="2"/>
  <c r="S196" i="2"/>
  <c r="AH195" i="2"/>
  <c r="AI196" i="2" s="1"/>
  <c r="AE195" i="2"/>
  <c r="T196" i="2"/>
  <c r="AU515" i="2"/>
  <c r="D514" i="2"/>
  <c r="U514" i="2" s="1"/>
  <c r="E514" i="2"/>
  <c r="V514" i="2" s="1"/>
  <c r="F514" i="2"/>
  <c r="G514" i="2" s="1"/>
  <c r="B516" i="2"/>
  <c r="AC515" i="2"/>
  <c r="W515" i="2"/>
  <c r="AJ515" i="2"/>
  <c r="AA515" i="2"/>
  <c r="AD515" i="2" s="1"/>
  <c r="K515" i="2"/>
  <c r="L514" i="2" s="1"/>
  <c r="M514" i="2" s="1"/>
  <c r="C515" i="2"/>
  <c r="P515" i="2" s="1"/>
  <c r="AQ515" i="2"/>
  <c r="BC514" i="2" l="1"/>
  <c r="AN196" i="2"/>
  <c r="AT195" i="2"/>
  <c r="AL195" i="2"/>
  <c r="BA195" i="2" s="1"/>
  <c r="AS196" i="2"/>
  <c r="N196" i="2"/>
  <c r="AO196" i="2"/>
  <c r="I196" i="2"/>
  <c r="X196" i="2"/>
  <c r="Y514" i="2"/>
  <c r="AB514" i="2" s="1"/>
  <c r="J515" i="2"/>
  <c r="AM196" i="2"/>
  <c r="AM516" i="2"/>
  <c r="AP516" i="2"/>
  <c r="Z513" i="2"/>
  <c r="AF196" i="2"/>
  <c r="AQ516" i="2"/>
  <c r="B517" i="2"/>
  <c r="AC516" i="2"/>
  <c r="W516" i="2"/>
  <c r="K516" i="2"/>
  <c r="L515" i="2" s="1"/>
  <c r="C516" i="2"/>
  <c r="J516" i="2" s="1"/>
  <c r="D515" i="2"/>
  <c r="U515" i="2" s="1"/>
  <c r="E515" i="2"/>
  <c r="V515" i="2" s="1"/>
  <c r="H514" i="2"/>
  <c r="BC515" i="2" l="1"/>
  <c r="BB196" i="2"/>
  <c r="AK196" i="2"/>
  <c r="AV196" i="2"/>
  <c r="AR196" i="2" s="1"/>
  <c r="AW196" i="2" s="1"/>
  <c r="Q196" i="2"/>
  <c r="R196" i="2" s="1"/>
  <c r="AG196" i="2" s="1"/>
  <c r="Y515" i="2"/>
  <c r="AB515" i="2" s="1"/>
  <c r="M515" i="2"/>
  <c r="AM517" i="2"/>
  <c r="AP517" i="2"/>
  <c r="F515" i="2"/>
  <c r="G515" i="2" s="1"/>
  <c r="P516" i="2"/>
  <c r="Z514" i="2"/>
  <c r="B518" i="2"/>
  <c r="AJ517" i="2"/>
  <c r="AC517" i="2"/>
  <c r="AA517" i="2"/>
  <c r="W517" i="2"/>
  <c r="C517" i="2"/>
  <c r="J517" i="2" s="1"/>
  <c r="K517" i="2"/>
  <c r="L516" i="2" s="1"/>
  <c r="M516" i="2" s="1"/>
  <c r="AQ517" i="2"/>
  <c r="E516" i="2"/>
  <c r="V516" i="2" s="1"/>
  <c r="D516" i="2"/>
  <c r="U516" i="2" s="1"/>
  <c r="BC516" i="2" l="1"/>
  <c r="AU196" i="2"/>
  <c r="O196" i="2"/>
  <c r="Y516" i="2"/>
  <c r="AB516" i="2" s="1"/>
  <c r="H515" i="2"/>
  <c r="AP518" i="2"/>
  <c r="P517" i="2"/>
  <c r="F516" i="2"/>
  <c r="G516" i="2" s="1"/>
  <c r="Z515" i="2"/>
  <c r="T197" i="2"/>
  <c r="S197" i="2"/>
  <c r="AE196" i="2"/>
  <c r="AH196" i="2"/>
  <c r="AI197" i="2" s="1"/>
  <c r="B519" i="2"/>
  <c r="AJ518" i="2"/>
  <c r="AA518" i="2"/>
  <c r="AC518" i="2"/>
  <c r="W518" i="2"/>
  <c r="K518" i="2"/>
  <c r="L517" i="2" s="1"/>
  <c r="M517" i="2" s="1"/>
  <c r="C518" i="2"/>
  <c r="J518" i="2" s="1"/>
  <c r="AQ518" i="2"/>
  <c r="E517" i="2"/>
  <c r="V517" i="2" s="1"/>
  <c r="D517" i="2"/>
  <c r="U517" i="2" s="1"/>
  <c r="BC517" i="2" l="1"/>
  <c r="AN197" i="2"/>
  <c r="AT196" i="2"/>
  <c r="AL196" i="2"/>
  <c r="BA196" i="2" s="1"/>
  <c r="AO197" i="2"/>
  <c r="I197" i="2"/>
  <c r="N197" i="2"/>
  <c r="X197" i="2"/>
  <c r="AS197" i="2"/>
  <c r="Y517" i="2"/>
  <c r="AB517" i="2" s="1"/>
  <c r="H516" i="2"/>
  <c r="P518" i="2"/>
  <c r="AM197" i="2"/>
  <c r="AM519" i="2"/>
  <c r="AP519" i="2"/>
  <c r="F517" i="2"/>
  <c r="G517" i="2" s="1"/>
  <c r="AA516" i="2"/>
  <c r="AD516" i="2" s="1"/>
  <c r="AD517" i="2" s="1"/>
  <c r="AD518" i="2" s="1"/>
  <c r="Z516" i="2"/>
  <c r="AF197" i="2"/>
  <c r="AQ519" i="2"/>
  <c r="E518" i="2"/>
  <c r="V518" i="2" s="1"/>
  <c r="D518" i="2"/>
  <c r="U518" i="2" s="1"/>
  <c r="B520" i="2"/>
  <c r="AJ519" i="2"/>
  <c r="AA519" i="2"/>
  <c r="AC519" i="2"/>
  <c r="W519" i="2"/>
  <c r="K519" i="2"/>
  <c r="L518" i="2" s="1"/>
  <c r="M518" i="2" s="1"/>
  <c r="C519" i="2"/>
  <c r="J519" i="2" s="1"/>
  <c r="BC518" i="2" l="1"/>
  <c r="BB197" i="2"/>
  <c r="AV197" i="2"/>
  <c r="AR197" i="2" s="1"/>
  <c r="AW197" i="2" s="1"/>
  <c r="AK197" i="2"/>
  <c r="Q197" i="2"/>
  <c r="R197" i="2" s="1"/>
  <c r="Y518" i="2"/>
  <c r="AB518" i="2" s="1"/>
  <c r="H517" i="2"/>
  <c r="AQ520" i="2"/>
  <c r="AM520" i="2"/>
  <c r="AP520" i="2"/>
  <c r="P519" i="2"/>
  <c r="F518" i="2"/>
  <c r="G518" i="2" s="1"/>
  <c r="AD519" i="2"/>
  <c r="Z517" i="2"/>
  <c r="B521" i="2"/>
  <c r="AJ520" i="2"/>
  <c r="AC520" i="2"/>
  <c r="AA520" i="2"/>
  <c r="W520" i="2"/>
  <c r="C520" i="2"/>
  <c r="J520" i="2" s="1"/>
  <c r="K520" i="2"/>
  <c r="L519" i="2" s="1"/>
  <c r="M519" i="2" s="1"/>
  <c r="D519" i="2"/>
  <c r="U519" i="2" s="1"/>
  <c r="E519" i="2"/>
  <c r="V519" i="2" s="1"/>
  <c r="BC519" i="2" l="1"/>
  <c r="S198" i="2"/>
  <c r="AG197" i="2"/>
  <c r="AU197" i="2"/>
  <c r="AE197" i="2"/>
  <c r="T198" i="2"/>
  <c r="AH197" i="2"/>
  <c r="AI198" i="2" s="1"/>
  <c r="O197" i="2"/>
  <c r="AM198" i="2" s="1"/>
  <c r="Y519" i="2"/>
  <c r="AB519" i="2" s="1"/>
  <c r="H518" i="2"/>
  <c r="AP521" i="2"/>
  <c r="AM521" i="2"/>
  <c r="AD520" i="2"/>
  <c r="P520" i="2"/>
  <c r="F519" i="2"/>
  <c r="G519" i="2" s="1"/>
  <c r="Z518" i="2"/>
  <c r="B522" i="2"/>
  <c r="AJ521" i="2"/>
  <c r="AA521" i="2"/>
  <c r="W521" i="2"/>
  <c r="AC521" i="2"/>
  <c r="C521" i="2"/>
  <c r="J521" i="2" s="1"/>
  <c r="K521" i="2"/>
  <c r="L520" i="2" s="1"/>
  <c r="M520" i="2" s="1"/>
  <c r="D520" i="2"/>
  <c r="U520" i="2" s="1"/>
  <c r="E520" i="2"/>
  <c r="V520" i="2" s="1"/>
  <c r="AQ521" i="2"/>
  <c r="BC520" i="2" l="1"/>
  <c r="AO198" i="2"/>
  <c r="AT197" i="2"/>
  <c r="AF198" i="2"/>
  <c r="AL197" i="2"/>
  <c r="BA197" i="2" s="1"/>
  <c r="AS198" i="2"/>
  <c r="AN198" i="2"/>
  <c r="X198" i="2"/>
  <c r="N198" i="2"/>
  <c r="I198" i="2"/>
  <c r="AD521" i="2"/>
  <c r="Y520" i="2"/>
  <c r="AB520" i="2" s="1"/>
  <c r="H519" i="2"/>
  <c r="AP522" i="2"/>
  <c r="AM522" i="2"/>
  <c r="F520" i="2"/>
  <c r="G520" i="2" s="1"/>
  <c r="P521" i="2"/>
  <c r="Z519" i="2"/>
  <c r="AQ522" i="2"/>
  <c r="E521" i="2"/>
  <c r="V521" i="2" s="1"/>
  <c r="D521" i="2"/>
  <c r="U521" i="2" s="1"/>
  <c r="B523" i="2"/>
  <c r="AJ522" i="2"/>
  <c r="W522" i="2"/>
  <c r="AA522" i="2"/>
  <c r="AC522" i="2"/>
  <c r="K522" i="2"/>
  <c r="L521" i="2" s="1"/>
  <c r="M521" i="2" s="1"/>
  <c r="C522" i="2"/>
  <c r="J522" i="2" s="1"/>
  <c r="AD522" i="2" l="1"/>
  <c r="BC521" i="2"/>
  <c r="BB198" i="2"/>
  <c r="AK198" i="2"/>
  <c r="AV198" i="2"/>
  <c r="AR198" i="2" s="1"/>
  <c r="AW198" i="2" s="1"/>
  <c r="Q198" i="2"/>
  <c r="R198" i="2" s="1"/>
  <c r="Y521" i="2"/>
  <c r="AB521" i="2" s="1"/>
  <c r="H520" i="2"/>
  <c r="AP523" i="2"/>
  <c r="AM523" i="2"/>
  <c r="P522" i="2"/>
  <c r="F521" i="2"/>
  <c r="G521" i="2" s="1"/>
  <c r="Z520" i="2"/>
  <c r="D522" i="2"/>
  <c r="U522" i="2" s="1"/>
  <c r="E522" i="2"/>
  <c r="V522" i="2" s="1"/>
  <c r="B524" i="2"/>
  <c r="AJ523" i="2"/>
  <c r="AC523" i="2"/>
  <c r="W523" i="2"/>
  <c r="AA523" i="2"/>
  <c r="C523" i="2"/>
  <c r="P523" i="2" s="1"/>
  <c r="K523" i="2"/>
  <c r="L522" i="2" s="1"/>
  <c r="M522" i="2" s="1"/>
  <c r="AQ523" i="2"/>
  <c r="AD523" i="2" l="1"/>
  <c r="BC522" i="2"/>
  <c r="AH198" i="2"/>
  <c r="AI199" i="2" s="1"/>
  <c r="AG198" i="2"/>
  <c r="AU198" i="2"/>
  <c r="O198" i="2"/>
  <c r="AS199" i="2" s="1"/>
  <c r="T199" i="2"/>
  <c r="AE198" i="2"/>
  <c r="S199" i="2"/>
  <c r="Y522" i="2"/>
  <c r="AB522" i="2" s="1"/>
  <c r="H521" i="2"/>
  <c r="AQ524" i="2"/>
  <c r="AP524" i="2"/>
  <c r="AM524" i="2"/>
  <c r="J523" i="2"/>
  <c r="Z521" i="2"/>
  <c r="F522" i="2"/>
  <c r="G522" i="2" s="1"/>
  <c r="B525" i="2"/>
  <c r="AC524" i="2"/>
  <c r="W524" i="2"/>
  <c r="AJ524" i="2"/>
  <c r="AA524" i="2"/>
  <c r="AD524" i="2" s="1"/>
  <c r="C524" i="2"/>
  <c r="P524" i="2" s="1"/>
  <c r="K524" i="2"/>
  <c r="L523" i="2" s="1"/>
  <c r="E523" i="2"/>
  <c r="V523" i="2" s="1"/>
  <c r="D523" i="2"/>
  <c r="U523" i="2" s="1"/>
  <c r="AM199" i="2" l="1"/>
  <c r="BC523" i="2"/>
  <c r="AN199" i="2"/>
  <c r="AT198" i="2"/>
  <c r="I199" i="2"/>
  <c r="AO199" i="2"/>
  <c r="X199" i="2"/>
  <c r="AF199" i="2"/>
  <c r="AL198" i="2"/>
  <c r="BA198" i="2" s="1"/>
  <c r="N199" i="2"/>
  <c r="Y523" i="2"/>
  <c r="AB523" i="2" s="1"/>
  <c r="H522" i="2"/>
  <c r="AM525" i="2"/>
  <c r="AP525" i="2"/>
  <c r="F523" i="2"/>
  <c r="G523" i="2" s="1"/>
  <c r="M523" i="2"/>
  <c r="Z522" i="2"/>
  <c r="J524" i="2"/>
  <c r="AQ525" i="2"/>
  <c r="D524" i="2"/>
  <c r="U524" i="2" s="1"/>
  <c r="E524" i="2"/>
  <c r="V524" i="2" s="1"/>
  <c r="B526" i="2"/>
  <c r="AC525" i="2"/>
  <c r="W525" i="2"/>
  <c r="AA525" i="2"/>
  <c r="AD525" i="2" s="1"/>
  <c r="AJ525" i="2"/>
  <c r="C525" i="2"/>
  <c r="J525" i="2" s="1"/>
  <c r="K525" i="2"/>
  <c r="L524" i="2" s="1"/>
  <c r="BC524" i="2" l="1"/>
  <c r="AK199" i="2"/>
  <c r="BB199" i="2"/>
  <c r="Q199" i="2"/>
  <c r="R199" i="2" s="1"/>
  <c r="AV199" i="2"/>
  <c r="AR199" i="2" s="1"/>
  <c r="AW199" i="2" s="1"/>
  <c r="Y524" i="2"/>
  <c r="AB524" i="2" s="1"/>
  <c r="H523" i="2"/>
  <c r="AM526" i="2"/>
  <c r="AP526" i="2"/>
  <c r="F524" i="2"/>
  <c r="G524" i="2" s="1"/>
  <c r="M524" i="2"/>
  <c r="P525" i="2"/>
  <c r="Z523" i="2"/>
  <c r="E525" i="2"/>
  <c r="V525" i="2" s="1"/>
  <c r="D525" i="2"/>
  <c r="U525" i="2" s="1"/>
  <c r="B527" i="2"/>
  <c r="AJ526" i="2"/>
  <c r="AC526" i="2"/>
  <c r="W526" i="2"/>
  <c r="AA526" i="2"/>
  <c r="AD526" i="2" s="1"/>
  <c r="C526" i="2"/>
  <c r="J526" i="2" s="1"/>
  <c r="K526" i="2"/>
  <c r="L525" i="2" s="1"/>
  <c r="M525" i="2" s="1"/>
  <c r="AQ526" i="2"/>
  <c r="BC525" i="2" l="1"/>
  <c r="AU199" i="2"/>
  <c r="AH199" i="2"/>
  <c r="AI200" i="2" s="1"/>
  <c r="AG199" i="2"/>
  <c r="AE199" i="2"/>
  <c r="AF200" i="2" s="1"/>
  <c r="O199" i="2"/>
  <c r="N200" i="2" s="1"/>
  <c r="T200" i="2"/>
  <c r="S200" i="2"/>
  <c r="Y525" i="2"/>
  <c r="AB525" i="2" s="1"/>
  <c r="H524" i="2"/>
  <c r="AM527" i="2"/>
  <c r="AP527" i="2"/>
  <c r="F525" i="2"/>
  <c r="G525" i="2" s="1"/>
  <c r="P526" i="2"/>
  <c r="Z524" i="2"/>
  <c r="AU527" i="2"/>
  <c r="D526" i="2"/>
  <c r="U526" i="2" s="1"/>
  <c r="E526" i="2"/>
  <c r="V526" i="2" s="1"/>
  <c r="B528" i="2"/>
  <c r="AJ527" i="2"/>
  <c r="AA527" i="2"/>
  <c r="AD527" i="2" s="1"/>
  <c r="W527" i="2"/>
  <c r="AC527" i="2"/>
  <c r="C527" i="2"/>
  <c r="J527" i="2" s="1"/>
  <c r="K527" i="2"/>
  <c r="L526" i="2" s="1"/>
  <c r="M526" i="2" s="1"/>
  <c r="AQ527" i="2"/>
  <c r="BC526" i="2" l="1"/>
  <c r="AN200" i="2"/>
  <c r="I200" i="2"/>
  <c r="AK200" i="2" s="1"/>
  <c r="AS200" i="2"/>
  <c r="X200" i="2"/>
  <c r="AT199" i="2"/>
  <c r="AO200" i="2"/>
  <c r="AL199" i="2"/>
  <c r="BA199" i="2" s="1"/>
  <c r="Y526" i="2"/>
  <c r="AB526" i="2" s="1"/>
  <c r="H525" i="2"/>
  <c r="AM528" i="2"/>
  <c r="AP528" i="2"/>
  <c r="F526" i="2"/>
  <c r="G526" i="2" s="1"/>
  <c r="P527" i="2"/>
  <c r="Z525" i="2"/>
  <c r="AQ528" i="2"/>
  <c r="B529" i="2"/>
  <c r="AC528" i="2"/>
  <c r="W528" i="2"/>
  <c r="K528" i="2"/>
  <c r="L527" i="2" s="1"/>
  <c r="M527" i="2" s="1"/>
  <c r="C528" i="2"/>
  <c r="J528" i="2" s="1"/>
  <c r="D527" i="2"/>
  <c r="U527" i="2" s="1"/>
  <c r="E527" i="2"/>
  <c r="V527" i="2" s="1"/>
  <c r="BC527" i="2" l="1"/>
  <c r="Q200" i="2"/>
  <c r="R200" i="2" s="1"/>
  <c r="AH200" i="2" s="1"/>
  <c r="AI201" i="2" s="1"/>
  <c r="BB200" i="2"/>
  <c r="AV200" i="2"/>
  <c r="AR200" i="2" s="1"/>
  <c r="AW200" i="2" s="1"/>
  <c r="Y527" i="2"/>
  <c r="AB527" i="2" s="1"/>
  <c r="H526" i="2"/>
  <c r="AP529" i="2"/>
  <c r="F527" i="2"/>
  <c r="G527" i="2" s="1"/>
  <c r="P528" i="2"/>
  <c r="Z526" i="2"/>
  <c r="AQ529" i="2"/>
  <c r="E528" i="2"/>
  <c r="D528" i="2"/>
  <c r="U528" i="2" s="1"/>
  <c r="B530" i="2"/>
  <c r="AJ529" i="2"/>
  <c r="AA529" i="2"/>
  <c r="AC529" i="2"/>
  <c r="W529" i="2"/>
  <c r="K529" i="2"/>
  <c r="L528" i="2" s="1"/>
  <c r="M528" i="2" s="1"/>
  <c r="C529" i="2"/>
  <c r="P529" i="2" s="1"/>
  <c r="AG200" i="2" l="1"/>
  <c r="AE200" i="2"/>
  <c r="AF201" i="2" s="1"/>
  <c r="T201" i="2"/>
  <c r="S201" i="2"/>
  <c r="O200" i="2"/>
  <c r="AU200" i="2"/>
  <c r="H527" i="2"/>
  <c r="AM530" i="2"/>
  <c r="AP530" i="2"/>
  <c r="J529" i="2"/>
  <c r="F528" i="2"/>
  <c r="G528" i="2" s="1"/>
  <c r="V528" i="2"/>
  <c r="Y528" i="2" s="1"/>
  <c r="AB528" i="2" s="1"/>
  <c r="Z527" i="2"/>
  <c r="B531" i="2"/>
  <c r="AJ530" i="2"/>
  <c r="AA530" i="2"/>
  <c r="AC530" i="2"/>
  <c r="W530" i="2"/>
  <c r="C530" i="2"/>
  <c r="J530" i="2" s="1"/>
  <c r="K530" i="2"/>
  <c r="L529" i="2" s="1"/>
  <c r="AQ530" i="2"/>
  <c r="D529" i="2"/>
  <c r="U529" i="2" s="1"/>
  <c r="E529" i="2"/>
  <c r="BC528" i="2" l="1"/>
  <c r="I201" i="2"/>
  <c r="AK201" i="2" s="1"/>
  <c r="AM201" i="2"/>
  <c r="N201" i="2"/>
  <c r="AN201" i="2"/>
  <c r="AO201" i="2"/>
  <c r="AT200" i="2"/>
  <c r="AL200" i="2"/>
  <c r="BA200" i="2" s="1"/>
  <c r="AS201" i="2"/>
  <c r="X201" i="2"/>
  <c r="H528" i="2"/>
  <c r="M529" i="2"/>
  <c r="AM531" i="2"/>
  <c r="AP531" i="2"/>
  <c r="P530" i="2"/>
  <c r="Z528" i="2"/>
  <c r="F529" i="2"/>
  <c r="G529" i="2" s="1"/>
  <c r="V529" i="2"/>
  <c r="Y529" i="2" s="1"/>
  <c r="AB529" i="2" s="1"/>
  <c r="AA528" i="2"/>
  <c r="AD528" i="2" s="1"/>
  <c r="AD529" i="2" s="1"/>
  <c r="AD530" i="2" s="1"/>
  <c r="AQ531" i="2"/>
  <c r="E530" i="2"/>
  <c r="V530" i="2" s="1"/>
  <c r="D530" i="2"/>
  <c r="U530" i="2" s="1"/>
  <c r="B532" i="2"/>
  <c r="AC531" i="2"/>
  <c r="W531" i="2"/>
  <c r="AA531" i="2"/>
  <c r="AJ531" i="2"/>
  <c r="C531" i="2"/>
  <c r="P531" i="2" s="1"/>
  <c r="K531" i="2"/>
  <c r="L530" i="2" s="1"/>
  <c r="M530" i="2" s="1"/>
  <c r="BC529" i="2" l="1"/>
  <c r="BC530" i="2" s="1"/>
  <c r="Q201" i="2"/>
  <c r="R201" i="2" s="1"/>
  <c r="AG201" i="2" s="1"/>
  <c r="AV201" i="2"/>
  <c r="AR201" i="2" s="1"/>
  <c r="AW201" i="2" s="1"/>
  <c r="BB201" i="2"/>
  <c r="Y530" i="2"/>
  <c r="AB530" i="2" s="1"/>
  <c r="H529" i="2"/>
  <c r="AP532" i="2"/>
  <c r="J531" i="2"/>
  <c r="AD531" i="2"/>
  <c r="F530" i="2"/>
  <c r="G530" i="2" s="1"/>
  <c r="Z529" i="2"/>
  <c r="AQ532" i="2"/>
  <c r="B533" i="2"/>
  <c r="AJ532" i="2"/>
  <c r="AC532" i="2"/>
  <c r="W532" i="2"/>
  <c r="AA532" i="2"/>
  <c r="C532" i="2"/>
  <c r="J532" i="2" s="1"/>
  <c r="K532" i="2"/>
  <c r="L531" i="2" s="1"/>
  <c r="D531" i="2"/>
  <c r="U531" i="2" s="1"/>
  <c r="E531" i="2"/>
  <c r="V531" i="2" s="1"/>
  <c r="AE201" i="2" l="1"/>
  <c r="AF202" i="2" s="1"/>
  <c r="BC531" i="2"/>
  <c r="S202" i="2"/>
  <c r="T202" i="2"/>
  <c r="O201" i="2"/>
  <c r="X202" i="2" s="1"/>
  <c r="AH201" i="2"/>
  <c r="AI202" i="2" s="1"/>
  <c r="AU201" i="2"/>
  <c r="AM202" i="2"/>
  <c r="Y531" i="2"/>
  <c r="AB531" i="2" s="1"/>
  <c r="H530" i="2"/>
  <c r="AD532" i="2"/>
  <c r="AP533" i="2"/>
  <c r="AM533" i="2"/>
  <c r="M531" i="2"/>
  <c r="F531" i="2"/>
  <c r="G531" i="2" s="1"/>
  <c r="P532" i="2"/>
  <c r="Z530" i="2"/>
  <c r="B534" i="2"/>
  <c r="AC533" i="2"/>
  <c r="AJ533" i="2"/>
  <c r="W533" i="2"/>
  <c r="AA533" i="2"/>
  <c r="K533" i="2"/>
  <c r="L532" i="2" s="1"/>
  <c r="M532" i="2" s="1"/>
  <c r="C533" i="2"/>
  <c r="J533" i="2" s="1"/>
  <c r="D532" i="2"/>
  <c r="U532" i="2" s="1"/>
  <c r="E532" i="2"/>
  <c r="V532" i="2" s="1"/>
  <c r="AQ533" i="2"/>
  <c r="AT201" i="2" l="1"/>
  <c r="AN202" i="2"/>
  <c r="AL201" i="2"/>
  <c r="BA201" i="2" s="1"/>
  <c r="AO202" i="2"/>
  <c r="BC532" i="2"/>
  <c r="N202" i="2"/>
  <c r="I202" i="2"/>
  <c r="AK202" i="2" s="1"/>
  <c r="AS202" i="2"/>
  <c r="Y532" i="2"/>
  <c r="AB532" i="2" s="1"/>
  <c r="H531" i="2"/>
  <c r="AD533" i="2"/>
  <c r="AM534" i="2"/>
  <c r="AP534" i="2"/>
  <c r="P533" i="2"/>
  <c r="F532" i="2"/>
  <c r="G532" i="2" s="1"/>
  <c r="Z531" i="2"/>
  <c r="AQ534" i="2"/>
  <c r="B535" i="2"/>
  <c r="AJ534" i="2"/>
  <c r="AC534" i="2"/>
  <c r="AA534" i="2"/>
  <c r="W534" i="2"/>
  <c r="K534" i="2"/>
  <c r="L533" i="2" s="1"/>
  <c r="M533" i="2" s="1"/>
  <c r="C534" i="2"/>
  <c r="J534" i="2" s="1"/>
  <c r="D533" i="2"/>
  <c r="U533" i="2" s="1"/>
  <c r="E533" i="2"/>
  <c r="V533" i="2" s="1"/>
  <c r="AV202" i="2" l="1"/>
  <c r="AR202" i="2" s="1"/>
  <c r="AW202" i="2" s="1"/>
  <c r="BB202" i="2"/>
  <c r="BC533" i="2"/>
  <c r="Q202" i="2"/>
  <c r="R202" i="2" s="1"/>
  <c r="AG202" i="2" s="1"/>
  <c r="AD534" i="2"/>
  <c r="Y533" i="2"/>
  <c r="AB533" i="2" s="1"/>
  <c r="H532" i="2"/>
  <c r="AP535" i="2"/>
  <c r="P534" i="2"/>
  <c r="AQ535" i="2"/>
  <c r="F533" i="2"/>
  <c r="G533" i="2" s="1"/>
  <c r="Z532" i="2"/>
  <c r="B536" i="2"/>
  <c r="AJ535" i="2"/>
  <c r="AC535" i="2"/>
  <c r="W535" i="2"/>
  <c r="AA535" i="2"/>
  <c r="C535" i="2"/>
  <c r="J535" i="2" s="1"/>
  <c r="K535" i="2"/>
  <c r="L534" i="2" s="1"/>
  <c r="M534" i="2" s="1"/>
  <c r="D534" i="2"/>
  <c r="U534" i="2" s="1"/>
  <c r="E534" i="2"/>
  <c r="V534" i="2" s="1"/>
  <c r="AU202" i="2" l="1"/>
  <c r="AE202" i="2"/>
  <c r="AF203" i="2" s="1"/>
  <c r="AD535" i="2"/>
  <c r="O202" i="2"/>
  <c r="X203" i="2" s="1"/>
  <c r="BC534" i="2"/>
  <c r="AH202" i="2"/>
  <c r="AI203" i="2" s="1"/>
  <c r="T203" i="2"/>
  <c r="S203" i="2"/>
  <c r="Y534" i="2"/>
  <c r="AB534" i="2" s="1"/>
  <c r="H533" i="2"/>
  <c r="AM536" i="2"/>
  <c r="AP536" i="2"/>
  <c r="P535" i="2"/>
  <c r="F534" i="2"/>
  <c r="G534" i="2" s="1"/>
  <c r="Z533" i="2"/>
  <c r="B537" i="2"/>
  <c r="AJ536" i="2"/>
  <c r="AC536" i="2"/>
  <c r="AA536" i="2"/>
  <c r="AD536" i="2" s="1"/>
  <c r="W536" i="2"/>
  <c r="K536" i="2"/>
  <c r="L535" i="2" s="1"/>
  <c r="M535" i="2" s="1"/>
  <c r="C536" i="2"/>
  <c r="J536" i="2" s="1"/>
  <c r="AQ536" i="2"/>
  <c r="D535" i="2"/>
  <c r="U535" i="2" s="1"/>
  <c r="E535" i="2"/>
  <c r="V535" i="2" s="1"/>
  <c r="AM203" i="2" l="1"/>
  <c r="AN203" i="2"/>
  <c r="I203" i="2"/>
  <c r="AK203" i="2" s="1"/>
  <c r="N203" i="2"/>
  <c r="AO203" i="2"/>
  <c r="AS203" i="2"/>
  <c r="AT202" i="2"/>
  <c r="BC535" i="2"/>
  <c r="AL202" i="2"/>
  <c r="BA202" i="2" s="1"/>
  <c r="Y535" i="2"/>
  <c r="AB535" i="2" s="1"/>
  <c r="H534" i="2"/>
  <c r="AP537" i="2"/>
  <c r="AM537" i="2"/>
  <c r="P536" i="2"/>
  <c r="F535" i="2"/>
  <c r="G535" i="2" s="1"/>
  <c r="Z534" i="2"/>
  <c r="AQ537" i="2"/>
  <c r="D536" i="2"/>
  <c r="U536" i="2" s="1"/>
  <c r="E536" i="2"/>
  <c r="V536" i="2" s="1"/>
  <c r="B538" i="2"/>
  <c r="AJ537" i="2"/>
  <c r="AA537" i="2"/>
  <c r="AD537" i="2" s="1"/>
  <c r="W537" i="2"/>
  <c r="AC537" i="2"/>
  <c r="K537" i="2"/>
  <c r="L536" i="2" s="1"/>
  <c r="M536" i="2" s="1"/>
  <c r="C537" i="2"/>
  <c r="P537" i="2" s="1"/>
  <c r="BB203" i="2" l="1"/>
  <c r="Q203" i="2"/>
  <c r="O203" i="2" s="1"/>
  <c r="X204" i="2" s="1"/>
  <c r="AV203" i="2"/>
  <c r="AR203" i="2" s="1"/>
  <c r="AW203" i="2" s="1"/>
  <c r="F536" i="2"/>
  <c r="G536" i="2" s="1"/>
  <c r="H536" i="2" s="1"/>
  <c r="BC536" i="2"/>
  <c r="AN204" i="2"/>
  <c r="Y536" i="2"/>
  <c r="AB536" i="2" s="1"/>
  <c r="H535" i="2"/>
  <c r="AM538" i="2"/>
  <c r="AP538" i="2"/>
  <c r="J537" i="2"/>
  <c r="Z535" i="2"/>
  <c r="AQ538" i="2"/>
  <c r="B539" i="2"/>
  <c r="AJ538" i="2"/>
  <c r="W538" i="2"/>
  <c r="AA538" i="2"/>
  <c r="AD538" i="2" s="1"/>
  <c r="AC538" i="2"/>
  <c r="C538" i="2"/>
  <c r="J538" i="2" s="1"/>
  <c r="K538" i="2"/>
  <c r="L537" i="2" s="1"/>
  <c r="D537" i="2"/>
  <c r="U537" i="2" s="1"/>
  <c r="E537" i="2"/>
  <c r="V537" i="2" s="1"/>
  <c r="N204" i="2" l="1"/>
  <c r="AO204" i="2"/>
  <c r="R203" i="2"/>
  <c r="T204" i="2" s="1"/>
  <c r="I204" i="2"/>
  <c r="AS204" i="2"/>
  <c r="BC537" i="2"/>
  <c r="Y537" i="2"/>
  <c r="AB537" i="2" s="1"/>
  <c r="AP539" i="2"/>
  <c r="P538" i="2"/>
  <c r="M537" i="2"/>
  <c r="F537" i="2"/>
  <c r="G537" i="2" s="1"/>
  <c r="Z536" i="2"/>
  <c r="AU539" i="2"/>
  <c r="B540" i="2"/>
  <c r="AC539" i="2"/>
  <c r="AJ539" i="2"/>
  <c r="W539" i="2"/>
  <c r="AA539" i="2"/>
  <c r="AD539" i="2" s="1"/>
  <c r="K539" i="2"/>
  <c r="L538" i="2" s="1"/>
  <c r="M538" i="2" s="1"/>
  <c r="C539" i="2"/>
  <c r="J539" i="2" s="1"/>
  <c r="AQ539" i="2"/>
  <c r="E538" i="2"/>
  <c r="V538" i="2" s="1"/>
  <c r="D538" i="2"/>
  <c r="U538" i="2" s="1"/>
  <c r="Q204" i="2" l="1"/>
  <c r="O204" i="2" s="1"/>
  <c r="I205" i="2" s="1"/>
  <c r="AH203" i="2"/>
  <c r="AM204" i="2" s="1"/>
  <c r="AE203" i="2"/>
  <c r="AF204" i="2" s="1"/>
  <c r="AG203" i="2"/>
  <c r="S204" i="2"/>
  <c r="BC538" i="2"/>
  <c r="Y538" i="2"/>
  <c r="AB538" i="2" s="1"/>
  <c r="H537" i="2"/>
  <c r="AM540" i="2"/>
  <c r="AP540" i="2"/>
  <c r="P539" i="2"/>
  <c r="F538" i="2"/>
  <c r="G538" i="2" s="1"/>
  <c r="Z537" i="2"/>
  <c r="D539" i="2"/>
  <c r="U539" i="2" s="1"/>
  <c r="E539" i="2"/>
  <c r="V539" i="2" s="1"/>
  <c r="B541" i="2"/>
  <c r="AC540" i="2"/>
  <c r="W540" i="2"/>
  <c r="C540" i="2"/>
  <c r="J540" i="2" s="1"/>
  <c r="K540" i="2"/>
  <c r="L539" i="2" s="1"/>
  <c r="M539" i="2" s="1"/>
  <c r="AQ540" i="2"/>
  <c r="AN205" i="2" l="1"/>
  <c r="X205" i="2"/>
  <c r="AS205" i="2"/>
  <c r="R204" i="2"/>
  <c r="AG204" i="2" s="1"/>
  <c r="AO205" i="2"/>
  <c r="N205" i="2"/>
  <c r="Q205" i="2" s="1"/>
  <c r="O205" i="2" s="1"/>
  <c r="AS206" i="2" s="1"/>
  <c r="AL203" i="2"/>
  <c r="BA203" i="2" s="1"/>
  <c r="AJ204" i="2"/>
  <c r="AT203" i="2" s="1"/>
  <c r="BB204" i="2" s="1"/>
  <c r="BC539" i="2"/>
  <c r="Y539" i="2"/>
  <c r="AB539" i="2" s="1"/>
  <c r="H538" i="2"/>
  <c r="AP541" i="2"/>
  <c r="F539" i="2"/>
  <c r="G539" i="2" s="1"/>
  <c r="P540" i="2"/>
  <c r="Z538" i="2"/>
  <c r="AQ541" i="2"/>
  <c r="B542" i="2"/>
  <c r="AJ541" i="2"/>
  <c r="AC541" i="2"/>
  <c r="AA541" i="2"/>
  <c r="W541" i="2"/>
  <c r="C541" i="2"/>
  <c r="J541" i="2" s="1"/>
  <c r="K541" i="2"/>
  <c r="L540" i="2" s="1"/>
  <c r="M540" i="2" s="1"/>
  <c r="D540" i="2"/>
  <c r="U540" i="2" s="1"/>
  <c r="E540" i="2"/>
  <c r="V540" i="2" s="1"/>
  <c r="S205" i="2" l="1"/>
  <c r="AE204" i="2"/>
  <c r="AF205" i="2" s="1"/>
  <c r="T205" i="2"/>
  <c r="AI204" i="2"/>
  <c r="AK204" i="2" s="1"/>
  <c r="AV204" i="2"/>
  <c r="AR204" i="2" s="1"/>
  <c r="AW204" i="2" s="1"/>
  <c r="AU204" i="2" s="1"/>
  <c r="BC540" i="2"/>
  <c r="AN206" i="2"/>
  <c r="AO206" i="2"/>
  <c r="X206" i="2"/>
  <c r="N206" i="2"/>
  <c r="I206" i="2"/>
  <c r="Y540" i="2"/>
  <c r="AB540" i="2" s="1"/>
  <c r="H539" i="2"/>
  <c r="AP542" i="2"/>
  <c r="AM542" i="2"/>
  <c r="P541" i="2"/>
  <c r="F540" i="2"/>
  <c r="G540" i="2" s="1"/>
  <c r="Z539" i="2"/>
  <c r="B543" i="2"/>
  <c r="AJ542" i="2"/>
  <c r="AC542" i="2"/>
  <c r="AA542" i="2"/>
  <c r="W542" i="2"/>
  <c r="K542" i="2"/>
  <c r="L541" i="2" s="1"/>
  <c r="M541" i="2" s="1"/>
  <c r="C542" i="2"/>
  <c r="P542" i="2" s="1"/>
  <c r="D541" i="2"/>
  <c r="U541" i="2" s="1"/>
  <c r="E541" i="2"/>
  <c r="V541" i="2" s="1"/>
  <c r="F541" i="2"/>
  <c r="G541" i="2" s="1"/>
  <c r="AQ542" i="2"/>
  <c r="R205" i="2" l="1"/>
  <c r="AG205" i="2" s="1"/>
  <c r="AH204" i="2"/>
  <c r="AI205" i="2" s="1"/>
  <c r="BC541" i="2"/>
  <c r="Q206" i="2"/>
  <c r="Y541" i="2"/>
  <c r="AB541" i="2" s="1"/>
  <c r="H540" i="2"/>
  <c r="AP543" i="2"/>
  <c r="AM543" i="2"/>
  <c r="J542" i="2"/>
  <c r="Z540" i="2"/>
  <c r="AA540" i="2"/>
  <c r="AD540" i="2" s="1"/>
  <c r="AD541" i="2" s="1"/>
  <c r="AD542" i="2" s="1"/>
  <c r="AQ543" i="2"/>
  <c r="H541" i="2"/>
  <c r="B544" i="2"/>
  <c r="AJ543" i="2"/>
  <c r="AA543" i="2"/>
  <c r="W543" i="2"/>
  <c r="AC543" i="2"/>
  <c r="C543" i="2"/>
  <c r="P543" i="2" s="1"/>
  <c r="K543" i="2"/>
  <c r="L542" i="2" s="1"/>
  <c r="E542" i="2"/>
  <c r="V542" i="2" s="1"/>
  <c r="D542" i="2"/>
  <c r="U542" i="2" s="1"/>
  <c r="AE205" i="2" l="1"/>
  <c r="AF206" i="2" s="1"/>
  <c r="T206" i="2"/>
  <c r="S206" i="2"/>
  <c r="AH205" i="2"/>
  <c r="AI206" i="2" s="1"/>
  <c r="AL204" i="2"/>
  <c r="BA204" i="2" s="1"/>
  <c r="AK205" i="2"/>
  <c r="AT204" i="2"/>
  <c r="BB205" i="2" s="1"/>
  <c r="BC542" i="2"/>
  <c r="O206" i="2"/>
  <c r="AO207" i="2" s="1"/>
  <c r="F542" i="2"/>
  <c r="G542" i="2" s="1"/>
  <c r="H542" i="2" s="1"/>
  <c r="AD543" i="2"/>
  <c r="Y542" i="2"/>
  <c r="AB542" i="2" s="1"/>
  <c r="AM544" i="2"/>
  <c r="AP544" i="2"/>
  <c r="M542" i="2"/>
  <c r="J543" i="2"/>
  <c r="AQ544" i="2"/>
  <c r="Z541" i="2"/>
  <c r="D543" i="2"/>
  <c r="U543" i="2" s="1"/>
  <c r="E543" i="2"/>
  <c r="V543" i="2" s="1"/>
  <c r="B545" i="2"/>
  <c r="AJ544" i="2"/>
  <c r="AC544" i="2"/>
  <c r="AA544" i="2"/>
  <c r="AD544" i="2" s="1"/>
  <c r="W544" i="2"/>
  <c r="C544" i="2"/>
  <c r="P544" i="2" s="1"/>
  <c r="K544" i="2"/>
  <c r="L543" i="2" s="1"/>
  <c r="R206" i="2" l="1"/>
  <c r="AH206" i="2" s="1"/>
  <c r="AI207" i="2" s="1"/>
  <c r="AK206" i="2"/>
  <c r="AL205" i="2"/>
  <c r="BA205" i="2" s="1"/>
  <c r="AT205" i="2"/>
  <c r="BB206" i="2" s="1"/>
  <c r="AN207" i="2"/>
  <c r="AV205" i="2"/>
  <c r="AR205" i="2" s="1"/>
  <c r="AW205" i="2" s="1"/>
  <c r="AU205" i="2" s="1"/>
  <c r="AV206" i="2" s="1"/>
  <c r="AR206" i="2" s="1"/>
  <c r="AW206" i="2" s="1"/>
  <c r="AU206" i="2" s="1"/>
  <c r="N207" i="2"/>
  <c r="AS207" i="2"/>
  <c r="X207" i="2"/>
  <c r="BC543" i="2"/>
  <c r="I207" i="2"/>
  <c r="J544" i="2"/>
  <c r="Y543" i="2"/>
  <c r="AB543" i="2" s="1"/>
  <c r="AP545" i="2"/>
  <c r="AM545" i="2"/>
  <c r="M543" i="2"/>
  <c r="F543" i="2"/>
  <c r="G543" i="2" s="1"/>
  <c r="Z542" i="2"/>
  <c r="AQ545" i="2"/>
  <c r="B546" i="2"/>
  <c r="AJ545" i="2"/>
  <c r="AC545" i="2"/>
  <c r="AA545" i="2"/>
  <c r="AD545" i="2" s="1"/>
  <c r="W545" i="2"/>
  <c r="C545" i="2"/>
  <c r="J545" i="2" s="1"/>
  <c r="K545" i="2"/>
  <c r="L544" i="2" s="1"/>
  <c r="D544" i="2"/>
  <c r="U544" i="2" s="1"/>
  <c r="E544" i="2"/>
  <c r="V544" i="2" s="1"/>
  <c r="T207" i="2" l="1"/>
  <c r="S207" i="2"/>
  <c r="AG206" i="2"/>
  <c r="Q207" i="2"/>
  <c r="O207" i="2" s="1"/>
  <c r="AE206" i="2"/>
  <c r="AF207" i="2" s="1"/>
  <c r="P545" i="2"/>
  <c r="BC544" i="2"/>
  <c r="M544" i="2"/>
  <c r="Y544" i="2"/>
  <c r="AB544" i="2" s="1"/>
  <c r="H543" i="2"/>
  <c r="AM546" i="2"/>
  <c r="AP546" i="2"/>
  <c r="F544" i="2"/>
  <c r="G544" i="2" s="1"/>
  <c r="Z543" i="2"/>
  <c r="D545" i="2"/>
  <c r="U545" i="2" s="1"/>
  <c r="E545" i="2"/>
  <c r="V545" i="2" s="1"/>
  <c r="B547" i="2"/>
  <c r="AJ546" i="2"/>
  <c r="AC546" i="2"/>
  <c r="AA546" i="2"/>
  <c r="AD546" i="2" s="1"/>
  <c r="W546" i="2"/>
  <c r="C546" i="2"/>
  <c r="J546" i="2" s="1"/>
  <c r="K546" i="2"/>
  <c r="L545" i="2" s="1"/>
  <c r="M545" i="2" s="1"/>
  <c r="AQ546" i="2"/>
  <c r="AK207" i="2" l="1"/>
  <c r="R207" i="2"/>
  <c r="S208" i="2" s="1"/>
  <c r="AT206" i="2"/>
  <c r="BB207" i="2" s="1"/>
  <c r="AL206" i="2"/>
  <c r="BA206" i="2" s="1"/>
  <c r="BC545" i="2"/>
  <c r="AN208" i="2"/>
  <c r="Y545" i="2"/>
  <c r="AB545" i="2" s="1"/>
  <c r="H544" i="2"/>
  <c r="I208" i="2"/>
  <c r="AM547" i="2"/>
  <c r="AP547" i="2"/>
  <c r="F545" i="2"/>
  <c r="G545" i="2" s="1"/>
  <c r="P546" i="2"/>
  <c r="AO208" i="2"/>
  <c r="Z544" i="2"/>
  <c r="AS208" i="2"/>
  <c r="X208" i="2"/>
  <c r="N208" i="2"/>
  <c r="E546" i="2"/>
  <c r="V546" i="2" s="1"/>
  <c r="D546" i="2"/>
  <c r="U546" i="2"/>
  <c r="B548" i="2"/>
  <c r="AC547" i="2"/>
  <c r="AJ547" i="2"/>
  <c r="AA547" i="2"/>
  <c r="AD547" i="2" s="1"/>
  <c r="W547" i="2"/>
  <c r="C547" i="2"/>
  <c r="P547" i="2" s="1"/>
  <c r="K547" i="2"/>
  <c r="L546" i="2" s="1"/>
  <c r="M546" i="2" s="1"/>
  <c r="AQ547" i="2"/>
  <c r="AE207" i="2" l="1"/>
  <c r="AF208" i="2" s="1"/>
  <c r="AH207" i="2"/>
  <c r="AI208" i="2" s="1"/>
  <c r="AG207" i="2"/>
  <c r="AM208" i="2"/>
  <c r="T208" i="2"/>
  <c r="AV207" i="2"/>
  <c r="AR207" i="2" s="1"/>
  <c r="AW207" i="2" s="1"/>
  <c r="AU207" i="2" s="1"/>
  <c r="BC546" i="2"/>
  <c r="Y546" i="2"/>
  <c r="AB546" i="2" s="1"/>
  <c r="H545" i="2"/>
  <c r="Q208" i="2"/>
  <c r="J547" i="2"/>
  <c r="AM548" i="2"/>
  <c r="AP548" i="2"/>
  <c r="F546" i="2"/>
  <c r="G546" i="2" s="1"/>
  <c r="Z545" i="2"/>
  <c r="E547" i="2"/>
  <c r="V547" i="2" s="1"/>
  <c r="D547" i="2"/>
  <c r="U547" i="2" s="1"/>
  <c r="AQ548" i="2"/>
  <c r="B549" i="2"/>
  <c r="AC548" i="2"/>
  <c r="AA548" i="2"/>
  <c r="AD548" i="2" s="1"/>
  <c r="W548" i="2"/>
  <c r="AJ548" i="2"/>
  <c r="K548" i="2"/>
  <c r="L547" i="2" s="1"/>
  <c r="C548" i="2"/>
  <c r="J548" i="2" s="1"/>
  <c r="AT207" i="2" l="1"/>
  <c r="BB208" i="2" s="1"/>
  <c r="AL207" i="2"/>
  <c r="BA207" i="2" s="1"/>
  <c r="R208" i="2"/>
  <c r="AG208" i="2" s="1"/>
  <c r="AK208" i="2"/>
  <c r="F547" i="2"/>
  <c r="G547" i="2" s="1"/>
  <c r="H547" i="2" s="1"/>
  <c r="BC547" i="2"/>
  <c r="AE208" i="2"/>
  <c r="AF209" i="2" s="1"/>
  <c r="Y547" i="2"/>
  <c r="AB547" i="2" s="1"/>
  <c r="H546" i="2"/>
  <c r="P548" i="2"/>
  <c r="M547" i="2"/>
  <c r="O208" i="2"/>
  <c r="AM549" i="2"/>
  <c r="AP549" i="2"/>
  <c r="Z546" i="2"/>
  <c r="B550" i="2"/>
  <c r="AJ549" i="2"/>
  <c r="AC549" i="2"/>
  <c r="AA549" i="2"/>
  <c r="AD549" i="2" s="1"/>
  <c r="W549" i="2"/>
  <c r="C549" i="2"/>
  <c r="P549" i="2" s="1"/>
  <c r="K549" i="2"/>
  <c r="L548" i="2" s="1"/>
  <c r="M548" i="2" s="1"/>
  <c r="AQ549" i="2"/>
  <c r="D548" i="2"/>
  <c r="U548" i="2" s="1"/>
  <c r="E548" i="2"/>
  <c r="V548" i="2" s="1"/>
  <c r="S209" i="2" l="1"/>
  <c r="AH208" i="2"/>
  <c r="AI209" i="2" s="1"/>
  <c r="T209" i="2"/>
  <c r="AV208" i="2"/>
  <c r="AR208" i="2" s="1"/>
  <c r="AW208" i="2" s="1"/>
  <c r="AU208" i="2" s="1"/>
  <c r="BC548" i="2"/>
  <c r="Y548" i="2"/>
  <c r="AB548" i="2" s="1"/>
  <c r="I209" i="2"/>
  <c r="AN209" i="2"/>
  <c r="AS209" i="2"/>
  <c r="X209" i="2"/>
  <c r="AO209" i="2"/>
  <c r="N209" i="2"/>
  <c r="AM550" i="2"/>
  <c r="AP550" i="2"/>
  <c r="F548" i="2"/>
  <c r="G548" i="2" s="1"/>
  <c r="J549" i="2"/>
  <c r="Z547" i="2"/>
  <c r="J550" i="2"/>
  <c r="E549" i="2"/>
  <c r="V549" i="2" s="1"/>
  <c r="D549" i="2"/>
  <c r="U549" i="2" s="1"/>
  <c r="B551" i="2"/>
  <c r="AC550" i="2"/>
  <c r="P550" i="2"/>
  <c r="AJ550" i="2"/>
  <c r="AA550" i="2"/>
  <c r="AD550" i="2" s="1"/>
  <c r="W550" i="2"/>
  <c r="C550" i="2"/>
  <c r="K550" i="2"/>
  <c r="L549" i="2" s="1"/>
  <c r="AQ550" i="2"/>
  <c r="AL208" i="2" l="1"/>
  <c r="BA208" i="2" s="1"/>
  <c r="AT208" i="2"/>
  <c r="BB209" i="2" s="1"/>
  <c r="AK209" i="2"/>
  <c r="BC549" i="2"/>
  <c r="Q209" i="2"/>
  <c r="O209" i="2" s="1"/>
  <c r="Y549" i="2"/>
  <c r="AB549" i="2" s="1"/>
  <c r="H548" i="2"/>
  <c r="AP551" i="2"/>
  <c r="AM551" i="2"/>
  <c r="M549" i="2"/>
  <c r="F549" i="2"/>
  <c r="G549" i="2" s="1"/>
  <c r="Z548" i="2"/>
  <c r="AQ551" i="2"/>
  <c r="AU551" i="2"/>
  <c r="B552" i="2"/>
  <c r="AJ551" i="2"/>
  <c r="AC551" i="2"/>
  <c r="AA551" i="2"/>
  <c r="AD551" i="2" s="1"/>
  <c r="W551" i="2"/>
  <c r="K551" i="2"/>
  <c r="L550" i="2" s="1"/>
  <c r="M550" i="2" s="1"/>
  <c r="C551" i="2"/>
  <c r="J551" i="2" s="1"/>
  <c r="D550" i="2"/>
  <c r="U550" i="2" s="1"/>
  <c r="E550" i="2"/>
  <c r="V550" i="2" s="1"/>
  <c r="AV209" i="2" l="1"/>
  <c r="AR209" i="2" s="1"/>
  <c r="AW209" i="2" s="1"/>
  <c r="AU209" i="2" s="1"/>
  <c r="BC550" i="2"/>
  <c r="I210" i="2"/>
  <c r="AS210" i="2"/>
  <c r="X210" i="2"/>
  <c r="R209" i="2"/>
  <c r="AN210" i="2"/>
  <c r="N210" i="2"/>
  <c r="AO210" i="2"/>
  <c r="Y550" i="2"/>
  <c r="AB550" i="2" s="1"/>
  <c r="H549" i="2"/>
  <c r="F550" i="2"/>
  <c r="G550" i="2" s="1"/>
  <c r="AM552" i="2"/>
  <c r="AP552" i="2"/>
  <c r="P551" i="2"/>
  <c r="Z549" i="2"/>
  <c r="B553" i="2"/>
  <c r="AC552" i="2"/>
  <c r="W552" i="2"/>
  <c r="C552" i="2"/>
  <c r="P552" i="2" s="1"/>
  <c r="K552" i="2"/>
  <c r="L551" i="2" s="1"/>
  <c r="M551" i="2" s="1"/>
  <c r="AQ552" i="2"/>
  <c r="E551" i="2"/>
  <c r="V551" i="2" s="1"/>
  <c r="D551" i="2"/>
  <c r="U551" i="2" s="1"/>
  <c r="BC551" i="2" l="1"/>
  <c r="AE209" i="2"/>
  <c r="AF210" i="2" s="1"/>
  <c r="AG209" i="2"/>
  <c r="Q210" i="2"/>
  <c r="O210" i="2" s="1"/>
  <c r="AO211" i="2" s="1"/>
  <c r="T210" i="2"/>
  <c r="S210" i="2"/>
  <c r="AH209" i="2"/>
  <c r="Y551" i="2"/>
  <c r="AB551" i="2" s="1"/>
  <c r="H550" i="2"/>
  <c r="AP553" i="2"/>
  <c r="AM553" i="2"/>
  <c r="J552" i="2"/>
  <c r="F551" i="2"/>
  <c r="G551" i="2" s="1"/>
  <c r="Z550" i="2"/>
  <c r="AQ553" i="2"/>
  <c r="D552" i="2"/>
  <c r="U552" i="2" s="1"/>
  <c r="E552" i="2"/>
  <c r="V552" i="2" s="1"/>
  <c r="F552" i="2"/>
  <c r="G552" i="2" s="1"/>
  <c r="B554" i="2"/>
  <c r="AJ553" i="2"/>
  <c r="W553" i="2"/>
  <c r="AC553" i="2"/>
  <c r="AA553" i="2"/>
  <c r="K553" i="2"/>
  <c r="L552" i="2" s="1"/>
  <c r="C553" i="2"/>
  <c r="P553" i="2" s="1"/>
  <c r="BC552" i="2" l="1"/>
  <c r="AL209" i="2"/>
  <c r="BA209" i="2" s="1"/>
  <c r="AS211" i="2"/>
  <c r="AT209" i="2"/>
  <c r="BB210" i="2" s="1"/>
  <c r="AN211" i="2"/>
  <c r="N211" i="2"/>
  <c r="I211" i="2"/>
  <c r="X211" i="2"/>
  <c r="AI210" i="2"/>
  <c r="AK210" i="2" s="1"/>
  <c r="AM210" i="2"/>
  <c r="R210" i="2"/>
  <c r="Y552" i="2"/>
  <c r="AB552" i="2" s="1"/>
  <c r="H551" i="2"/>
  <c r="M552" i="2"/>
  <c r="AP554" i="2"/>
  <c r="AM554" i="2"/>
  <c r="J553" i="2"/>
  <c r="AQ554" i="2"/>
  <c r="Z551" i="2"/>
  <c r="E553" i="2"/>
  <c r="V553" i="2" s="1"/>
  <c r="F553" i="2"/>
  <c r="G553" i="2" s="1"/>
  <c r="D553" i="2"/>
  <c r="U553" i="2" s="1"/>
  <c r="H552" i="2"/>
  <c r="B555" i="2"/>
  <c r="AJ554" i="2"/>
  <c r="W554" i="2"/>
  <c r="AA554" i="2"/>
  <c r="AC554" i="2"/>
  <c r="C554" i="2"/>
  <c r="J554" i="2" s="1"/>
  <c r="K554" i="2"/>
  <c r="L553" i="2" s="1"/>
  <c r="BC553" i="2" l="1"/>
  <c r="Q211" i="2"/>
  <c r="O211" i="2" s="1"/>
  <c r="T211" i="2"/>
  <c r="AG210" i="2"/>
  <c r="AE210" i="2"/>
  <c r="AH210" i="2"/>
  <c r="AI211" i="2" s="1"/>
  <c r="S211" i="2"/>
  <c r="AV210" i="2"/>
  <c r="AR210" i="2" s="1"/>
  <c r="AW210" i="2" s="1"/>
  <c r="AU210" i="2" s="1"/>
  <c r="Y553" i="2"/>
  <c r="AB553" i="2" s="1"/>
  <c r="AP555" i="2"/>
  <c r="AM555" i="2"/>
  <c r="M553" i="2"/>
  <c r="P554" i="2"/>
  <c r="AA552" i="2"/>
  <c r="AD552" i="2" s="1"/>
  <c r="AD553" i="2" s="1"/>
  <c r="AD554" i="2" s="1"/>
  <c r="Z552" i="2"/>
  <c r="B556" i="2"/>
  <c r="AJ555" i="2"/>
  <c r="AC555" i="2"/>
  <c r="AA555" i="2"/>
  <c r="W555" i="2"/>
  <c r="K555" i="2"/>
  <c r="L554" i="2" s="1"/>
  <c r="M554" i="2" s="1"/>
  <c r="C555" i="2"/>
  <c r="J555" i="2" s="1"/>
  <c r="D554" i="2"/>
  <c r="U554" i="2" s="1"/>
  <c r="E554" i="2"/>
  <c r="V554" i="2" s="1"/>
  <c r="AQ555" i="2"/>
  <c r="H553" i="2"/>
  <c r="BC554" i="2" l="1"/>
  <c r="R211" i="2"/>
  <c r="AG211" i="2" s="1"/>
  <c r="AT210" i="2"/>
  <c r="BB211" i="2" s="1"/>
  <c r="AN212" i="2"/>
  <c r="AF211" i="2"/>
  <c r="AK211" i="2" s="1"/>
  <c r="AL210" i="2"/>
  <c r="BA210" i="2" s="1"/>
  <c r="AM211" i="2"/>
  <c r="Y554" i="2"/>
  <c r="AB554" i="2" s="1"/>
  <c r="AM556" i="2"/>
  <c r="AP556" i="2"/>
  <c r="F554" i="2"/>
  <c r="G554" i="2" s="1"/>
  <c r="N212" i="2"/>
  <c r="AS212" i="2"/>
  <c r="AO212" i="2"/>
  <c r="I212" i="2"/>
  <c r="X212" i="2"/>
  <c r="P555" i="2"/>
  <c r="AD555" i="2"/>
  <c r="Z553" i="2"/>
  <c r="B557" i="2"/>
  <c r="AJ556" i="2"/>
  <c r="AC556" i="2"/>
  <c r="AA556" i="2"/>
  <c r="W556" i="2"/>
  <c r="C556" i="2"/>
  <c r="P556" i="2" s="1"/>
  <c r="K556" i="2"/>
  <c r="L555" i="2" s="1"/>
  <c r="M555" i="2" s="1"/>
  <c r="E555" i="2"/>
  <c r="V555" i="2" s="1"/>
  <c r="D555" i="2"/>
  <c r="U555" i="2" s="1"/>
  <c r="AQ556" i="2"/>
  <c r="BC555" i="2" l="1"/>
  <c r="S212" i="2"/>
  <c r="T212" i="2"/>
  <c r="AH211" i="2"/>
  <c r="AI212" i="2" s="1"/>
  <c r="AE211" i="2"/>
  <c r="AV211" i="2"/>
  <c r="AR211" i="2" s="1"/>
  <c r="AW211" i="2" s="1"/>
  <c r="AU211" i="2" s="1"/>
  <c r="Y555" i="2"/>
  <c r="AB555" i="2" s="1"/>
  <c r="H554" i="2"/>
  <c r="AD556" i="2"/>
  <c r="AM557" i="2"/>
  <c r="AP557" i="2"/>
  <c r="F555" i="2"/>
  <c r="G555" i="2" s="1"/>
  <c r="Q212" i="2"/>
  <c r="J556" i="2"/>
  <c r="Z554" i="2"/>
  <c r="AQ557" i="2"/>
  <c r="D556" i="2"/>
  <c r="U556" i="2" s="1"/>
  <c r="E556" i="2"/>
  <c r="V556" i="2" s="1"/>
  <c r="B558" i="2"/>
  <c r="AJ557" i="2"/>
  <c r="AC557" i="2"/>
  <c r="AA557" i="2"/>
  <c r="W557" i="2"/>
  <c r="K557" i="2"/>
  <c r="L556" i="2" s="1"/>
  <c r="C557" i="2"/>
  <c r="P557" i="2" s="1"/>
  <c r="F556" i="2" l="1"/>
  <c r="G556" i="2" s="1"/>
  <c r="H556" i="2" s="1"/>
  <c r="BC556" i="2"/>
  <c r="AM212" i="2"/>
  <c r="AT211" i="2"/>
  <c r="BB212" i="2" s="1"/>
  <c r="R212" i="2"/>
  <c r="T213" i="2" s="1"/>
  <c r="AL211" i="2"/>
  <c r="BA211" i="2" s="1"/>
  <c r="AF212" i="2"/>
  <c r="AK212" i="2" s="1"/>
  <c r="AD557" i="2"/>
  <c r="Y556" i="2"/>
  <c r="AB556" i="2" s="1"/>
  <c r="H555" i="2"/>
  <c r="AM558" i="2"/>
  <c r="AP558" i="2"/>
  <c r="O212" i="2"/>
  <c r="J557" i="2"/>
  <c r="M556" i="2"/>
  <c r="Z555" i="2"/>
  <c r="B559" i="2"/>
  <c r="AJ558" i="2"/>
  <c r="AC558" i="2"/>
  <c r="AA558" i="2"/>
  <c r="W558" i="2"/>
  <c r="C558" i="2"/>
  <c r="J558" i="2" s="1"/>
  <c r="K558" i="2"/>
  <c r="L557" i="2" s="1"/>
  <c r="E557" i="2"/>
  <c r="V557" i="2" s="1"/>
  <c r="D557" i="2"/>
  <c r="U557" i="2" s="1"/>
  <c r="AQ558" i="2"/>
  <c r="BC557" i="2" l="1"/>
  <c r="AD558" i="2"/>
  <c r="AV212" i="2"/>
  <c r="AR212" i="2" s="1"/>
  <c r="AW212" i="2" s="1"/>
  <c r="AU212" i="2" s="1"/>
  <c r="AG212" i="2"/>
  <c r="AH212" i="2"/>
  <c r="AI213" i="2" s="1"/>
  <c r="S213" i="2"/>
  <c r="AE212" i="2"/>
  <c r="AN213" i="2"/>
  <c r="Y557" i="2"/>
  <c r="AB557" i="2" s="1"/>
  <c r="AS213" i="2"/>
  <c r="AM559" i="2"/>
  <c r="AP559" i="2"/>
  <c r="M557" i="2"/>
  <c r="AO213" i="2"/>
  <c r="N213" i="2"/>
  <c r="X213" i="2"/>
  <c r="I213" i="2"/>
  <c r="P558" i="2"/>
  <c r="F557" i="2"/>
  <c r="G557" i="2" s="1"/>
  <c r="Z556" i="2"/>
  <c r="AQ559" i="2"/>
  <c r="D558" i="2"/>
  <c r="U558" i="2" s="1"/>
  <c r="E558" i="2"/>
  <c r="V558" i="2" s="1"/>
  <c r="B560" i="2"/>
  <c r="AJ559" i="2"/>
  <c r="W559" i="2"/>
  <c r="AA559" i="2"/>
  <c r="AD559" i="2" s="1"/>
  <c r="AC559" i="2"/>
  <c r="K559" i="2"/>
  <c r="L558" i="2" s="1"/>
  <c r="M558" i="2" s="1"/>
  <c r="C559" i="2"/>
  <c r="J559" i="2" s="1"/>
  <c r="AM213" i="2" l="1"/>
  <c r="AT212" i="2"/>
  <c r="AV213" i="2" s="1"/>
  <c r="AR213" i="2" s="1"/>
  <c r="AW213" i="2" s="1"/>
  <c r="BC558" i="2"/>
  <c r="AL212" i="2"/>
  <c r="BA212" i="2" s="1"/>
  <c r="AF213" i="2"/>
  <c r="AK213" i="2" s="1"/>
  <c r="Y558" i="2"/>
  <c r="AB558" i="2" s="1"/>
  <c r="H557" i="2"/>
  <c r="AM560" i="2"/>
  <c r="AP560" i="2"/>
  <c r="Q213" i="2"/>
  <c r="R213" i="2" s="1"/>
  <c r="P559" i="2"/>
  <c r="F558" i="2"/>
  <c r="G558" i="2" s="1"/>
  <c r="Z557" i="2"/>
  <c r="AQ560" i="2"/>
  <c r="B561" i="2"/>
  <c r="AC560" i="2"/>
  <c r="AA560" i="2"/>
  <c r="AD560" i="2" s="1"/>
  <c r="AJ560" i="2"/>
  <c r="W560" i="2"/>
  <c r="K560" i="2"/>
  <c r="L559" i="2" s="1"/>
  <c r="M559" i="2" s="1"/>
  <c r="C560" i="2"/>
  <c r="J560" i="2" s="1"/>
  <c r="E559" i="2"/>
  <c r="V559" i="2" s="1"/>
  <c r="D559" i="2"/>
  <c r="U559" i="2" s="1"/>
  <c r="BB213" i="2" l="1"/>
  <c r="AU213" i="2" s="1"/>
  <c r="BC559" i="2"/>
  <c r="AE213" i="2"/>
  <c r="AF214" i="2" s="1"/>
  <c r="AG213" i="2"/>
  <c r="Y559" i="2"/>
  <c r="AB559" i="2" s="1"/>
  <c r="H558" i="2"/>
  <c r="AP561" i="2"/>
  <c r="AM561" i="2"/>
  <c r="S214" i="2"/>
  <c r="O213" i="2"/>
  <c r="T214" i="2"/>
  <c r="AH213" i="2"/>
  <c r="AI214" i="2" s="1"/>
  <c r="P560" i="2"/>
  <c r="F559" i="2"/>
  <c r="G559" i="2" s="1"/>
  <c r="Z558" i="2"/>
  <c r="AQ561" i="2"/>
  <c r="B562" i="2"/>
  <c r="AJ561" i="2"/>
  <c r="AC561" i="2"/>
  <c r="AA561" i="2"/>
  <c r="AD561" i="2" s="1"/>
  <c r="W561" i="2"/>
  <c r="C561" i="2"/>
  <c r="P561" i="2" s="1"/>
  <c r="K561" i="2"/>
  <c r="L560" i="2" s="1"/>
  <c r="M560" i="2" s="1"/>
  <c r="D560" i="2"/>
  <c r="U560" i="2" s="1"/>
  <c r="E560" i="2"/>
  <c r="V560" i="2" s="1"/>
  <c r="BC560" i="2" l="1"/>
  <c r="AN214" i="2"/>
  <c r="AT213" i="2"/>
  <c r="AL213" i="2"/>
  <c r="BA213" i="2" s="1"/>
  <c r="F560" i="2"/>
  <c r="G560" i="2" s="1"/>
  <c r="H560" i="2" s="1"/>
  <c r="Y560" i="2"/>
  <c r="AB560" i="2" s="1"/>
  <c r="H559" i="2"/>
  <c r="AS214" i="2"/>
  <c r="AM214" i="2"/>
  <c r="AM562" i="2"/>
  <c r="AP562" i="2"/>
  <c r="X214" i="2"/>
  <c r="J561" i="2"/>
  <c r="AO214" i="2"/>
  <c r="I214" i="2"/>
  <c r="AK214" i="2" s="1"/>
  <c r="N214" i="2"/>
  <c r="Z559" i="2"/>
  <c r="AQ562" i="2"/>
  <c r="B563" i="2"/>
  <c r="AJ562" i="2"/>
  <c r="AC562" i="2"/>
  <c r="W562" i="2"/>
  <c r="AA562" i="2"/>
  <c r="AD562" i="2" s="1"/>
  <c r="C562" i="2"/>
  <c r="J562" i="2" s="1"/>
  <c r="K562" i="2"/>
  <c r="L561" i="2" s="1"/>
  <c r="E561" i="2"/>
  <c r="V561" i="2" s="1"/>
  <c r="D561" i="2"/>
  <c r="U561" i="2" s="1"/>
  <c r="BC561" i="2" l="1"/>
  <c r="BB214" i="2"/>
  <c r="Y561" i="2"/>
  <c r="AB561" i="2" s="1"/>
  <c r="AM563" i="2"/>
  <c r="AP563" i="2"/>
  <c r="AV214" i="2"/>
  <c r="AR214" i="2" s="1"/>
  <c r="AW214" i="2" s="1"/>
  <c r="M561" i="2"/>
  <c r="Q214" i="2"/>
  <c r="R214" i="2" s="1"/>
  <c r="P562" i="2"/>
  <c r="F561" i="2"/>
  <c r="G561" i="2" s="1"/>
  <c r="Z560" i="2"/>
  <c r="AU563" i="2"/>
  <c r="B564" i="2"/>
  <c r="AJ563" i="2"/>
  <c r="AC563" i="2"/>
  <c r="AA563" i="2"/>
  <c r="AD563" i="2" s="1"/>
  <c r="W563" i="2"/>
  <c r="C563" i="2"/>
  <c r="P563" i="2" s="1"/>
  <c r="K563" i="2"/>
  <c r="L562" i="2" s="1"/>
  <c r="M562" i="2" s="1"/>
  <c r="D562" i="2"/>
  <c r="E562" i="2"/>
  <c r="V562" i="2" s="1"/>
  <c r="AQ563" i="2"/>
  <c r="U562" i="2"/>
  <c r="BC562" i="2" l="1"/>
  <c r="AH214" i="2"/>
  <c r="AI215" i="2" s="1"/>
  <c r="AG214" i="2"/>
  <c r="Y562" i="2"/>
  <c r="AB562" i="2" s="1"/>
  <c r="H561" i="2"/>
  <c r="AP564" i="2"/>
  <c r="AU214" i="2"/>
  <c r="F562" i="2"/>
  <c r="G562" i="2" s="1"/>
  <c r="S215" i="2"/>
  <c r="T215" i="2"/>
  <c r="AE214" i="2"/>
  <c r="O214" i="2"/>
  <c r="J563" i="2"/>
  <c r="Z561" i="2"/>
  <c r="L564" i="2"/>
  <c r="J564" i="2"/>
  <c r="AQ564" i="2"/>
  <c r="B565" i="2"/>
  <c r="AC564" i="2"/>
  <c r="W564" i="2"/>
  <c r="P564" i="2"/>
  <c r="K564" i="2"/>
  <c r="L563" i="2" s="1"/>
  <c r="C564" i="2"/>
  <c r="E563" i="2"/>
  <c r="V563" i="2" s="1"/>
  <c r="D563" i="2"/>
  <c r="U563" i="2" s="1"/>
  <c r="BC563" i="2" l="1"/>
  <c r="AT214" i="2"/>
  <c r="BC565" i="2"/>
  <c r="AT565" i="2"/>
  <c r="BB565" i="2"/>
  <c r="AG565" i="2"/>
  <c r="AB565" i="2"/>
  <c r="AL214" i="2"/>
  <c r="BA214" i="2" s="1"/>
  <c r="Y563" i="2"/>
  <c r="AB563" i="2" s="1"/>
  <c r="H562" i="2"/>
  <c r="AM215" i="2"/>
  <c r="AN215" i="2"/>
  <c r="AP565" i="2"/>
  <c r="AO215" i="2"/>
  <c r="I215" i="2"/>
  <c r="X215" i="2"/>
  <c r="AF215" i="2"/>
  <c r="N215" i="2"/>
  <c r="AS215" i="2"/>
  <c r="M563" i="2"/>
  <c r="F563" i="2"/>
  <c r="G563" i="2" s="1"/>
  <c r="Z562" i="2"/>
  <c r="AU565" i="2"/>
  <c r="AW565" i="2"/>
  <c r="L565" i="2"/>
  <c r="J565" i="2"/>
  <c r="AD565" i="2"/>
  <c r="D564" i="2"/>
  <c r="E564" i="2"/>
  <c r="V564" i="2" s="1"/>
  <c r="U564" i="2"/>
  <c r="M564" i="2"/>
  <c r="B566" i="2"/>
  <c r="AV565" i="2"/>
  <c r="AR565" i="2"/>
  <c r="AS565" i="2"/>
  <c r="AQ565" i="2"/>
  <c r="AI565" i="2"/>
  <c r="AH565" i="2"/>
  <c r="AE565" i="2"/>
  <c r="AF565" i="2"/>
  <c r="AC565" i="2"/>
  <c r="AJ565" i="2"/>
  <c r="Z565" i="2"/>
  <c r="V565" i="2"/>
  <c r="AA565" i="2"/>
  <c r="U565" i="2"/>
  <c r="W565" i="2"/>
  <c r="P565" i="2"/>
  <c r="R565" i="2"/>
  <c r="O565" i="2"/>
  <c r="K565" i="2"/>
  <c r="C565" i="2"/>
  <c r="BC564" i="2" l="1"/>
  <c r="BB215" i="2"/>
  <c r="BB566" i="2"/>
  <c r="AT566" i="2"/>
  <c r="BC566" i="2"/>
  <c r="AB566" i="2"/>
  <c r="AG566" i="2"/>
  <c r="Y564" i="2"/>
  <c r="AB564" i="2" s="1"/>
  <c r="Y565" i="2"/>
  <c r="H563" i="2"/>
  <c r="AM566" i="2"/>
  <c r="AP566" i="2"/>
  <c r="AK215" i="2"/>
  <c r="AV215" i="2"/>
  <c r="AR215" i="2" s="1"/>
  <c r="AW215" i="2" s="1"/>
  <c r="Q215" i="2"/>
  <c r="R215" i="2" s="1"/>
  <c r="F564" i="2"/>
  <c r="G564" i="2" s="1"/>
  <c r="Z563" i="2"/>
  <c r="AU566" i="2"/>
  <c r="AW566" i="2"/>
  <c r="L566" i="2"/>
  <c r="AD566" i="2"/>
  <c r="J566" i="2"/>
  <c r="E565" i="2"/>
  <c r="F565" i="2"/>
  <c r="G565" i="2" s="1"/>
  <c r="D565" i="2"/>
  <c r="M565" i="2"/>
  <c r="B567" i="2"/>
  <c r="AV566" i="2"/>
  <c r="AQ566" i="2"/>
  <c r="AR566" i="2"/>
  <c r="AS566" i="2"/>
  <c r="AI566" i="2"/>
  <c r="AH566" i="2"/>
  <c r="AE566" i="2"/>
  <c r="U566" i="2"/>
  <c r="AC566" i="2"/>
  <c r="V566" i="2"/>
  <c r="AA566" i="2"/>
  <c r="R566" i="2"/>
  <c r="AJ566" i="2"/>
  <c r="Z566" i="2"/>
  <c r="W566" i="2"/>
  <c r="P566" i="2"/>
  <c r="AF566" i="2"/>
  <c r="K566" i="2"/>
  <c r="AO566" i="2" s="1"/>
  <c r="O566" i="2"/>
  <c r="C566" i="2"/>
  <c r="S216" i="2" l="1"/>
  <c r="AG215" i="2"/>
  <c r="AT567" i="2"/>
  <c r="BB567" i="2"/>
  <c r="BC567" i="2"/>
  <c r="AG567" i="2"/>
  <c r="AB567" i="2"/>
  <c r="Y566" i="2"/>
  <c r="H564" i="2"/>
  <c r="AM567" i="2"/>
  <c r="AP567" i="2"/>
  <c r="AH215" i="2"/>
  <c r="O215" i="2"/>
  <c r="AE215" i="2"/>
  <c r="T216" i="2"/>
  <c r="Z564" i="2"/>
  <c r="AA564" i="2"/>
  <c r="AD564" i="2" s="1"/>
  <c r="AU567" i="2"/>
  <c r="AW567" i="2"/>
  <c r="L567" i="2"/>
  <c r="AD567" i="2"/>
  <c r="J567" i="2"/>
  <c r="F566" i="2"/>
  <c r="G566" i="2" s="1"/>
  <c r="AN566" i="2" s="1"/>
  <c r="E566" i="2"/>
  <c r="D566" i="2"/>
  <c r="B568" i="2"/>
  <c r="AV567" i="2"/>
  <c r="AR567" i="2"/>
  <c r="AS567" i="2"/>
  <c r="AQ567" i="2"/>
  <c r="AI567" i="2"/>
  <c r="AJ567" i="2"/>
  <c r="AF567" i="2"/>
  <c r="U567" i="2"/>
  <c r="AC567" i="2"/>
  <c r="V567" i="2"/>
  <c r="W567" i="2"/>
  <c r="AE567" i="2"/>
  <c r="AA567" i="2"/>
  <c r="P567" i="2"/>
  <c r="Z567" i="2"/>
  <c r="AH567" i="2"/>
  <c r="R567" i="2"/>
  <c r="K567" i="2"/>
  <c r="AO567" i="2" s="1"/>
  <c r="M566" i="2"/>
  <c r="O567" i="2"/>
  <c r="C567" i="2"/>
  <c r="H565" i="2"/>
  <c r="X566" i="2"/>
  <c r="BC568" i="2" l="1"/>
  <c r="BB568" i="2"/>
  <c r="AT568" i="2"/>
  <c r="AG568" i="2"/>
  <c r="AB568" i="2"/>
  <c r="AF216" i="2"/>
  <c r="AL215" i="2"/>
  <c r="BA215" i="2" s="1"/>
  <c r="Y567" i="2"/>
  <c r="X216" i="2"/>
  <c r="AN216" i="2"/>
  <c r="AM568" i="2"/>
  <c r="AP568" i="2"/>
  <c r="I216" i="2"/>
  <c r="AS216" i="2"/>
  <c r="AO216" i="2"/>
  <c r="N216" i="2"/>
  <c r="AJ216" i="2"/>
  <c r="AT215" i="2" s="1"/>
  <c r="AU568" i="2"/>
  <c r="L568" i="2"/>
  <c r="AW568" i="2"/>
  <c r="AD568" i="2"/>
  <c r="J568" i="2"/>
  <c r="X567" i="2"/>
  <c r="F567" i="2"/>
  <c r="G567" i="2" s="1"/>
  <c r="AN567" i="2" s="1"/>
  <c r="D567" i="2"/>
  <c r="E567" i="2"/>
  <c r="M567" i="2"/>
  <c r="B569" i="2"/>
  <c r="AV568" i="2"/>
  <c r="AR568" i="2"/>
  <c r="AS568" i="2"/>
  <c r="AQ568" i="2"/>
  <c r="AF568" i="2"/>
  <c r="AH568" i="2"/>
  <c r="AE568" i="2"/>
  <c r="AI568" i="2"/>
  <c r="AC568" i="2"/>
  <c r="AJ568" i="2"/>
  <c r="U568" i="2"/>
  <c r="Z568" i="2"/>
  <c r="R568" i="2"/>
  <c r="V568" i="2"/>
  <c r="W568" i="2"/>
  <c r="P568" i="2"/>
  <c r="AA568" i="2"/>
  <c r="C568" i="2"/>
  <c r="K568" i="2"/>
  <c r="AO568" i="2" s="1"/>
  <c r="O568" i="2"/>
  <c r="H566" i="2"/>
  <c r="I566" i="2" s="1"/>
  <c r="BB216" i="2" l="1"/>
  <c r="BB569" i="2"/>
  <c r="BC569" i="2"/>
  <c r="AT569" i="2"/>
  <c r="AG569" i="2"/>
  <c r="AB569" i="2"/>
  <c r="Y568" i="2"/>
  <c r="AP569" i="2"/>
  <c r="AM569" i="2"/>
  <c r="Q216" i="2"/>
  <c r="R216" i="2" s="1"/>
  <c r="AI216" i="2"/>
  <c r="AK216" i="2" s="1"/>
  <c r="AV216" i="2"/>
  <c r="AR216" i="2" s="1"/>
  <c r="AW216" i="2" s="1"/>
  <c r="AU569" i="2"/>
  <c r="L569" i="2"/>
  <c r="AW569" i="2"/>
  <c r="J569" i="2"/>
  <c r="AD569" i="2"/>
  <c r="D568" i="2"/>
  <c r="E568" i="2"/>
  <c r="F568" i="2"/>
  <c r="G568" i="2" s="1"/>
  <c r="AN568" i="2" s="1"/>
  <c r="X568" i="2"/>
  <c r="B570" i="2"/>
  <c r="AV569" i="2"/>
  <c r="AR569" i="2"/>
  <c r="AS569" i="2"/>
  <c r="AQ569" i="2"/>
  <c r="AF569" i="2"/>
  <c r="AJ569" i="2"/>
  <c r="R569" i="2"/>
  <c r="AA569" i="2"/>
  <c r="AI569" i="2"/>
  <c r="W569" i="2"/>
  <c r="AC569" i="2"/>
  <c r="U569" i="2"/>
  <c r="V569" i="2"/>
  <c r="AH569" i="2"/>
  <c r="P569" i="2"/>
  <c r="AE569" i="2"/>
  <c r="Z569" i="2"/>
  <c r="M568" i="2"/>
  <c r="O569" i="2"/>
  <c r="C569" i="2"/>
  <c r="K569" i="2"/>
  <c r="AO569" i="2" s="1"/>
  <c r="H567" i="2"/>
  <c r="I567" i="2" s="1"/>
  <c r="N566" i="2"/>
  <c r="S217" i="2" l="1"/>
  <c r="AG216" i="2"/>
  <c r="AT570" i="2"/>
  <c r="BC570" i="2"/>
  <c r="BB570" i="2"/>
  <c r="AB570" i="2"/>
  <c r="AG570" i="2"/>
  <c r="Q566" i="2"/>
  <c r="Y569" i="2"/>
  <c r="AM570" i="2"/>
  <c r="AP570" i="2"/>
  <c r="AE216" i="2"/>
  <c r="O216" i="2"/>
  <c r="T217" i="2"/>
  <c r="AH216" i="2"/>
  <c r="AI217" i="2" s="1"/>
  <c r="AU216" i="2"/>
  <c r="AU570" i="2"/>
  <c r="J570" i="2"/>
  <c r="AW570" i="2"/>
  <c r="L570" i="2"/>
  <c r="AD570" i="2"/>
  <c r="X569" i="2"/>
  <c r="N567" i="2"/>
  <c r="H568" i="2"/>
  <c r="I568" i="2" s="1"/>
  <c r="D569" i="2"/>
  <c r="E569" i="2"/>
  <c r="F569" i="2"/>
  <c r="G569" i="2" s="1"/>
  <c r="AN569" i="2" s="1"/>
  <c r="B571" i="2"/>
  <c r="AV570" i="2"/>
  <c r="AR570" i="2"/>
  <c r="AS570" i="2"/>
  <c r="AQ570" i="2"/>
  <c r="AJ570" i="2"/>
  <c r="AF570" i="2"/>
  <c r="AI570" i="2"/>
  <c r="AE570" i="2"/>
  <c r="AH570" i="2"/>
  <c r="W570" i="2"/>
  <c r="R570" i="2"/>
  <c r="V570" i="2"/>
  <c r="P570" i="2"/>
  <c r="AC570" i="2"/>
  <c r="U570" i="2"/>
  <c r="Z570" i="2"/>
  <c r="AA570" i="2"/>
  <c r="C570" i="2"/>
  <c r="O570" i="2"/>
  <c r="K570" i="2"/>
  <c r="AO570" i="2" s="1"/>
  <c r="M569" i="2"/>
  <c r="AN217" i="2" l="1"/>
  <c r="AT216" i="2"/>
  <c r="AT571" i="2"/>
  <c r="BC571" i="2"/>
  <c r="BB571" i="2"/>
  <c r="AB571" i="2"/>
  <c r="AG571" i="2"/>
  <c r="AF217" i="2"/>
  <c r="AL216" i="2"/>
  <c r="BA216" i="2" s="1"/>
  <c r="Q567" i="2"/>
  <c r="Y570" i="2"/>
  <c r="AO217" i="2"/>
  <c r="AM217" i="2"/>
  <c r="AM571" i="2"/>
  <c r="AP571" i="2"/>
  <c r="AS217" i="2"/>
  <c r="N217" i="2"/>
  <c r="I217" i="2"/>
  <c r="X217" i="2"/>
  <c r="AU571" i="2"/>
  <c r="AW571" i="2"/>
  <c r="AD571" i="2"/>
  <c r="J571" i="2"/>
  <c r="L571" i="2"/>
  <c r="D570" i="2"/>
  <c r="E570" i="2"/>
  <c r="F570" i="2"/>
  <c r="G570" i="2" s="1"/>
  <c r="AN570" i="2" s="1"/>
  <c r="B572" i="2"/>
  <c r="AR571" i="2"/>
  <c r="AS571" i="2"/>
  <c r="AQ571" i="2"/>
  <c r="AV571" i="2"/>
  <c r="AE571" i="2"/>
  <c r="AJ571" i="2"/>
  <c r="AH571" i="2"/>
  <c r="AC571" i="2"/>
  <c r="AF571" i="2"/>
  <c r="AI571" i="2"/>
  <c r="W571" i="2"/>
  <c r="Z571" i="2"/>
  <c r="R571" i="2"/>
  <c r="U571" i="2"/>
  <c r="AA571" i="2"/>
  <c r="P571" i="2"/>
  <c r="V571" i="2"/>
  <c r="C571" i="2"/>
  <c r="K571" i="2"/>
  <c r="AO571" i="2" s="1"/>
  <c r="M570" i="2"/>
  <c r="O571" i="2"/>
  <c r="X570" i="2"/>
  <c r="H569" i="2"/>
  <c r="I569" i="2" s="1"/>
  <c r="N568" i="2"/>
  <c r="BB217" i="2" l="1"/>
  <c r="BB572" i="2"/>
  <c r="BC572" i="2"/>
  <c r="AT572" i="2"/>
  <c r="AG572" i="2"/>
  <c r="AB572" i="2"/>
  <c r="AK217" i="2"/>
  <c r="Q568" i="2"/>
  <c r="Y571" i="2"/>
  <c r="AM572" i="2"/>
  <c r="AP572" i="2"/>
  <c r="Q217" i="2"/>
  <c r="R217" i="2" s="1"/>
  <c r="AV217" i="2"/>
  <c r="AR217" i="2" s="1"/>
  <c r="AW217" i="2" s="1"/>
  <c r="AU572" i="2"/>
  <c r="AW572" i="2"/>
  <c r="J572" i="2"/>
  <c r="L572" i="2"/>
  <c r="AD572" i="2"/>
  <c r="H570" i="2"/>
  <c r="I570" i="2" s="1"/>
  <c r="X571" i="2"/>
  <c r="M571" i="2"/>
  <c r="B573" i="2"/>
  <c r="AV572" i="2"/>
  <c r="AR572" i="2"/>
  <c r="AS572" i="2"/>
  <c r="AQ572" i="2"/>
  <c r="AH572" i="2"/>
  <c r="AE572" i="2"/>
  <c r="AJ572" i="2"/>
  <c r="AI572" i="2"/>
  <c r="AC572" i="2"/>
  <c r="AF572" i="2"/>
  <c r="AA572" i="2"/>
  <c r="Z572" i="2"/>
  <c r="W572" i="2"/>
  <c r="R572" i="2"/>
  <c r="P572" i="2"/>
  <c r="U572" i="2"/>
  <c r="V572" i="2"/>
  <c r="K572" i="2"/>
  <c r="AO572" i="2" s="1"/>
  <c r="C572" i="2"/>
  <c r="O572" i="2"/>
  <c r="F571" i="2"/>
  <c r="G571" i="2" s="1"/>
  <c r="AN571" i="2" s="1"/>
  <c r="D571" i="2"/>
  <c r="E571" i="2"/>
  <c r="N569" i="2"/>
  <c r="T218" i="2" l="1"/>
  <c r="AG217" i="2"/>
  <c r="BC573" i="2"/>
  <c r="BB573" i="2"/>
  <c r="AT573" i="2"/>
  <c r="AG573" i="2"/>
  <c r="AB573" i="2"/>
  <c r="Q569" i="2"/>
  <c r="Y572" i="2"/>
  <c r="AP573" i="2"/>
  <c r="AM573" i="2"/>
  <c r="S218" i="2"/>
  <c r="AH217" i="2"/>
  <c r="AI218" i="2" s="1"/>
  <c r="O217" i="2"/>
  <c r="AE217" i="2"/>
  <c r="AU217" i="2"/>
  <c r="AU573" i="2"/>
  <c r="AW573" i="2"/>
  <c r="L573" i="2"/>
  <c r="J573" i="2"/>
  <c r="AD573" i="2"/>
  <c r="D572" i="2"/>
  <c r="E572" i="2"/>
  <c r="F572" i="2"/>
  <c r="G572" i="2" s="1"/>
  <c r="AN572" i="2" s="1"/>
  <c r="X572" i="2"/>
  <c r="H571" i="2"/>
  <c r="I571" i="2" s="1"/>
  <c r="B574" i="2"/>
  <c r="AV573" i="2"/>
  <c r="AR573" i="2"/>
  <c r="AQ573" i="2"/>
  <c r="AS573" i="2"/>
  <c r="AI573" i="2"/>
  <c r="AH573" i="2"/>
  <c r="AE573" i="2"/>
  <c r="AF573" i="2"/>
  <c r="AJ573" i="2"/>
  <c r="AC573" i="2"/>
  <c r="Z573" i="2"/>
  <c r="V573" i="2"/>
  <c r="AA573" i="2"/>
  <c r="W573" i="2"/>
  <c r="R573" i="2"/>
  <c r="P573" i="2"/>
  <c r="U573" i="2"/>
  <c r="O573" i="2"/>
  <c r="K573" i="2"/>
  <c r="AO573" i="2" s="1"/>
  <c r="C573" i="2"/>
  <c r="N570" i="2"/>
  <c r="AT217" i="2" l="1"/>
  <c r="AT574" i="2"/>
  <c r="BB574" i="2"/>
  <c r="BC574" i="2"/>
  <c r="AB574" i="2"/>
  <c r="AG574" i="2"/>
  <c r="Q570" i="2"/>
  <c r="AF218" i="2"/>
  <c r="AL217" i="2"/>
  <c r="BA217" i="2" s="1"/>
  <c r="Y573" i="2"/>
  <c r="I218" i="2"/>
  <c r="AN218" i="2"/>
  <c r="AM574" i="2"/>
  <c r="AP574" i="2"/>
  <c r="AO218" i="2"/>
  <c r="X218" i="2"/>
  <c r="AS218" i="2"/>
  <c r="N218" i="2"/>
  <c r="AU574" i="2"/>
  <c r="AW574" i="2"/>
  <c r="L574" i="2"/>
  <c r="J574" i="2"/>
  <c r="AD574" i="2"/>
  <c r="E573" i="2"/>
  <c r="D573" i="2"/>
  <c r="F573" i="2"/>
  <c r="G573" i="2" s="1"/>
  <c r="AN573" i="2" s="1"/>
  <c r="N571" i="2"/>
  <c r="X573" i="2"/>
  <c r="B575" i="2"/>
  <c r="AV574" i="2"/>
  <c r="AR574" i="2"/>
  <c r="AS574" i="2"/>
  <c r="AQ574" i="2"/>
  <c r="AI574" i="2"/>
  <c r="AE574" i="2"/>
  <c r="AJ574" i="2"/>
  <c r="U574" i="2"/>
  <c r="V574" i="2"/>
  <c r="AH574" i="2"/>
  <c r="AA574" i="2"/>
  <c r="AF574" i="2"/>
  <c r="AC574" i="2"/>
  <c r="R574" i="2"/>
  <c r="W574" i="2"/>
  <c r="Z574" i="2"/>
  <c r="P574" i="2"/>
  <c r="O574" i="2"/>
  <c r="K574" i="2"/>
  <c r="AO574" i="2" s="1"/>
  <c r="M573" i="2"/>
  <c r="C574" i="2"/>
  <c r="H572" i="2"/>
  <c r="M572" i="2"/>
  <c r="BB218" i="2" l="1"/>
  <c r="BB575" i="2"/>
  <c r="AT575" i="2"/>
  <c r="BC575" i="2"/>
  <c r="AG575" i="2"/>
  <c r="AB575" i="2"/>
  <c r="AK218" i="2"/>
  <c r="Q571" i="2"/>
  <c r="Q218" i="2"/>
  <c r="R218" i="2" s="1"/>
  <c r="Y574" i="2"/>
  <c r="AP575" i="2"/>
  <c r="AM575" i="2"/>
  <c r="AV218" i="2"/>
  <c r="AR218" i="2" s="1"/>
  <c r="AW218" i="2" s="1"/>
  <c r="N572" i="2"/>
  <c r="AU575" i="2"/>
  <c r="AW575" i="2"/>
  <c r="L575" i="2"/>
  <c r="AD575" i="2"/>
  <c r="J575" i="2"/>
  <c r="H573" i="2"/>
  <c r="I573" i="2" s="1"/>
  <c r="B576" i="2"/>
  <c r="AR575" i="2"/>
  <c r="AV575" i="2"/>
  <c r="AS575" i="2"/>
  <c r="AQ575" i="2"/>
  <c r="AI575" i="2"/>
  <c r="AJ575" i="2"/>
  <c r="AE575" i="2"/>
  <c r="AH575" i="2"/>
  <c r="U575" i="2"/>
  <c r="V575" i="2"/>
  <c r="W575" i="2"/>
  <c r="AA575" i="2"/>
  <c r="P575" i="2"/>
  <c r="AF575" i="2"/>
  <c r="AC575" i="2"/>
  <c r="Z575" i="2"/>
  <c r="R575" i="2"/>
  <c r="K575" i="2"/>
  <c r="AO575" i="2" s="1"/>
  <c r="M574" i="2"/>
  <c r="O575" i="2"/>
  <c r="C575" i="2"/>
  <c r="F574" i="2"/>
  <c r="G574" i="2" s="1"/>
  <c r="AN574" i="2" s="1"/>
  <c r="D574" i="2"/>
  <c r="E574" i="2"/>
  <c r="I572" i="2"/>
  <c r="X574" i="2"/>
  <c r="AE218" i="2" l="1"/>
  <c r="AF219" i="2" s="1"/>
  <c r="AG218" i="2"/>
  <c r="BB576" i="2"/>
  <c r="AT576" i="2"/>
  <c r="BC576" i="2"/>
  <c r="AG576" i="2"/>
  <c r="AB576" i="2"/>
  <c r="S219" i="2"/>
  <c r="AH218" i="2"/>
  <c r="AI219" i="2" s="1"/>
  <c r="Y575" i="2"/>
  <c r="O218" i="2"/>
  <c r="T219" i="2"/>
  <c r="AM576" i="2"/>
  <c r="AP576" i="2"/>
  <c r="AU218" i="2"/>
  <c r="Q572" i="2"/>
  <c r="AU576" i="2"/>
  <c r="AW576" i="2"/>
  <c r="L576" i="2"/>
  <c r="AD576" i="2"/>
  <c r="J576" i="2"/>
  <c r="H574" i="2"/>
  <c r="I574" i="2" s="1"/>
  <c r="X575" i="2"/>
  <c r="F575" i="2"/>
  <c r="G575" i="2" s="1"/>
  <c r="AN575" i="2" s="1"/>
  <c r="D575" i="2"/>
  <c r="E575" i="2"/>
  <c r="B577" i="2"/>
  <c r="AV576" i="2"/>
  <c r="AQ576" i="2"/>
  <c r="AR576" i="2"/>
  <c r="AS576" i="2"/>
  <c r="AF576" i="2"/>
  <c r="AH576" i="2"/>
  <c r="AE576" i="2"/>
  <c r="AI576" i="2"/>
  <c r="AC576" i="2"/>
  <c r="AJ576" i="2"/>
  <c r="U576" i="2"/>
  <c r="Z576" i="2"/>
  <c r="AA576" i="2"/>
  <c r="V576" i="2"/>
  <c r="W576" i="2"/>
  <c r="R576" i="2"/>
  <c r="P576" i="2"/>
  <c r="M575" i="2"/>
  <c r="O576" i="2"/>
  <c r="C576" i="2"/>
  <c r="K576" i="2"/>
  <c r="AO576" i="2" s="1"/>
  <c r="N573" i="2"/>
  <c r="AS219" i="2" l="1"/>
  <c r="AT218" i="2"/>
  <c r="BB577" i="2"/>
  <c r="AT577" i="2"/>
  <c r="BC577" i="2"/>
  <c r="AG577" i="2"/>
  <c r="AB577" i="2"/>
  <c r="Q573" i="2"/>
  <c r="AL218" i="2"/>
  <c r="BA218" i="2" s="1"/>
  <c r="AN219" i="2"/>
  <c r="I219" i="2"/>
  <c r="AK219" i="2" s="1"/>
  <c r="X219" i="2"/>
  <c r="AO219" i="2"/>
  <c r="N219" i="2"/>
  <c r="Y576" i="2"/>
  <c r="AP577" i="2"/>
  <c r="AM577" i="2"/>
  <c r="AU577" i="2"/>
  <c r="AW577" i="2"/>
  <c r="L577" i="2"/>
  <c r="AD577" i="2"/>
  <c r="J577" i="2"/>
  <c r="D576" i="2"/>
  <c r="E576" i="2"/>
  <c r="F576" i="2"/>
  <c r="G576" i="2" s="1"/>
  <c r="AN576" i="2" s="1"/>
  <c r="H575" i="2"/>
  <c r="I575" i="2" s="1"/>
  <c r="X576" i="2"/>
  <c r="B578" i="2"/>
  <c r="AV577" i="2"/>
  <c r="AS577" i="2"/>
  <c r="AQ577" i="2"/>
  <c r="AR577" i="2"/>
  <c r="AF577" i="2"/>
  <c r="AI577" i="2"/>
  <c r="AH577" i="2"/>
  <c r="R577" i="2"/>
  <c r="AJ577" i="2"/>
  <c r="AE577" i="2"/>
  <c r="AA577" i="2"/>
  <c r="Z577" i="2"/>
  <c r="U577" i="2"/>
  <c r="P577" i="2"/>
  <c r="AC577" i="2"/>
  <c r="W577" i="2"/>
  <c r="V577" i="2"/>
  <c r="M576" i="2"/>
  <c r="O577" i="2"/>
  <c r="C577" i="2"/>
  <c r="K577" i="2"/>
  <c r="AO577" i="2" s="1"/>
  <c r="N574" i="2"/>
  <c r="BB219" i="2" l="1"/>
  <c r="BB578" i="2"/>
  <c r="AT578" i="2"/>
  <c r="BC578" i="2"/>
  <c r="AB578" i="2"/>
  <c r="AG578" i="2"/>
  <c r="Q574" i="2"/>
  <c r="Q219" i="2"/>
  <c r="R219" i="2" s="1"/>
  <c r="AH219" i="2" s="1"/>
  <c r="AI220" i="2" s="1"/>
  <c r="AV219" i="2"/>
  <c r="AR219" i="2" s="1"/>
  <c r="AW219" i="2" s="1"/>
  <c r="Y577" i="2"/>
  <c r="AM578" i="2"/>
  <c r="AP578" i="2"/>
  <c r="AU578" i="2"/>
  <c r="AW578" i="2"/>
  <c r="J578" i="2"/>
  <c r="L578" i="2"/>
  <c r="AD578" i="2"/>
  <c r="B579" i="2"/>
  <c r="AV578" i="2"/>
  <c r="AR578" i="2"/>
  <c r="AS578" i="2"/>
  <c r="AQ578" i="2"/>
  <c r="AJ578" i="2"/>
  <c r="AF578" i="2"/>
  <c r="AI578" i="2"/>
  <c r="AH578" i="2"/>
  <c r="AC578" i="2"/>
  <c r="W578" i="2"/>
  <c r="R578" i="2"/>
  <c r="V578" i="2"/>
  <c r="P578" i="2"/>
  <c r="Z578" i="2"/>
  <c r="AE578" i="2"/>
  <c r="AA578" i="2"/>
  <c r="U578" i="2"/>
  <c r="M577" i="2"/>
  <c r="C578" i="2"/>
  <c r="K578" i="2"/>
  <c r="AO578" i="2" s="1"/>
  <c r="O578" i="2"/>
  <c r="E577" i="2"/>
  <c r="D577" i="2"/>
  <c r="F577" i="2"/>
  <c r="G577" i="2" s="1"/>
  <c r="AN577" i="2" s="1"/>
  <c r="X577" i="2"/>
  <c r="H576" i="2"/>
  <c r="I576" i="2" s="1"/>
  <c r="N575" i="2"/>
  <c r="AE219" i="2" l="1"/>
  <c r="AF220" i="2" s="1"/>
  <c r="O219" i="2"/>
  <c r="N220" i="2" s="1"/>
  <c r="T220" i="2"/>
  <c r="AG219" i="2"/>
  <c r="S220" i="2"/>
  <c r="AT579" i="2"/>
  <c r="BB579" i="2"/>
  <c r="BC579" i="2"/>
  <c r="AB579" i="2"/>
  <c r="AG579" i="2"/>
  <c r="Q575" i="2"/>
  <c r="AU219" i="2"/>
  <c r="Y578" i="2"/>
  <c r="AM220" i="2"/>
  <c r="AM579" i="2"/>
  <c r="AP579" i="2"/>
  <c r="N576" i="2"/>
  <c r="AU579" i="2"/>
  <c r="AW579" i="2"/>
  <c r="L579" i="2"/>
  <c r="AD579" i="2"/>
  <c r="J579" i="2"/>
  <c r="B580" i="2"/>
  <c r="AV579" i="2"/>
  <c r="AR579" i="2"/>
  <c r="AS579" i="2"/>
  <c r="AQ579" i="2"/>
  <c r="AE579" i="2"/>
  <c r="AJ579" i="2"/>
  <c r="AH579" i="2"/>
  <c r="AC579" i="2"/>
  <c r="AF579" i="2"/>
  <c r="AI579" i="2"/>
  <c r="W579" i="2"/>
  <c r="Z579" i="2"/>
  <c r="R579" i="2"/>
  <c r="U579" i="2"/>
  <c r="P579" i="2"/>
  <c r="V579" i="2"/>
  <c r="AA579" i="2"/>
  <c r="C579" i="2"/>
  <c r="K579" i="2"/>
  <c r="AO579" i="2" s="1"/>
  <c r="O579" i="2"/>
  <c r="M578" i="2"/>
  <c r="H577" i="2"/>
  <c r="I577" i="2" s="1"/>
  <c r="E578" i="2"/>
  <c r="F578" i="2"/>
  <c r="G578" i="2" s="1"/>
  <c r="AN578" i="2" s="1"/>
  <c r="D578" i="2"/>
  <c r="X578" i="2"/>
  <c r="AN220" i="2" l="1"/>
  <c r="X220" i="2"/>
  <c r="AS220" i="2"/>
  <c r="I220" i="2"/>
  <c r="AK220" i="2" s="1"/>
  <c r="AO220" i="2"/>
  <c r="AL219" i="2"/>
  <c r="BA219" i="2" s="1"/>
  <c r="AT219" i="2"/>
  <c r="BB580" i="2"/>
  <c r="AT580" i="2"/>
  <c r="BC580" i="2"/>
  <c r="AG580" i="2"/>
  <c r="AB580" i="2"/>
  <c r="Q576" i="2"/>
  <c r="Y579" i="2"/>
  <c r="AM580" i="2"/>
  <c r="AP580" i="2"/>
  <c r="AU580" i="2"/>
  <c r="AW580" i="2"/>
  <c r="J580" i="2"/>
  <c r="AD580" i="2"/>
  <c r="L580" i="2"/>
  <c r="N577" i="2"/>
  <c r="X579" i="2"/>
  <c r="D579" i="2"/>
  <c r="F579" i="2"/>
  <c r="G579" i="2" s="1"/>
  <c r="AN579" i="2" s="1"/>
  <c r="E579" i="2"/>
  <c r="H578" i="2"/>
  <c r="I578" i="2" s="1"/>
  <c r="B581" i="2"/>
  <c r="AV580" i="2"/>
  <c r="AR580" i="2"/>
  <c r="AQ580" i="2"/>
  <c r="AS580" i="2"/>
  <c r="AH580" i="2"/>
  <c r="AE580" i="2"/>
  <c r="AJ580" i="2"/>
  <c r="AC580" i="2"/>
  <c r="AA580" i="2"/>
  <c r="Z580" i="2"/>
  <c r="AI580" i="2"/>
  <c r="W580" i="2"/>
  <c r="AF580" i="2"/>
  <c r="V580" i="2"/>
  <c r="P580" i="2"/>
  <c r="R580" i="2"/>
  <c r="U580" i="2"/>
  <c r="C580" i="2"/>
  <c r="K580" i="2"/>
  <c r="AO580" i="2" s="1"/>
  <c r="M579" i="2"/>
  <c r="O580" i="2"/>
  <c r="Q220" i="2" l="1"/>
  <c r="R220" i="2" s="1"/>
  <c r="AH220" i="2" s="1"/>
  <c r="AI221" i="2" s="1"/>
  <c r="BB220" i="2"/>
  <c r="AV220" i="2"/>
  <c r="AR220" i="2" s="1"/>
  <c r="AW220" i="2" s="1"/>
  <c r="BC581" i="2"/>
  <c r="BB581" i="2"/>
  <c r="AT581" i="2"/>
  <c r="AG581" i="2"/>
  <c r="AB581" i="2"/>
  <c r="Q577" i="2"/>
  <c r="Y580" i="2"/>
  <c r="AM221" i="2"/>
  <c r="AM581" i="2"/>
  <c r="AP581" i="2"/>
  <c r="AU581" i="2"/>
  <c r="AW581" i="2"/>
  <c r="L581" i="2"/>
  <c r="J581" i="2"/>
  <c r="AD581" i="2"/>
  <c r="H579" i="2"/>
  <c r="I579" i="2" s="1"/>
  <c r="X580" i="2"/>
  <c r="N578" i="2"/>
  <c r="B582" i="2"/>
  <c r="AV581" i="2"/>
  <c r="AR581" i="2"/>
  <c r="AS581" i="2"/>
  <c r="AQ581" i="2"/>
  <c r="AI581" i="2"/>
  <c r="AH581" i="2"/>
  <c r="AE581" i="2"/>
  <c r="AF581" i="2"/>
  <c r="AC581" i="2"/>
  <c r="AJ581" i="2"/>
  <c r="Z581" i="2"/>
  <c r="V581" i="2"/>
  <c r="AA581" i="2"/>
  <c r="U581" i="2"/>
  <c r="W581" i="2"/>
  <c r="P581" i="2"/>
  <c r="R581" i="2"/>
  <c r="M580" i="2"/>
  <c r="O581" i="2"/>
  <c r="K581" i="2"/>
  <c r="AO581" i="2" s="1"/>
  <c r="C581" i="2"/>
  <c r="D580" i="2"/>
  <c r="E580" i="2"/>
  <c r="F580" i="2"/>
  <c r="G580" i="2" s="1"/>
  <c r="AN580" i="2" s="1"/>
  <c r="S221" i="2" l="1"/>
  <c r="O220" i="2"/>
  <c r="AO221" i="2" s="1"/>
  <c r="AG220" i="2"/>
  <c r="AE220" i="2"/>
  <c r="T221" i="2"/>
  <c r="AU220" i="2"/>
  <c r="BB582" i="2"/>
  <c r="BC582" i="2"/>
  <c r="AT582" i="2"/>
  <c r="AB582" i="2"/>
  <c r="AG582" i="2"/>
  <c r="Q578" i="2"/>
  <c r="Y581" i="2"/>
  <c r="AN221" i="2"/>
  <c r="AS221" i="2"/>
  <c r="AM582" i="2"/>
  <c r="AP582" i="2"/>
  <c r="AU582" i="2"/>
  <c r="AW582" i="2"/>
  <c r="J582" i="2"/>
  <c r="AD582" i="2"/>
  <c r="L582" i="2"/>
  <c r="E581" i="2"/>
  <c r="F581" i="2"/>
  <c r="G581" i="2" s="1"/>
  <c r="AN581" i="2" s="1"/>
  <c r="D581" i="2"/>
  <c r="X581" i="2"/>
  <c r="N579" i="2"/>
  <c r="H580" i="2"/>
  <c r="I580" i="2" s="1"/>
  <c r="B583" i="2"/>
  <c r="AV582" i="2"/>
  <c r="AR582" i="2"/>
  <c r="AQ582" i="2"/>
  <c r="AS582" i="2"/>
  <c r="AI582" i="2"/>
  <c r="AH582" i="2"/>
  <c r="AE582" i="2"/>
  <c r="AF582" i="2"/>
  <c r="U582" i="2"/>
  <c r="AC582" i="2"/>
  <c r="V582" i="2"/>
  <c r="AA582" i="2"/>
  <c r="R582" i="2"/>
  <c r="Z582" i="2"/>
  <c r="AJ582" i="2"/>
  <c r="P582" i="2"/>
  <c r="W582" i="2"/>
  <c r="M581" i="2"/>
  <c r="K582" i="2"/>
  <c r="AO582" i="2" s="1"/>
  <c r="O582" i="2"/>
  <c r="C582" i="2"/>
  <c r="N221" i="2" l="1"/>
  <c r="I221" i="2"/>
  <c r="X221" i="2"/>
  <c r="AT220" i="2"/>
  <c r="AV221" i="2" s="1"/>
  <c r="AR221" i="2" s="1"/>
  <c r="AL220" i="2"/>
  <c r="BA220" i="2" s="1"/>
  <c r="AF221" i="2"/>
  <c r="AT583" i="2"/>
  <c r="BB583" i="2"/>
  <c r="BC583" i="2"/>
  <c r="AG583" i="2"/>
  <c r="AB583" i="2"/>
  <c r="Q579" i="2"/>
  <c r="Y582" i="2"/>
  <c r="AM583" i="2"/>
  <c r="AP583" i="2"/>
  <c r="AU583" i="2"/>
  <c r="AW583" i="2"/>
  <c r="AD583" i="2"/>
  <c r="J583" i="2"/>
  <c r="L583" i="2"/>
  <c r="H581" i="2"/>
  <c r="I581" i="2" s="1"/>
  <c r="B584" i="2"/>
  <c r="AR583" i="2"/>
  <c r="AV583" i="2"/>
  <c r="AQ583" i="2"/>
  <c r="AS583" i="2"/>
  <c r="AI583" i="2"/>
  <c r="AJ583" i="2"/>
  <c r="AF583" i="2"/>
  <c r="AH583" i="2"/>
  <c r="U583" i="2"/>
  <c r="AC583" i="2"/>
  <c r="V583" i="2"/>
  <c r="W583" i="2"/>
  <c r="AE583" i="2"/>
  <c r="AA583" i="2"/>
  <c r="P583" i="2"/>
  <c r="R583" i="2"/>
  <c r="Z583" i="2"/>
  <c r="K583" i="2"/>
  <c r="AO583" i="2" s="1"/>
  <c r="O583" i="2"/>
  <c r="C583" i="2"/>
  <c r="N580" i="2"/>
  <c r="F582" i="2"/>
  <c r="G582" i="2" s="1"/>
  <c r="AN582" i="2" s="1"/>
  <c r="E582" i="2"/>
  <c r="D582" i="2"/>
  <c r="X582" i="2"/>
  <c r="M582" i="2"/>
  <c r="Q221" i="2" l="1"/>
  <c r="R221" i="2" s="1"/>
  <c r="AG221" i="2" s="1"/>
  <c r="AK221" i="2"/>
  <c r="BB221" i="2"/>
  <c r="AW221" i="2"/>
  <c r="BB584" i="2"/>
  <c r="AT584" i="2"/>
  <c r="BC584" i="2"/>
  <c r="AG584" i="2"/>
  <c r="AB584" i="2"/>
  <c r="Q580" i="2"/>
  <c r="Y583" i="2"/>
  <c r="AM584" i="2"/>
  <c r="AP584" i="2"/>
  <c r="AU584" i="2"/>
  <c r="L584" i="2"/>
  <c r="AW584" i="2"/>
  <c r="AD584" i="2"/>
  <c r="J584" i="2"/>
  <c r="D583" i="2"/>
  <c r="E583" i="2"/>
  <c r="F583" i="2"/>
  <c r="G583" i="2" s="1"/>
  <c r="AN583" i="2" s="1"/>
  <c r="H582" i="2"/>
  <c r="I582" i="2" s="1"/>
  <c r="X583" i="2"/>
  <c r="B585" i="2"/>
  <c r="AV584" i="2"/>
  <c r="AR584" i="2"/>
  <c r="AS584" i="2"/>
  <c r="AQ584" i="2"/>
  <c r="AF584" i="2"/>
  <c r="AH584" i="2"/>
  <c r="AE584" i="2"/>
  <c r="AI584" i="2"/>
  <c r="AC584" i="2"/>
  <c r="U584" i="2"/>
  <c r="Z584" i="2"/>
  <c r="R584" i="2"/>
  <c r="V584" i="2"/>
  <c r="AJ584" i="2"/>
  <c r="W584" i="2"/>
  <c r="P584" i="2"/>
  <c r="AA584" i="2"/>
  <c r="M583" i="2"/>
  <c r="O584" i="2"/>
  <c r="C584" i="2"/>
  <c r="K584" i="2"/>
  <c r="AO584" i="2" s="1"/>
  <c r="N581" i="2"/>
  <c r="T222" i="2" l="1"/>
  <c r="O221" i="2"/>
  <c r="AO222" i="2" s="1"/>
  <c r="AH221" i="2"/>
  <c r="AI222" i="2" s="1"/>
  <c r="S222" i="2"/>
  <c r="AE221" i="2"/>
  <c r="AF222" i="2" s="1"/>
  <c r="AU221" i="2"/>
  <c r="AM222" i="2"/>
  <c r="AN222" i="2"/>
  <c r="AT585" i="2"/>
  <c r="BB585" i="2"/>
  <c r="BC585" i="2"/>
  <c r="AG585" i="2"/>
  <c r="AB585" i="2"/>
  <c r="Q581" i="2"/>
  <c r="Y584" i="2"/>
  <c r="AP585" i="2"/>
  <c r="AM585" i="2"/>
  <c r="AU585" i="2"/>
  <c r="L585" i="2"/>
  <c r="AW585" i="2"/>
  <c r="AD585" i="2"/>
  <c r="J585" i="2"/>
  <c r="N582" i="2"/>
  <c r="H583" i="2"/>
  <c r="I583" i="2" s="1"/>
  <c r="D584" i="2"/>
  <c r="E584" i="2"/>
  <c r="F584" i="2"/>
  <c r="G584" i="2" s="1"/>
  <c r="AN584" i="2" s="1"/>
  <c r="B586" i="2"/>
  <c r="AV585" i="2"/>
  <c r="AS585" i="2"/>
  <c r="AQ585" i="2"/>
  <c r="AR585" i="2"/>
  <c r="AF585" i="2"/>
  <c r="AJ585" i="2"/>
  <c r="AE585" i="2"/>
  <c r="R585" i="2"/>
  <c r="AA585" i="2"/>
  <c r="W585" i="2"/>
  <c r="AI585" i="2"/>
  <c r="U585" i="2"/>
  <c r="V585" i="2"/>
  <c r="AC585" i="2"/>
  <c r="AH585" i="2"/>
  <c r="Z585" i="2"/>
  <c r="P585" i="2"/>
  <c r="M584" i="2"/>
  <c r="O585" i="2"/>
  <c r="C585" i="2"/>
  <c r="K585" i="2"/>
  <c r="AO585" i="2" s="1"/>
  <c r="X584" i="2"/>
  <c r="I222" i="2" l="1"/>
  <c r="AK222" i="2" s="1"/>
  <c r="N222" i="2"/>
  <c r="AS222" i="2"/>
  <c r="X222" i="2"/>
  <c r="AL221" i="2"/>
  <c r="BA221" i="2" s="1"/>
  <c r="AT221" i="2"/>
  <c r="BB222" i="2" s="1"/>
  <c r="AT586" i="2"/>
  <c r="BB586" i="2"/>
  <c r="BC586" i="2"/>
  <c r="AB586" i="2"/>
  <c r="AG586" i="2"/>
  <c r="Q582" i="2"/>
  <c r="Y585" i="2"/>
  <c r="AM586" i="2"/>
  <c r="AP586" i="2"/>
  <c r="AU586" i="2"/>
  <c r="L586" i="2"/>
  <c r="J586" i="2"/>
  <c r="AD586" i="2"/>
  <c r="AW586" i="2"/>
  <c r="B587" i="2"/>
  <c r="AV586" i="2"/>
  <c r="AR586" i="2"/>
  <c r="AQ586" i="2"/>
  <c r="AS586" i="2"/>
  <c r="AJ586" i="2"/>
  <c r="AF586" i="2"/>
  <c r="AI586" i="2"/>
  <c r="AE586" i="2"/>
  <c r="AH586" i="2"/>
  <c r="W586" i="2"/>
  <c r="R586" i="2"/>
  <c r="V586" i="2"/>
  <c r="P586" i="2"/>
  <c r="U586" i="2"/>
  <c r="Z586" i="2"/>
  <c r="AA586" i="2"/>
  <c r="AC586" i="2"/>
  <c r="C586" i="2"/>
  <c r="O586" i="2"/>
  <c r="K586" i="2"/>
  <c r="AO586" i="2" s="1"/>
  <c r="M585" i="2"/>
  <c r="D585" i="2"/>
  <c r="E585" i="2"/>
  <c r="F585" i="2"/>
  <c r="G585" i="2" s="1"/>
  <c r="AN585" i="2" s="1"/>
  <c r="N583" i="2"/>
  <c r="X585" i="2"/>
  <c r="H584" i="2"/>
  <c r="I584" i="2" s="1"/>
  <c r="Q222" i="2" l="1"/>
  <c r="R222" i="2" s="1"/>
  <c r="S223" i="2" s="1"/>
  <c r="AV222" i="2"/>
  <c r="AR222" i="2" s="1"/>
  <c r="AW222" i="2" s="1"/>
  <c r="AU222" i="2" s="1"/>
  <c r="AT587" i="2"/>
  <c r="BC587" i="2"/>
  <c r="BB587" i="2"/>
  <c r="AB587" i="2"/>
  <c r="AG587" i="2"/>
  <c r="Q583" i="2"/>
  <c r="Y586" i="2"/>
  <c r="AM587" i="2"/>
  <c r="AP587" i="2"/>
  <c r="AU587" i="2"/>
  <c r="AW587" i="2"/>
  <c r="L587" i="2"/>
  <c r="AD587" i="2"/>
  <c r="J587" i="2"/>
  <c r="D586" i="2"/>
  <c r="E586" i="2"/>
  <c r="F586" i="2"/>
  <c r="G586" i="2" s="1"/>
  <c r="AN586" i="2" s="1"/>
  <c r="H585" i="2"/>
  <c r="I585" i="2" s="1"/>
  <c r="B588" i="2"/>
  <c r="AV587" i="2"/>
  <c r="AR587" i="2"/>
  <c r="AS587" i="2"/>
  <c r="AQ587" i="2"/>
  <c r="AE587" i="2"/>
  <c r="AJ587" i="2"/>
  <c r="AH587" i="2"/>
  <c r="AC587" i="2"/>
  <c r="AF587" i="2"/>
  <c r="W587" i="2"/>
  <c r="Z587" i="2"/>
  <c r="R587" i="2"/>
  <c r="U587" i="2"/>
  <c r="AA587" i="2"/>
  <c r="P587" i="2"/>
  <c r="AI587" i="2"/>
  <c r="V587" i="2"/>
  <c r="C587" i="2"/>
  <c r="K587" i="2"/>
  <c r="AO587" i="2" s="1"/>
  <c r="O587" i="2"/>
  <c r="X586" i="2"/>
  <c r="N584" i="2"/>
  <c r="O222" i="2" l="1"/>
  <c r="AS223" i="2" s="1"/>
  <c r="AE222" i="2"/>
  <c r="AF223" i="2" s="1"/>
  <c r="AH222" i="2"/>
  <c r="AI223" i="2" s="1"/>
  <c r="T223" i="2"/>
  <c r="AG222" i="2"/>
  <c r="AN223" i="2"/>
  <c r="X223" i="2"/>
  <c r="N223" i="2"/>
  <c r="AO223" i="2"/>
  <c r="BB588" i="2"/>
  <c r="AT588" i="2"/>
  <c r="BC588" i="2"/>
  <c r="AG588" i="2"/>
  <c r="AB588" i="2"/>
  <c r="Q584" i="2"/>
  <c r="Y587" i="2"/>
  <c r="AM588" i="2"/>
  <c r="AP588" i="2"/>
  <c r="AU588" i="2"/>
  <c r="AW588" i="2"/>
  <c r="L588" i="2"/>
  <c r="J588" i="2"/>
  <c r="AD588" i="2"/>
  <c r="X587" i="2"/>
  <c r="D587" i="2"/>
  <c r="F587" i="2"/>
  <c r="G587" i="2" s="1"/>
  <c r="AN587" i="2" s="1"/>
  <c r="E587" i="2"/>
  <c r="M586" i="2"/>
  <c r="B589" i="2"/>
  <c r="AR588" i="2"/>
  <c r="AV588" i="2"/>
  <c r="AS588" i="2"/>
  <c r="AQ588" i="2"/>
  <c r="AH588" i="2"/>
  <c r="AE588" i="2"/>
  <c r="AJ588" i="2"/>
  <c r="AI588" i="2"/>
  <c r="AC588" i="2"/>
  <c r="AF588" i="2"/>
  <c r="AA588" i="2"/>
  <c r="Z588" i="2"/>
  <c r="W588" i="2"/>
  <c r="R588" i="2"/>
  <c r="P588" i="2"/>
  <c r="U588" i="2"/>
  <c r="V588" i="2"/>
  <c r="K588" i="2"/>
  <c r="AO588" i="2" s="1"/>
  <c r="M587" i="2"/>
  <c r="O588" i="2"/>
  <c r="C588" i="2"/>
  <c r="N585" i="2"/>
  <c r="H586" i="2"/>
  <c r="AT222" i="2" l="1"/>
  <c r="BB223" i="2" s="1"/>
  <c r="AL222" i="2"/>
  <c r="BA222" i="2" s="1"/>
  <c r="I223" i="2"/>
  <c r="AK223" i="2" s="1"/>
  <c r="BC589" i="2"/>
  <c r="BB589" i="2"/>
  <c r="AT589" i="2"/>
  <c r="AG589" i="2"/>
  <c r="AB589" i="2"/>
  <c r="Q585" i="2"/>
  <c r="Y588" i="2"/>
  <c r="AM589" i="2"/>
  <c r="AP589" i="2"/>
  <c r="AU589" i="2"/>
  <c r="AW589" i="2"/>
  <c r="L589" i="2"/>
  <c r="J589" i="2"/>
  <c r="AD589" i="2"/>
  <c r="X588" i="2"/>
  <c r="M588" i="2"/>
  <c r="I586" i="2"/>
  <c r="N586" i="2"/>
  <c r="E588" i="2"/>
  <c r="F588" i="2"/>
  <c r="G588" i="2" s="1"/>
  <c r="AN588" i="2" s="1"/>
  <c r="D588" i="2"/>
  <c r="B590" i="2"/>
  <c r="AR589" i="2"/>
  <c r="AS589" i="2"/>
  <c r="AQ589" i="2"/>
  <c r="AV589" i="2"/>
  <c r="AI589" i="2"/>
  <c r="AH589" i="2"/>
  <c r="AE589" i="2"/>
  <c r="AF589" i="2"/>
  <c r="AJ589" i="2"/>
  <c r="AC589" i="2"/>
  <c r="Z589" i="2"/>
  <c r="V589" i="2"/>
  <c r="AA589" i="2"/>
  <c r="W589" i="2"/>
  <c r="R589" i="2"/>
  <c r="U589" i="2"/>
  <c r="P589" i="2"/>
  <c r="K589" i="2"/>
  <c r="AO589" i="2" s="1"/>
  <c r="O589" i="2"/>
  <c r="C589" i="2"/>
  <c r="H587" i="2"/>
  <c r="I587" i="2" s="1"/>
  <c r="Q223" i="2" l="1"/>
  <c r="R223" i="2" s="1"/>
  <c r="AG223" i="2" s="1"/>
  <c r="AV223" i="2"/>
  <c r="AR223" i="2" s="1"/>
  <c r="AW223" i="2" s="1"/>
  <c r="AU223" i="2" s="1"/>
  <c r="BB590" i="2"/>
  <c r="AT590" i="2"/>
  <c r="BC590" i="2"/>
  <c r="AB590" i="2"/>
  <c r="AG590" i="2"/>
  <c r="Y589" i="2"/>
  <c r="AM590" i="2"/>
  <c r="AP590" i="2"/>
  <c r="AU590" i="2"/>
  <c r="AW590" i="2"/>
  <c r="L590" i="2"/>
  <c r="J590" i="2"/>
  <c r="AD590" i="2"/>
  <c r="H588" i="2"/>
  <c r="I588" i="2" s="1"/>
  <c r="B591" i="2"/>
  <c r="AV590" i="2"/>
  <c r="AR590" i="2"/>
  <c r="AS590" i="2"/>
  <c r="AQ590" i="2"/>
  <c r="AI590" i="2"/>
  <c r="AE590" i="2"/>
  <c r="AJ590" i="2"/>
  <c r="U590" i="2"/>
  <c r="AF590" i="2"/>
  <c r="V590" i="2"/>
  <c r="AA590" i="2"/>
  <c r="AC590" i="2"/>
  <c r="R590" i="2"/>
  <c r="W590" i="2"/>
  <c r="AH590" i="2"/>
  <c r="Z590" i="2"/>
  <c r="P590" i="2"/>
  <c r="K590" i="2"/>
  <c r="AO590" i="2" s="1"/>
  <c r="C590" i="2"/>
  <c r="O590" i="2"/>
  <c r="F589" i="2"/>
  <c r="G589" i="2" s="1"/>
  <c r="AN589" i="2" s="1"/>
  <c r="D589" i="2"/>
  <c r="E589" i="2"/>
  <c r="X589" i="2"/>
  <c r="M589" i="2"/>
  <c r="Q586" i="2"/>
  <c r="N587" i="2"/>
  <c r="O223" i="2" l="1"/>
  <c r="N224" i="2" s="1"/>
  <c r="AE223" i="2"/>
  <c r="AF224" i="2" s="1"/>
  <c r="S224" i="2"/>
  <c r="AH223" i="2"/>
  <c r="AI224" i="2" s="1"/>
  <c r="T224" i="2"/>
  <c r="X224" i="2"/>
  <c r="AT591" i="2"/>
  <c r="BC591" i="2"/>
  <c r="BB591" i="2"/>
  <c r="AG591" i="2"/>
  <c r="AB591" i="2"/>
  <c r="Q587" i="2"/>
  <c r="Y590" i="2"/>
  <c r="AM591" i="2"/>
  <c r="AP591" i="2"/>
  <c r="N588" i="2"/>
  <c r="AU591" i="2"/>
  <c r="AW591" i="2"/>
  <c r="L591" i="2"/>
  <c r="J591" i="2"/>
  <c r="AD591" i="2"/>
  <c r="B592" i="2"/>
  <c r="AV591" i="2"/>
  <c r="AR591" i="2"/>
  <c r="AS591" i="2"/>
  <c r="AQ591" i="2"/>
  <c r="AI591" i="2"/>
  <c r="AJ591" i="2"/>
  <c r="AE591" i="2"/>
  <c r="U591" i="2"/>
  <c r="AF591" i="2"/>
  <c r="V591" i="2"/>
  <c r="AH591" i="2"/>
  <c r="W591" i="2"/>
  <c r="AA591" i="2"/>
  <c r="P591" i="2"/>
  <c r="AC591" i="2"/>
  <c r="Z591" i="2"/>
  <c r="R591" i="2"/>
  <c r="C591" i="2"/>
  <c r="M590" i="2"/>
  <c r="K591" i="2"/>
  <c r="AO591" i="2" s="1"/>
  <c r="O591" i="2"/>
  <c r="H589" i="2"/>
  <c r="I589" i="2" s="1"/>
  <c r="X590" i="2"/>
  <c r="D590" i="2"/>
  <c r="E590" i="2"/>
  <c r="F590" i="2"/>
  <c r="G590" i="2" s="1"/>
  <c r="AN590" i="2" s="1"/>
  <c r="I224" i="2" l="1"/>
  <c r="AO224" i="2"/>
  <c r="Q224" i="2"/>
  <c r="O224" i="2" s="1"/>
  <c r="I225" i="2" s="1"/>
  <c r="AL223" i="2"/>
  <c r="BA223" i="2" s="1"/>
  <c r="AT223" i="2"/>
  <c r="AS224" i="2"/>
  <c r="AN224" i="2"/>
  <c r="AK224" i="2"/>
  <c r="R224" i="2"/>
  <c r="AH224" i="2" s="1"/>
  <c r="AI225" i="2" s="1"/>
  <c r="AT592" i="2"/>
  <c r="BB592" i="2"/>
  <c r="BC592" i="2"/>
  <c r="AG592" i="2"/>
  <c r="AB592" i="2"/>
  <c r="Q588" i="2"/>
  <c r="Y591" i="2"/>
  <c r="AM592" i="2"/>
  <c r="AP592" i="2"/>
  <c r="AU592" i="2"/>
  <c r="AW592" i="2"/>
  <c r="L592" i="2"/>
  <c r="J592" i="2"/>
  <c r="AD592" i="2"/>
  <c r="N589" i="2"/>
  <c r="H590" i="2"/>
  <c r="I590" i="2" s="1"/>
  <c r="B593" i="2"/>
  <c r="AV592" i="2"/>
  <c r="AR592" i="2"/>
  <c r="AQ592" i="2"/>
  <c r="AS592" i="2"/>
  <c r="AF592" i="2"/>
  <c r="AH592" i="2"/>
  <c r="AE592" i="2"/>
  <c r="AI592" i="2"/>
  <c r="AC592" i="2"/>
  <c r="U592" i="2"/>
  <c r="AJ592" i="2"/>
  <c r="Z592" i="2"/>
  <c r="AA592" i="2"/>
  <c r="V592" i="2"/>
  <c r="W592" i="2"/>
  <c r="R592" i="2"/>
  <c r="P592" i="2"/>
  <c r="K592" i="2"/>
  <c r="AO592" i="2" s="1"/>
  <c r="C592" i="2"/>
  <c r="O592" i="2"/>
  <c r="F591" i="2"/>
  <c r="G591" i="2" s="1"/>
  <c r="AN591" i="2" s="1"/>
  <c r="D591" i="2"/>
  <c r="E591" i="2"/>
  <c r="X591" i="2"/>
  <c r="AS225" i="2" l="1"/>
  <c r="AN225" i="2"/>
  <c r="N225" i="2"/>
  <c r="Q225" i="2" s="1"/>
  <c r="X225" i="2"/>
  <c r="AO225" i="2"/>
  <c r="AV224" i="2"/>
  <c r="AR224" i="2" s="1"/>
  <c r="AW224" i="2" s="1"/>
  <c r="BB224" i="2"/>
  <c r="AE224" i="2"/>
  <c r="AT224" i="2" s="1"/>
  <c r="BB225" i="2" s="1"/>
  <c r="AG224" i="2"/>
  <c r="T225" i="2"/>
  <c r="S225" i="2"/>
  <c r="BB593" i="2"/>
  <c r="AT593" i="2"/>
  <c r="BC593" i="2"/>
  <c r="AG593" i="2"/>
  <c r="AB593" i="2"/>
  <c r="Q589" i="2"/>
  <c r="Y592" i="2"/>
  <c r="O225" i="2"/>
  <c r="AM593" i="2"/>
  <c r="AP593" i="2"/>
  <c r="AU593" i="2"/>
  <c r="AW593" i="2"/>
  <c r="AD593" i="2"/>
  <c r="L593" i="2"/>
  <c r="J593" i="2"/>
  <c r="D592" i="2"/>
  <c r="E592" i="2"/>
  <c r="F592" i="2"/>
  <c r="G592" i="2" s="1"/>
  <c r="AN592" i="2" s="1"/>
  <c r="X592" i="2"/>
  <c r="B594" i="2"/>
  <c r="AV593" i="2"/>
  <c r="AR593" i="2"/>
  <c r="AQ593" i="2"/>
  <c r="AS593" i="2"/>
  <c r="AF593" i="2"/>
  <c r="AI593" i="2"/>
  <c r="AH593" i="2"/>
  <c r="R593" i="2"/>
  <c r="AE593" i="2"/>
  <c r="AA593" i="2"/>
  <c r="AC593" i="2"/>
  <c r="Z593" i="2"/>
  <c r="U593" i="2"/>
  <c r="P593" i="2"/>
  <c r="AJ593" i="2"/>
  <c r="V593" i="2"/>
  <c r="W593" i="2"/>
  <c r="K593" i="2"/>
  <c r="AO593" i="2" s="1"/>
  <c r="M592" i="2"/>
  <c r="O593" i="2"/>
  <c r="C593" i="2"/>
  <c r="M591" i="2"/>
  <c r="H591" i="2"/>
  <c r="N590" i="2"/>
  <c r="AU224" i="2" l="1"/>
  <c r="AV225" i="2" s="1"/>
  <c r="AR225" i="2" s="1"/>
  <c r="AW225" i="2" s="1"/>
  <c r="AU225" i="2" s="1"/>
  <c r="AF225" i="2"/>
  <c r="AK225" i="2" s="1"/>
  <c r="AL224" i="2"/>
  <c r="BA224" i="2" s="1"/>
  <c r="R225" i="2"/>
  <c r="AH225" i="2" s="1"/>
  <c r="AI226" i="2" s="1"/>
  <c r="BB594" i="2"/>
  <c r="AT594" i="2"/>
  <c r="BC594" i="2"/>
  <c r="AG594" i="2"/>
  <c r="AB594" i="2"/>
  <c r="Q590" i="2"/>
  <c r="Y593" i="2"/>
  <c r="AO226" i="2"/>
  <c r="AN226" i="2"/>
  <c r="AS226" i="2"/>
  <c r="N226" i="2"/>
  <c r="X226" i="2"/>
  <c r="I226" i="2"/>
  <c r="AM594" i="2"/>
  <c r="AP594" i="2"/>
  <c r="I591" i="2"/>
  <c r="AU594" i="2"/>
  <c r="L594" i="2"/>
  <c r="AW594" i="2"/>
  <c r="J594" i="2"/>
  <c r="AD594" i="2"/>
  <c r="D593" i="2"/>
  <c r="E593" i="2"/>
  <c r="F593" i="2"/>
  <c r="G593" i="2" s="1"/>
  <c r="AN593" i="2" s="1"/>
  <c r="X593" i="2"/>
  <c r="H592" i="2"/>
  <c r="I592" i="2" s="1"/>
  <c r="B595" i="2"/>
  <c r="AV594" i="2"/>
  <c r="AR594" i="2"/>
  <c r="AS594" i="2"/>
  <c r="AQ594" i="2"/>
  <c r="AJ594" i="2"/>
  <c r="AF594" i="2"/>
  <c r="AI594" i="2"/>
  <c r="AH594" i="2"/>
  <c r="AC594" i="2"/>
  <c r="W594" i="2"/>
  <c r="R594" i="2"/>
  <c r="AE594" i="2"/>
  <c r="V594" i="2"/>
  <c r="P594" i="2"/>
  <c r="Z594" i="2"/>
  <c r="U594" i="2"/>
  <c r="AA594" i="2"/>
  <c r="K594" i="2"/>
  <c r="AO594" i="2" s="1"/>
  <c r="M593" i="2"/>
  <c r="O594" i="2"/>
  <c r="C594" i="2"/>
  <c r="N591" i="2"/>
  <c r="T226" i="2" l="1"/>
  <c r="S226" i="2"/>
  <c r="AE225" i="2"/>
  <c r="AL225" i="2" s="1"/>
  <c r="BA225" i="2" s="1"/>
  <c r="AG225" i="2"/>
  <c r="BB595" i="2"/>
  <c r="AT595" i="2"/>
  <c r="BC595" i="2"/>
  <c r="AB595" i="2"/>
  <c r="AG595" i="2"/>
  <c r="Y594" i="2"/>
  <c r="Q226" i="2"/>
  <c r="AM595" i="2"/>
  <c r="AP595" i="2"/>
  <c r="Q591" i="2"/>
  <c r="AU595" i="2"/>
  <c r="AW595" i="2"/>
  <c r="L595" i="2"/>
  <c r="AD595" i="2"/>
  <c r="J595" i="2"/>
  <c r="N592" i="2"/>
  <c r="X594" i="2"/>
  <c r="B596" i="2"/>
  <c r="AV595" i="2"/>
  <c r="AS595" i="2"/>
  <c r="AQ595" i="2"/>
  <c r="AR595" i="2"/>
  <c r="AE595" i="2"/>
  <c r="AJ595" i="2"/>
  <c r="AH595" i="2"/>
  <c r="AC595" i="2"/>
  <c r="AF595" i="2"/>
  <c r="W595" i="2"/>
  <c r="Z595" i="2"/>
  <c r="R595" i="2"/>
  <c r="AI595" i="2"/>
  <c r="U595" i="2"/>
  <c r="P595" i="2"/>
  <c r="V595" i="2"/>
  <c r="AA595" i="2"/>
  <c r="K595" i="2"/>
  <c r="AO595" i="2" s="1"/>
  <c r="C595" i="2"/>
  <c r="O595" i="2"/>
  <c r="D594" i="2"/>
  <c r="E594" i="2"/>
  <c r="F594" i="2"/>
  <c r="G594" i="2" s="1"/>
  <c r="AN594" i="2" s="1"/>
  <c r="H593" i="2"/>
  <c r="I593" i="2" s="1"/>
  <c r="R226" i="2" l="1"/>
  <c r="AH226" i="2" s="1"/>
  <c r="AI227" i="2" s="1"/>
  <c r="AF226" i="2"/>
  <c r="AK226" i="2" s="1"/>
  <c r="AT225" i="2"/>
  <c r="BB226" i="2" s="1"/>
  <c r="BB596" i="2"/>
  <c r="BC596" i="2"/>
  <c r="AT596" i="2"/>
  <c r="AB596" i="2"/>
  <c r="AG596" i="2"/>
  <c r="Q592" i="2"/>
  <c r="Y595" i="2"/>
  <c r="O226" i="2"/>
  <c r="AP596" i="2"/>
  <c r="AM596" i="2"/>
  <c r="AU596" i="2"/>
  <c r="AW596" i="2"/>
  <c r="L596" i="2"/>
  <c r="AD596" i="2"/>
  <c r="J596" i="2"/>
  <c r="H594" i="2"/>
  <c r="B597" i="2"/>
  <c r="AR596" i="2"/>
  <c r="AV596" i="2"/>
  <c r="AS596" i="2"/>
  <c r="AQ596" i="2"/>
  <c r="AH596" i="2"/>
  <c r="AE596" i="2"/>
  <c r="AJ596" i="2"/>
  <c r="AC596" i="2"/>
  <c r="AA596" i="2"/>
  <c r="Z596" i="2"/>
  <c r="W596" i="2"/>
  <c r="V596" i="2"/>
  <c r="AF596" i="2"/>
  <c r="P596" i="2"/>
  <c r="R596" i="2"/>
  <c r="U596" i="2"/>
  <c r="AI596" i="2"/>
  <c r="M595" i="2"/>
  <c r="K596" i="2"/>
  <c r="AO596" i="2" s="1"/>
  <c r="O596" i="2"/>
  <c r="C596" i="2"/>
  <c r="M594" i="2"/>
  <c r="X595" i="2"/>
  <c r="N593" i="2"/>
  <c r="F595" i="2"/>
  <c r="G595" i="2" s="1"/>
  <c r="AN595" i="2" s="1"/>
  <c r="D595" i="2"/>
  <c r="E595" i="2"/>
  <c r="T227" i="2" l="1"/>
  <c r="S227" i="2"/>
  <c r="AG226" i="2"/>
  <c r="AE226" i="2"/>
  <c r="AL226" i="2" s="1"/>
  <c r="BA226" i="2" s="1"/>
  <c r="AV226" i="2"/>
  <c r="AR226" i="2" s="1"/>
  <c r="AW226" i="2" s="1"/>
  <c r="AU226" i="2" s="1"/>
  <c r="AN227" i="2"/>
  <c r="BC597" i="2"/>
  <c r="AT597" i="2"/>
  <c r="BB597" i="2"/>
  <c r="AG597" i="2"/>
  <c r="AB597" i="2"/>
  <c r="Q593" i="2"/>
  <c r="Y596" i="2"/>
  <c r="I227" i="2"/>
  <c r="AM227" i="2"/>
  <c r="AS227" i="2"/>
  <c r="X227" i="2"/>
  <c r="N227" i="2"/>
  <c r="AO227" i="2"/>
  <c r="AP597" i="2"/>
  <c r="AM597" i="2"/>
  <c r="N594" i="2"/>
  <c r="AU597" i="2"/>
  <c r="AW597" i="2"/>
  <c r="L597" i="2"/>
  <c r="J597" i="2"/>
  <c r="AD597" i="2"/>
  <c r="B598" i="2"/>
  <c r="AR597" i="2"/>
  <c r="AV597" i="2"/>
  <c r="AS597" i="2"/>
  <c r="AQ597" i="2"/>
  <c r="AI597" i="2"/>
  <c r="AH597" i="2"/>
  <c r="AE597" i="2"/>
  <c r="AF597" i="2"/>
  <c r="AC597" i="2"/>
  <c r="AJ597" i="2"/>
  <c r="Z597" i="2"/>
  <c r="V597" i="2"/>
  <c r="AA597" i="2"/>
  <c r="U597" i="2"/>
  <c r="W597" i="2"/>
  <c r="R597" i="2"/>
  <c r="P597" i="2"/>
  <c r="O597" i="2"/>
  <c r="M596" i="2"/>
  <c r="K597" i="2"/>
  <c r="AO597" i="2" s="1"/>
  <c r="C597" i="2"/>
  <c r="E596" i="2"/>
  <c r="F596" i="2"/>
  <c r="G596" i="2" s="1"/>
  <c r="AN596" i="2" s="1"/>
  <c r="D596" i="2"/>
  <c r="I594" i="2"/>
  <c r="X596" i="2"/>
  <c r="H595" i="2"/>
  <c r="I595" i="2" s="1"/>
  <c r="AT226" i="2" l="1"/>
  <c r="BB227" i="2" s="1"/>
  <c r="AF227" i="2"/>
  <c r="AK227" i="2" s="1"/>
  <c r="BB598" i="2"/>
  <c r="AT598" i="2"/>
  <c r="BC598" i="2"/>
  <c r="AB598" i="2"/>
  <c r="AG598" i="2"/>
  <c r="Y597" i="2"/>
  <c r="Q227" i="2"/>
  <c r="R227" i="2" s="1"/>
  <c r="AM598" i="2"/>
  <c r="AP598" i="2"/>
  <c r="Q594" i="2"/>
  <c r="AU598" i="2"/>
  <c r="AW598" i="2"/>
  <c r="L598" i="2"/>
  <c r="J598" i="2"/>
  <c r="AD598" i="2"/>
  <c r="F597" i="2"/>
  <c r="G597" i="2" s="1"/>
  <c r="AN597" i="2" s="1"/>
  <c r="D597" i="2"/>
  <c r="E597" i="2"/>
  <c r="X597" i="2"/>
  <c r="N595" i="2"/>
  <c r="H596" i="2"/>
  <c r="I596" i="2" s="1"/>
  <c r="B599" i="2"/>
  <c r="AV598" i="2"/>
  <c r="AR598" i="2"/>
  <c r="AQ598" i="2"/>
  <c r="AS598" i="2"/>
  <c r="AI598" i="2"/>
  <c r="AH598" i="2"/>
  <c r="AE598" i="2"/>
  <c r="U598" i="2"/>
  <c r="AC598" i="2"/>
  <c r="V598" i="2"/>
  <c r="AA598" i="2"/>
  <c r="R598" i="2"/>
  <c r="Z598" i="2"/>
  <c r="AF598" i="2"/>
  <c r="W598" i="2"/>
  <c r="AJ598" i="2"/>
  <c r="P598" i="2"/>
  <c r="O598" i="2"/>
  <c r="C598" i="2"/>
  <c r="K598" i="2"/>
  <c r="AO598" i="2" s="1"/>
  <c r="AV227" i="2" l="1"/>
  <c r="AR227" i="2" s="1"/>
  <c r="AW227" i="2" s="1"/>
  <c r="AE227" i="2"/>
  <c r="AF228" i="2" s="1"/>
  <c r="AG227" i="2"/>
  <c r="AT599" i="2"/>
  <c r="BB599" i="2"/>
  <c r="BC599" i="2"/>
  <c r="AG599" i="2"/>
  <c r="AB599" i="2"/>
  <c r="Q595" i="2"/>
  <c r="Y598" i="2"/>
  <c r="T228" i="2"/>
  <c r="AH227" i="2"/>
  <c r="O227" i="2"/>
  <c r="S228" i="2"/>
  <c r="AM599" i="2"/>
  <c r="AP599" i="2"/>
  <c r="AU599" i="2"/>
  <c r="AW599" i="2"/>
  <c r="J599" i="2"/>
  <c r="L599" i="2"/>
  <c r="AD599" i="2"/>
  <c r="E598" i="2"/>
  <c r="D598" i="2"/>
  <c r="F598" i="2"/>
  <c r="G598" i="2" s="1"/>
  <c r="AN598" i="2" s="1"/>
  <c r="B600" i="2"/>
  <c r="AV599" i="2"/>
  <c r="AR599" i="2"/>
  <c r="AS599" i="2"/>
  <c r="AQ599" i="2"/>
  <c r="AI599" i="2"/>
  <c r="AJ599" i="2"/>
  <c r="AF599" i="2"/>
  <c r="U599" i="2"/>
  <c r="AC599" i="2"/>
  <c r="V599" i="2"/>
  <c r="W599" i="2"/>
  <c r="AE599" i="2"/>
  <c r="AH599" i="2"/>
  <c r="AA599" i="2"/>
  <c r="P599" i="2"/>
  <c r="Z599" i="2"/>
  <c r="R599" i="2"/>
  <c r="C599" i="2"/>
  <c r="K599" i="2"/>
  <c r="AO599" i="2" s="1"/>
  <c r="M598" i="2"/>
  <c r="O599" i="2"/>
  <c r="H597" i="2"/>
  <c r="M597" i="2"/>
  <c r="X598" i="2"/>
  <c r="N596" i="2"/>
  <c r="AL227" i="2" l="1"/>
  <c r="BA227" i="2" s="1"/>
  <c r="BB600" i="2"/>
  <c r="BC600" i="2"/>
  <c r="AT600" i="2"/>
  <c r="AG600" i="2"/>
  <c r="AB600" i="2"/>
  <c r="Q596" i="2"/>
  <c r="Y599" i="2"/>
  <c r="AO228" i="2"/>
  <c r="AN228" i="2"/>
  <c r="I228" i="2"/>
  <c r="X228" i="2"/>
  <c r="AJ228" i="2"/>
  <c r="AI228" i="2" s="1"/>
  <c r="N228" i="2"/>
  <c r="AS228" i="2"/>
  <c r="AM600" i="2"/>
  <c r="AP600" i="2"/>
  <c r="N597" i="2"/>
  <c r="AU600" i="2"/>
  <c r="L600" i="2"/>
  <c r="J600" i="2"/>
  <c r="AW600" i="2"/>
  <c r="AD600" i="2"/>
  <c r="H598" i="2"/>
  <c r="I598" i="2" s="1"/>
  <c r="D599" i="2"/>
  <c r="F599" i="2"/>
  <c r="G599" i="2" s="1"/>
  <c r="AN599" i="2" s="1"/>
  <c r="E599" i="2"/>
  <c r="X599" i="2"/>
  <c r="I597" i="2"/>
  <c r="B601" i="2"/>
  <c r="AV600" i="2"/>
  <c r="AR600" i="2"/>
  <c r="AQ600" i="2"/>
  <c r="AS600" i="2"/>
  <c r="AF600" i="2"/>
  <c r="AH600" i="2"/>
  <c r="AE600" i="2"/>
  <c r="AI600" i="2"/>
  <c r="AC600" i="2"/>
  <c r="AJ600" i="2"/>
  <c r="U600" i="2"/>
  <c r="Z600" i="2"/>
  <c r="R600" i="2"/>
  <c r="V600" i="2"/>
  <c r="AA600" i="2"/>
  <c r="P600" i="2"/>
  <c r="W600" i="2"/>
  <c r="C600" i="2"/>
  <c r="K600" i="2"/>
  <c r="AO600" i="2" s="1"/>
  <c r="O600" i="2"/>
  <c r="M599" i="2"/>
  <c r="AT227" i="2" l="1"/>
  <c r="BB228" i="2" s="1"/>
  <c r="BB601" i="2"/>
  <c r="AT601" i="2"/>
  <c r="BC601" i="2"/>
  <c r="AG601" i="2"/>
  <c r="AB601" i="2"/>
  <c r="Y600" i="2"/>
  <c r="Q228" i="2"/>
  <c r="O228" i="2" s="1"/>
  <c r="AK228" i="2"/>
  <c r="AP601" i="2"/>
  <c r="AM601" i="2"/>
  <c r="Q597" i="2"/>
  <c r="AU601" i="2"/>
  <c r="L601" i="2"/>
  <c r="AW601" i="2"/>
  <c r="J601" i="2"/>
  <c r="AD601" i="2"/>
  <c r="H599" i="2"/>
  <c r="I599" i="2" s="1"/>
  <c r="E600" i="2"/>
  <c r="F600" i="2"/>
  <c r="G600" i="2" s="1"/>
  <c r="AN600" i="2" s="1"/>
  <c r="D600" i="2"/>
  <c r="X600" i="2"/>
  <c r="B602" i="2"/>
  <c r="AV601" i="2"/>
  <c r="AR601" i="2"/>
  <c r="AS601" i="2"/>
  <c r="AQ601" i="2"/>
  <c r="AF601" i="2"/>
  <c r="AJ601" i="2"/>
  <c r="R601" i="2"/>
  <c r="AA601" i="2"/>
  <c r="W601" i="2"/>
  <c r="AH601" i="2"/>
  <c r="AC601" i="2"/>
  <c r="U601" i="2"/>
  <c r="AE601" i="2"/>
  <c r="V601" i="2"/>
  <c r="P601" i="2"/>
  <c r="AI601" i="2"/>
  <c r="Z601" i="2"/>
  <c r="O601" i="2"/>
  <c r="M600" i="2"/>
  <c r="C601" i="2"/>
  <c r="K601" i="2"/>
  <c r="AO601" i="2" s="1"/>
  <c r="N598" i="2"/>
  <c r="AO229" i="2" l="1"/>
  <c r="BB602" i="2"/>
  <c r="AT602" i="2"/>
  <c r="BC602" i="2"/>
  <c r="AG602" i="2"/>
  <c r="AB602" i="2"/>
  <c r="Q598" i="2"/>
  <c r="AS229" i="2"/>
  <c r="I229" i="2"/>
  <c r="R228" i="2"/>
  <c r="AG228" i="2" s="1"/>
  <c r="Y601" i="2"/>
  <c r="X229" i="2"/>
  <c r="AN229" i="2"/>
  <c r="N229" i="2"/>
  <c r="AV228" i="2"/>
  <c r="AR228" i="2" s="1"/>
  <c r="AW228" i="2" s="1"/>
  <c r="AU228" i="2" s="1"/>
  <c r="AM602" i="2"/>
  <c r="AP602" i="2"/>
  <c r="N599" i="2"/>
  <c r="AU602" i="2"/>
  <c r="J602" i="2"/>
  <c r="AD602" i="2"/>
  <c r="L602" i="2"/>
  <c r="AW602" i="2"/>
  <c r="B603" i="2"/>
  <c r="AV602" i="2"/>
  <c r="AR602" i="2"/>
  <c r="AS602" i="2"/>
  <c r="AQ602" i="2"/>
  <c r="AJ602" i="2"/>
  <c r="AF602" i="2"/>
  <c r="AI602" i="2"/>
  <c r="AE602" i="2"/>
  <c r="AH602" i="2"/>
  <c r="W602" i="2"/>
  <c r="R602" i="2"/>
  <c r="V602" i="2"/>
  <c r="P602" i="2"/>
  <c r="AC602" i="2"/>
  <c r="U602" i="2"/>
  <c r="Z602" i="2"/>
  <c r="AA602" i="2"/>
  <c r="M601" i="2"/>
  <c r="K602" i="2"/>
  <c r="AO602" i="2" s="1"/>
  <c r="C602" i="2"/>
  <c r="O602" i="2"/>
  <c r="H600" i="2"/>
  <c r="I600" i="2" s="1"/>
  <c r="D601" i="2"/>
  <c r="F601" i="2"/>
  <c r="G601" i="2" s="1"/>
  <c r="AN601" i="2" s="1"/>
  <c r="E601" i="2"/>
  <c r="X601" i="2"/>
  <c r="BB603" i="2" l="1"/>
  <c r="AT603" i="2"/>
  <c r="BC603" i="2"/>
  <c r="AB603" i="2"/>
  <c r="AG603" i="2"/>
  <c r="Q599" i="2"/>
  <c r="Q229" i="2"/>
  <c r="O229" i="2" s="1"/>
  <c r="AH228" i="2"/>
  <c r="AI229" i="2" s="1"/>
  <c r="AE228" i="2"/>
  <c r="T229" i="2"/>
  <c r="S229" i="2"/>
  <c r="Y602" i="2"/>
  <c r="AM603" i="2"/>
  <c r="AP603" i="2"/>
  <c r="AU603" i="2"/>
  <c r="AW603" i="2"/>
  <c r="L603" i="2"/>
  <c r="AD603" i="2"/>
  <c r="J603" i="2"/>
  <c r="F602" i="2"/>
  <c r="G602" i="2" s="1"/>
  <c r="AN602" i="2" s="1"/>
  <c r="E602" i="2"/>
  <c r="D602" i="2"/>
  <c r="X602" i="2"/>
  <c r="H601" i="2"/>
  <c r="I601" i="2" s="1"/>
  <c r="B604" i="2"/>
  <c r="AS603" i="2"/>
  <c r="AQ603" i="2"/>
  <c r="AV603" i="2"/>
  <c r="AR603" i="2"/>
  <c r="AE603" i="2"/>
  <c r="AJ603" i="2"/>
  <c r="AH603" i="2"/>
  <c r="AC603" i="2"/>
  <c r="AF603" i="2"/>
  <c r="AI603" i="2"/>
  <c r="W603" i="2"/>
  <c r="Z603" i="2"/>
  <c r="R603" i="2"/>
  <c r="U603" i="2"/>
  <c r="AA603" i="2"/>
  <c r="P603" i="2"/>
  <c r="V603" i="2"/>
  <c r="K603" i="2"/>
  <c r="AO603" i="2" s="1"/>
  <c r="O603" i="2"/>
  <c r="C603" i="2"/>
  <c r="M602" i="2"/>
  <c r="N600" i="2"/>
  <c r="I230" i="2" l="1"/>
  <c r="AS230" i="2"/>
  <c r="AT228" i="2"/>
  <c r="BB229" i="2" s="1"/>
  <c r="AO230" i="2"/>
  <c r="AN230" i="2"/>
  <c r="X230" i="2"/>
  <c r="N230" i="2"/>
  <c r="BB604" i="2"/>
  <c r="BC604" i="2"/>
  <c r="AT604" i="2"/>
  <c r="AG604" i="2"/>
  <c r="AB604" i="2"/>
  <c r="AF229" i="2"/>
  <c r="AK229" i="2" s="1"/>
  <c r="AL228" i="2"/>
  <c r="BA228" i="2" s="1"/>
  <c r="Q600" i="2"/>
  <c r="R229" i="2"/>
  <c r="AH229" i="2" s="1"/>
  <c r="AI230" i="2" s="1"/>
  <c r="Y603" i="2"/>
  <c r="AM604" i="2"/>
  <c r="AP604" i="2"/>
  <c r="AU604" i="2"/>
  <c r="AW604" i="2"/>
  <c r="AD604" i="2"/>
  <c r="J604" i="2"/>
  <c r="L604" i="2"/>
  <c r="B605" i="2"/>
  <c r="AV604" i="2"/>
  <c r="AR604" i="2"/>
  <c r="AQ604" i="2"/>
  <c r="AS604" i="2"/>
  <c r="AH604" i="2"/>
  <c r="AE604" i="2"/>
  <c r="AJ604" i="2"/>
  <c r="AI604" i="2"/>
  <c r="AC604" i="2"/>
  <c r="AF604" i="2"/>
  <c r="AA604" i="2"/>
  <c r="Z604" i="2"/>
  <c r="W604" i="2"/>
  <c r="R604" i="2"/>
  <c r="P604" i="2"/>
  <c r="U604" i="2"/>
  <c r="V604" i="2"/>
  <c r="C604" i="2"/>
  <c r="K604" i="2"/>
  <c r="AO604" i="2" s="1"/>
  <c r="M603" i="2"/>
  <c r="O604" i="2"/>
  <c r="H602" i="2"/>
  <c r="I602" i="2" s="1"/>
  <c r="F603" i="2"/>
  <c r="G603" i="2" s="1"/>
  <c r="AN603" i="2" s="1"/>
  <c r="D603" i="2"/>
  <c r="E603" i="2"/>
  <c r="X603" i="2"/>
  <c r="N601" i="2"/>
  <c r="Q230" i="2" l="1"/>
  <c r="O230" i="2" s="1"/>
  <c r="AN231" i="2" s="1"/>
  <c r="AE229" i="2"/>
  <c r="AT229" i="2" s="1"/>
  <c r="BB230" i="2" s="1"/>
  <c r="AV229" i="2"/>
  <c r="AR229" i="2" s="1"/>
  <c r="AW229" i="2" s="1"/>
  <c r="AU229" i="2" s="1"/>
  <c r="T230" i="2"/>
  <c r="AG229" i="2"/>
  <c r="BC605" i="2"/>
  <c r="BB605" i="2"/>
  <c r="AT605" i="2"/>
  <c r="AG605" i="2"/>
  <c r="AB605" i="2"/>
  <c r="Q601" i="2"/>
  <c r="S230" i="2"/>
  <c r="Y604" i="2"/>
  <c r="AP605" i="2"/>
  <c r="AM605" i="2"/>
  <c r="AU605" i="2"/>
  <c r="AW605" i="2"/>
  <c r="L605" i="2"/>
  <c r="AD605" i="2"/>
  <c r="J605" i="2"/>
  <c r="H603" i="2"/>
  <c r="I603" i="2" s="1"/>
  <c r="E604" i="2"/>
  <c r="F604" i="2"/>
  <c r="G604" i="2" s="1"/>
  <c r="AN604" i="2" s="1"/>
  <c r="D604" i="2"/>
  <c r="N602" i="2"/>
  <c r="X604" i="2"/>
  <c r="B606" i="2"/>
  <c r="AV605" i="2"/>
  <c r="AR605" i="2"/>
  <c r="AS605" i="2"/>
  <c r="AQ605" i="2"/>
  <c r="AI605" i="2"/>
  <c r="AH605" i="2"/>
  <c r="AE605" i="2"/>
  <c r="AF605" i="2"/>
  <c r="AJ605" i="2"/>
  <c r="AC605" i="2"/>
  <c r="Z605" i="2"/>
  <c r="V605" i="2"/>
  <c r="AA605" i="2"/>
  <c r="W605" i="2"/>
  <c r="R605" i="2"/>
  <c r="P605" i="2"/>
  <c r="U605" i="2"/>
  <c r="M604" i="2"/>
  <c r="O605" i="2"/>
  <c r="C605" i="2"/>
  <c r="K605" i="2"/>
  <c r="AO605" i="2" s="1"/>
  <c r="AF230" i="2" l="1"/>
  <c r="AK230" i="2" s="1"/>
  <c r="AO231" i="2"/>
  <c r="N231" i="2"/>
  <c r="X231" i="2"/>
  <c r="I231" i="2"/>
  <c r="AS231" i="2"/>
  <c r="AL229" i="2"/>
  <c r="BA229" i="2" s="1"/>
  <c r="R230" i="2"/>
  <c r="AT606" i="2"/>
  <c r="BC606" i="2"/>
  <c r="BB606" i="2"/>
  <c r="AB606" i="2"/>
  <c r="AG606" i="2"/>
  <c r="Q602" i="2"/>
  <c r="Y605" i="2"/>
  <c r="AV230" i="2"/>
  <c r="AR230" i="2" s="1"/>
  <c r="AW230" i="2" s="1"/>
  <c r="AU230" i="2" s="1"/>
  <c r="AP606" i="2"/>
  <c r="AM606" i="2"/>
  <c r="AU606" i="2"/>
  <c r="AW606" i="2"/>
  <c r="L606" i="2"/>
  <c r="J606" i="2"/>
  <c r="AD606" i="2"/>
  <c r="H604" i="2"/>
  <c r="I604" i="2" s="1"/>
  <c r="X605" i="2"/>
  <c r="B607" i="2"/>
  <c r="AV606" i="2"/>
  <c r="AR606" i="2"/>
  <c r="AS606" i="2"/>
  <c r="AQ606" i="2"/>
  <c r="AI606" i="2"/>
  <c r="AE606" i="2"/>
  <c r="AJ606" i="2"/>
  <c r="U606" i="2"/>
  <c r="V606" i="2"/>
  <c r="AH606" i="2"/>
  <c r="AA606" i="2"/>
  <c r="AF606" i="2"/>
  <c r="AC606" i="2"/>
  <c r="R606" i="2"/>
  <c r="W606" i="2"/>
  <c r="Z606" i="2"/>
  <c r="P606" i="2"/>
  <c r="C606" i="2"/>
  <c r="O606" i="2"/>
  <c r="K606" i="2"/>
  <c r="AO606" i="2" s="1"/>
  <c r="M605" i="2"/>
  <c r="N603" i="2"/>
  <c r="E605" i="2"/>
  <c r="F605" i="2"/>
  <c r="G605" i="2" s="1"/>
  <c r="AN605" i="2" s="1"/>
  <c r="D605" i="2"/>
  <c r="AE230" i="2" l="1"/>
  <c r="AF231" i="2" s="1"/>
  <c r="Q231" i="2"/>
  <c r="O231" i="2" s="1"/>
  <c r="N232" i="2" s="1"/>
  <c r="S231" i="2"/>
  <c r="AH230" i="2"/>
  <c r="AI231" i="2" s="1"/>
  <c r="T231" i="2"/>
  <c r="AG230" i="2"/>
  <c r="AN232" i="2"/>
  <c r="AT607" i="2"/>
  <c r="BB607" i="2"/>
  <c r="BC607" i="2"/>
  <c r="AG607" i="2"/>
  <c r="AB607" i="2"/>
  <c r="Q603" i="2"/>
  <c r="AS232" i="2"/>
  <c r="Y606" i="2"/>
  <c r="AP607" i="2"/>
  <c r="AM607" i="2"/>
  <c r="AU607" i="2"/>
  <c r="AW607" i="2"/>
  <c r="L607" i="2"/>
  <c r="J607" i="2"/>
  <c r="AD607" i="2"/>
  <c r="B608" i="2"/>
  <c r="AR607" i="2"/>
  <c r="AV607" i="2"/>
  <c r="AS607" i="2"/>
  <c r="AQ607" i="2"/>
  <c r="AI607" i="2"/>
  <c r="AJ607" i="2"/>
  <c r="AE607" i="2"/>
  <c r="AH607" i="2"/>
  <c r="U607" i="2"/>
  <c r="V607" i="2"/>
  <c r="W607" i="2"/>
  <c r="AA607" i="2"/>
  <c r="P607" i="2"/>
  <c r="AF607" i="2"/>
  <c r="AC607" i="2"/>
  <c r="Z607" i="2"/>
  <c r="R607" i="2"/>
  <c r="O607" i="2"/>
  <c r="C607" i="2"/>
  <c r="K607" i="2"/>
  <c r="AO607" i="2" s="1"/>
  <c r="H605" i="2"/>
  <c r="I605" i="2" s="1"/>
  <c r="F606" i="2"/>
  <c r="G606" i="2" s="1"/>
  <c r="AN606" i="2" s="1"/>
  <c r="E606" i="2"/>
  <c r="D606" i="2"/>
  <c r="X606" i="2"/>
  <c r="N604" i="2"/>
  <c r="AO232" i="2" l="1"/>
  <c r="I232" i="2"/>
  <c r="X232" i="2"/>
  <c r="R231" i="2"/>
  <c r="S232" i="2" s="1"/>
  <c r="AK231" i="2"/>
  <c r="AT230" i="2"/>
  <c r="BB231" i="2" s="1"/>
  <c r="AL230" i="2"/>
  <c r="BA230" i="2" s="1"/>
  <c r="BB608" i="2"/>
  <c r="AT608" i="2"/>
  <c r="BC608" i="2"/>
  <c r="AG608" i="2"/>
  <c r="AB608" i="2"/>
  <c r="Q604" i="2"/>
  <c r="Q232" i="2"/>
  <c r="O232" i="2" s="1"/>
  <c r="Y607" i="2"/>
  <c r="AM608" i="2"/>
  <c r="AP608" i="2"/>
  <c r="AU608" i="2"/>
  <c r="AW608" i="2"/>
  <c r="L608" i="2"/>
  <c r="J608" i="2"/>
  <c r="AD608" i="2"/>
  <c r="M606" i="2"/>
  <c r="N605" i="2"/>
  <c r="X607" i="2"/>
  <c r="B609" i="2"/>
  <c r="AR608" i="2"/>
  <c r="AV608" i="2"/>
  <c r="AQ608" i="2"/>
  <c r="AS608" i="2"/>
  <c r="AF608" i="2"/>
  <c r="AH608" i="2"/>
  <c r="AE608" i="2"/>
  <c r="AI608" i="2"/>
  <c r="AC608" i="2"/>
  <c r="AJ608" i="2"/>
  <c r="U608" i="2"/>
  <c r="Z608" i="2"/>
  <c r="AA608" i="2"/>
  <c r="V608" i="2"/>
  <c r="W608" i="2"/>
  <c r="R608" i="2"/>
  <c r="P608" i="2"/>
  <c r="M607" i="2"/>
  <c r="C608" i="2"/>
  <c r="K608" i="2"/>
  <c r="AO608" i="2" s="1"/>
  <c r="O608" i="2"/>
  <c r="H606" i="2"/>
  <c r="D607" i="2"/>
  <c r="E607" i="2"/>
  <c r="F607" i="2"/>
  <c r="G607" i="2" s="1"/>
  <c r="AN607" i="2" s="1"/>
  <c r="AE231" i="2" l="1"/>
  <c r="AF232" i="2" s="1"/>
  <c r="AH231" i="2"/>
  <c r="AG231" i="2"/>
  <c r="T232" i="2"/>
  <c r="R232" i="2" s="1"/>
  <c r="AV231" i="2"/>
  <c r="AR231" i="2" s="1"/>
  <c r="AW231" i="2" s="1"/>
  <c r="AU231" i="2" s="1"/>
  <c r="AN233" i="2"/>
  <c r="BC609" i="2"/>
  <c r="AT609" i="2"/>
  <c r="BB609" i="2"/>
  <c r="AG609" i="2"/>
  <c r="AB609" i="2"/>
  <c r="Q605" i="2"/>
  <c r="Y608" i="2"/>
  <c r="AP609" i="2"/>
  <c r="AM609" i="2"/>
  <c r="N233" i="2"/>
  <c r="AO233" i="2"/>
  <c r="I233" i="2"/>
  <c r="AS233" i="2"/>
  <c r="X233" i="2"/>
  <c r="AU609" i="2"/>
  <c r="AW609" i="2"/>
  <c r="L609" i="2"/>
  <c r="J609" i="2"/>
  <c r="AD609" i="2"/>
  <c r="I606" i="2"/>
  <c r="H607" i="2"/>
  <c r="N607" i="2" s="1"/>
  <c r="B610" i="2"/>
  <c r="AV609" i="2"/>
  <c r="AR609" i="2"/>
  <c r="AS609" i="2"/>
  <c r="AQ609" i="2"/>
  <c r="AF609" i="2"/>
  <c r="AI609" i="2"/>
  <c r="AH609" i="2"/>
  <c r="R609" i="2"/>
  <c r="AJ609" i="2"/>
  <c r="AE609" i="2"/>
  <c r="AA609" i="2"/>
  <c r="Z609" i="2"/>
  <c r="U609" i="2"/>
  <c r="P609" i="2"/>
  <c r="AC609" i="2"/>
  <c r="W609" i="2"/>
  <c r="V609" i="2"/>
  <c r="C609" i="2"/>
  <c r="K609" i="2"/>
  <c r="AO609" i="2" s="1"/>
  <c r="O609" i="2"/>
  <c r="M608" i="2"/>
  <c r="N606" i="2"/>
  <c r="F608" i="2"/>
  <c r="G608" i="2" s="1"/>
  <c r="AN608" i="2" s="1"/>
  <c r="E608" i="2"/>
  <c r="D608" i="2"/>
  <c r="X608" i="2"/>
  <c r="AI232" i="2" l="1"/>
  <c r="AK232" i="2" s="1"/>
  <c r="AM232" i="2"/>
  <c r="AT231" i="2"/>
  <c r="BB232" i="2" s="1"/>
  <c r="AL231" i="2"/>
  <c r="BA231" i="2" s="1"/>
  <c r="S233" i="2"/>
  <c r="AG232" i="2"/>
  <c r="BB610" i="2"/>
  <c r="BC610" i="2"/>
  <c r="AT610" i="2"/>
  <c r="AG610" i="2"/>
  <c r="AB610" i="2"/>
  <c r="T233" i="2"/>
  <c r="AE232" i="2"/>
  <c r="Y609" i="2"/>
  <c r="AM610" i="2"/>
  <c r="AP610" i="2"/>
  <c r="Q233" i="2"/>
  <c r="AU610" i="2"/>
  <c r="AW610" i="2"/>
  <c r="L610" i="2"/>
  <c r="J610" i="2"/>
  <c r="AD610" i="2"/>
  <c r="Q606" i="2"/>
  <c r="I607" i="2"/>
  <c r="Q607" i="2" s="1"/>
  <c r="B611" i="2"/>
  <c r="AV610" i="2"/>
  <c r="AR610" i="2"/>
  <c r="AS610" i="2"/>
  <c r="AQ610" i="2"/>
  <c r="AJ610" i="2"/>
  <c r="AF610" i="2"/>
  <c r="AI610" i="2"/>
  <c r="AH610" i="2"/>
  <c r="AC610" i="2"/>
  <c r="W610" i="2"/>
  <c r="R610" i="2"/>
  <c r="V610" i="2"/>
  <c r="P610" i="2"/>
  <c r="Z610" i="2"/>
  <c r="AE610" i="2"/>
  <c r="AA610" i="2"/>
  <c r="U610" i="2"/>
  <c r="K610" i="2"/>
  <c r="AO610" i="2" s="1"/>
  <c r="M609" i="2"/>
  <c r="O610" i="2"/>
  <c r="C610" i="2"/>
  <c r="X609" i="2"/>
  <c r="H608" i="2"/>
  <c r="I608" i="2" s="1"/>
  <c r="E609" i="2"/>
  <c r="F609" i="2"/>
  <c r="G609" i="2" s="1"/>
  <c r="AN609" i="2" s="1"/>
  <c r="D609" i="2"/>
  <c r="AH232" i="2" l="1"/>
  <c r="AI233" i="2" s="1"/>
  <c r="AV232" i="2"/>
  <c r="AR232" i="2" s="1"/>
  <c r="AW232" i="2" s="1"/>
  <c r="AU232" i="2" s="1"/>
  <c r="R233" i="2"/>
  <c r="AG233" i="2" s="1"/>
  <c r="BB611" i="2"/>
  <c r="AT611" i="2"/>
  <c r="BC611" i="2"/>
  <c r="AB611" i="2"/>
  <c r="AG611" i="2"/>
  <c r="AF233" i="2"/>
  <c r="Y610" i="2"/>
  <c r="O233" i="2"/>
  <c r="AM611" i="2"/>
  <c r="AP611" i="2"/>
  <c r="AU611" i="2"/>
  <c r="AW611" i="2"/>
  <c r="AD611" i="2"/>
  <c r="L611" i="2"/>
  <c r="J611" i="2"/>
  <c r="N608" i="2"/>
  <c r="E610" i="2"/>
  <c r="F610" i="2"/>
  <c r="G610" i="2" s="1"/>
  <c r="AN610" i="2" s="1"/>
  <c r="D610" i="2"/>
  <c r="X610" i="2"/>
  <c r="B612" i="2"/>
  <c r="AR611" i="2"/>
  <c r="AS611" i="2"/>
  <c r="AQ611" i="2"/>
  <c r="AV611" i="2"/>
  <c r="AE611" i="2"/>
  <c r="AJ611" i="2"/>
  <c r="AH611" i="2"/>
  <c r="AC611" i="2"/>
  <c r="AF611" i="2"/>
  <c r="AI611" i="2"/>
  <c r="W611" i="2"/>
  <c r="Z611" i="2"/>
  <c r="R611" i="2"/>
  <c r="U611" i="2"/>
  <c r="P611" i="2"/>
  <c r="V611" i="2"/>
  <c r="AA611" i="2"/>
  <c r="M610" i="2"/>
  <c r="C611" i="2"/>
  <c r="K611" i="2"/>
  <c r="AO611" i="2" s="1"/>
  <c r="O611" i="2"/>
  <c r="H609" i="2"/>
  <c r="I609" i="2" s="1"/>
  <c r="AT232" i="2" l="1"/>
  <c r="BB233" i="2" s="1"/>
  <c r="AK233" i="2"/>
  <c r="AL232" i="2"/>
  <c r="BA232" i="2" s="1"/>
  <c r="AH233" i="2"/>
  <c r="AI234" i="2" s="1"/>
  <c r="T234" i="2"/>
  <c r="S234" i="2"/>
  <c r="BB612" i="2"/>
  <c r="AT612" i="2"/>
  <c r="BC612" i="2"/>
  <c r="AG612" i="2"/>
  <c r="AB612" i="2"/>
  <c r="Q608" i="2"/>
  <c r="AE233" i="2"/>
  <c r="Y611" i="2"/>
  <c r="N234" i="2"/>
  <c r="AN234" i="2"/>
  <c r="AS234" i="2"/>
  <c r="AO234" i="2"/>
  <c r="I234" i="2"/>
  <c r="X234" i="2"/>
  <c r="AM612" i="2"/>
  <c r="AP612" i="2"/>
  <c r="AU612" i="2"/>
  <c r="AW612" i="2"/>
  <c r="L612" i="2"/>
  <c r="AD612" i="2"/>
  <c r="J612" i="2"/>
  <c r="E611" i="2"/>
  <c r="F611" i="2"/>
  <c r="G611" i="2" s="1"/>
  <c r="AN611" i="2" s="1"/>
  <c r="D611" i="2"/>
  <c r="B613" i="2"/>
  <c r="AV612" i="2"/>
  <c r="AR612" i="2"/>
  <c r="AS612" i="2"/>
  <c r="AQ612" i="2"/>
  <c r="AH612" i="2"/>
  <c r="AE612" i="2"/>
  <c r="AJ612" i="2"/>
  <c r="AC612" i="2"/>
  <c r="AA612" i="2"/>
  <c r="Z612" i="2"/>
  <c r="AI612" i="2"/>
  <c r="W612" i="2"/>
  <c r="V612" i="2"/>
  <c r="P612" i="2"/>
  <c r="R612" i="2"/>
  <c r="U612" i="2"/>
  <c r="AF612" i="2"/>
  <c r="C612" i="2"/>
  <c r="O612" i="2"/>
  <c r="K612" i="2"/>
  <c r="AO612" i="2" s="1"/>
  <c r="N609" i="2"/>
  <c r="M611" i="2"/>
  <c r="H610" i="2"/>
  <c r="I610" i="2" s="1"/>
  <c r="X611" i="2"/>
  <c r="AV233" i="2" l="1"/>
  <c r="AR233" i="2" s="1"/>
  <c r="AW233" i="2" s="1"/>
  <c r="AU233" i="2" s="1"/>
  <c r="AL233" i="2"/>
  <c r="BA233" i="2" s="1"/>
  <c r="AT233" i="2"/>
  <c r="BB234" i="2" s="1"/>
  <c r="BC613" i="2"/>
  <c r="BB613" i="2"/>
  <c r="AT613" i="2"/>
  <c r="AG613" i="2"/>
  <c r="AB613" i="2"/>
  <c r="Q609" i="2"/>
  <c r="Q234" i="2"/>
  <c r="O234" i="2" s="1"/>
  <c r="AF234" i="2"/>
  <c r="AK234" i="2" s="1"/>
  <c r="Y612" i="2"/>
  <c r="AM613" i="2"/>
  <c r="AP613" i="2"/>
  <c r="AU613" i="2"/>
  <c r="AW613" i="2"/>
  <c r="L613" i="2"/>
  <c r="AD613" i="2"/>
  <c r="J613" i="2"/>
  <c r="E612" i="2"/>
  <c r="F612" i="2"/>
  <c r="G612" i="2" s="1"/>
  <c r="AN612" i="2" s="1"/>
  <c r="D612" i="2"/>
  <c r="B614" i="2"/>
  <c r="AV613" i="2"/>
  <c r="AR613" i="2"/>
  <c r="AQ613" i="2"/>
  <c r="AS613" i="2"/>
  <c r="AI613" i="2"/>
  <c r="AH613" i="2"/>
  <c r="AE613" i="2"/>
  <c r="AF613" i="2"/>
  <c r="AC613" i="2"/>
  <c r="AJ613" i="2"/>
  <c r="Z613" i="2"/>
  <c r="V613" i="2"/>
  <c r="AA613" i="2"/>
  <c r="U613" i="2"/>
  <c r="W613" i="2"/>
  <c r="P613" i="2"/>
  <c r="R613" i="2"/>
  <c r="O613" i="2"/>
  <c r="K613" i="2"/>
  <c r="AO613" i="2" s="1"/>
  <c r="C613" i="2"/>
  <c r="X612" i="2"/>
  <c r="N610" i="2"/>
  <c r="M612" i="2"/>
  <c r="H611" i="2"/>
  <c r="I611" i="2" s="1"/>
  <c r="AV234" i="2" l="1"/>
  <c r="AR234" i="2" s="1"/>
  <c r="AW234" i="2" s="1"/>
  <c r="AU234" i="2" s="1"/>
  <c r="R234" i="2"/>
  <c r="T235" i="2" s="1"/>
  <c r="AO235" i="2"/>
  <c r="AT614" i="2"/>
  <c r="BB614" i="2"/>
  <c r="BC614" i="2"/>
  <c r="AB614" i="2"/>
  <c r="AG614" i="2"/>
  <c r="Q610" i="2"/>
  <c r="I235" i="2"/>
  <c r="AN235" i="2"/>
  <c r="X235" i="2"/>
  <c r="N235" i="2"/>
  <c r="AS235" i="2"/>
  <c r="Y613" i="2"/>
  <c r="AM614" i="2"/>
  <c r="AP614" i="2"/>
  <c r="AU614" i="2"/>
  <c r="AW614" i="2"/>
  <c r="L614" i="2"/>
  <c r="AD614" i="2"/>
  <c r="J614" i="2"/>
  <c r="B615" i="2"/>
  <c r="AV614" i="2"/>
  <c r="AR614" i="2"/>
  <c r="AQ614" i="2"/>
  <c r="AS614" i="2"/>
  <c r="AI614" i="2"/>
  <c r="AH614" i="2"/>
  <c r="AE614" i="2"/>
  <c r="AF614" i="2"/>
  <c r="U614" i="2"/>
  <c r="AC614" i="2"/>
  <c r="V614" i="2"/>
  <c r="AA614" i="2"/>
  <c r="R614" i="2"/>
  <c r="Z614" i="2"/>
  <c r="AJ614" i="2"/>
  <c r="P614" i="2"/>
  <c r="W614" i="2"/>
  <c r="C614" i="2"/>
  <c r="O614" i="2"/>
  <c r="M613" i="2"/>
  <c r="K614" i="2"/>
  <c r="AO614" i="2" s="1"/>
  <c r="N611" i="2"/>
  <c r="F613" i="2"/>
  <c r="G613" i="2" s="1"/>
  <c r="AN613" i="2" s="1"/>
  <c r="E613" i="2"/>
  <c r="D613" i="2"/>
  <c r="H612" i="2"/>
  <c r="I612" i="2" s="1"/>
  <c r="X613" i="2"/>
  <c r="AE234" i="2" l="1"/>
  <c r="AF235" i="2" s="1"/>
  <c r="AH234" i="2"/>
  <c r="AI235" i="2" s="1"/>
  <c r="S235" i="2"/>
  <c r="AG234" i="2"/>
  <c r="AT615" i="2"/>
  <c r="BB615" i="2"/>
  <c r="BC615" i="2"/>
  <c r="AG615" i="2"/>
  <c r="AB615" i="2"/>
  <c r="Q611" i="2"/>
  <c r="Q235" i="2"/>
  <c r="O235" i="2" s="1"/>
  <c r="Y614" i="2"/>
  <c r="AP615" i="2"/>
  <c r="AM615" i="2"/>
  <c r="N612" i="2"/>
  <c r="AU615" i="2"/>
  <c r="AW615" i="2"/>
  <c r="L615" i="2"/>
  <c r="J615" i="2"/>
  <c r="AD615" i="2"/>
  <c r="H613" i="2"/>
  <c r="I613" i="2" s="1"/>
  <c r="E614" i="2"/>
  <c r="F614" i="2"/>
  <c r="G614" i="2" s="1"/>
  <c r="AN614" i="2" s="1"/>
  <c r="D614" i="2"/>
  <c r="B616" i="2"/>
  <c r="AR615" i="2"/>
  <c r="AV615" i="2"/>
  <c r="AS615" i="2"/>
  <c r="AQ615" i="2"/>
  <c r="AI615" i="2"/>
  <c r="AJ615" i="2"/>
  <c r="AF615" i="2"/>
  <c r="AH615" i="2"/>
  <c r="U615" i="2"/>
  <c r="AC615" i="2"/>
  <c r="V615" i="2"/>
  <c r="W615" i="2"/>
  <c r="AA615" i="2"/>
  <c r="P615" i="2"/>
  <c r="R615" i="2"/>
  <c r="Z615" i="2"/>
  <c r="AE615" i="2"/>
  <c r="C615" i="2"/>
  <c r="K615" i="2"/>
  <c r="AO615" i="2" s="1"/>
  <c r="O615" i="2"/>
  <c r="X614" i="2"/>
  <c r="M614" i="2"/>
  <c r="AL234" i="2" l="1"/>
  <c r="BA234" i="2" s="1"/>
  <c r="AK235" i="2"/>
  <c r="AT234" i="2"/>
  <c r="BB235" i="2" s="1"/>
  <c r="R235" i="2"/>
  <c r="AG235" i="2" s="1"/>
  <c r="AN236" i="2"/>
  <c r="AT616" i="2"/>
  <c r="BB616" i="2"/>
  <c r="BC616" i="2"/>
  <c r="AG616" i="2"/>
  <c r="AB616" i="2"/>
  <c r="Q612" i="2"/>
  <c r="N236" i="2"/>
  <c r="X236" i="2"/>
  <c r="I236" i="2"/>
  <c r="AO236" i="2"/>
  <c r="AS236" i="2"/>
  <c r="Y615" i="2"/>
  <c r="AM616" i="2"/>
  <c r="AP616" i="2"/>
  <c r="N613" i="2"/>
  <c r="AU616" i="2"/>
  <c r="L616" i="2"/>
  <c r="AW616" i="2"/>
  <c r="J616" i="2"/>
  <c r="AD616" i="2"/>
  <c r="B617" i="2"/>
  <c r="AV616" i="2"/>
  <c r="AR616" i="2"/>
  <c r="AS616" i="2"/>
  <c r="AQ616" i="2"/>
  <c r="AF616" i="2"/>
  <c r="AH616" i="2"/>
  <c r="AE616" i="2"/>
  <c r="AI616" i="2"/>
  <c r="AC616" i="2"/>
  <c r="U616" i="2"/>
  <c r="Z616" i="2"/>
  <c r="R616" i="2"/>
  <c r="V616" i="2"/>
  <c r="W616" i="2"/>
  <c r="P616" i="2"/>
  <c r="AJ616" i="2"/>
  <c r="AA616" i="2"/>
  <c r="K616" i="2"/>
  <c r="AO616" i="2" s="1"/>
  <c r="C616" i="2"/>
  <c r="O616" i="2"/>
  <c r="X615" i="2"/>
  <c r="H614" i="2"/>
  <c r="I614" i="2" s="1"/>
  <c r="E615" i="2"/>
  <c r="D615" i="2"/>
  <c r="F615" i="2"/>
  <c r="G615" i="2" s="1"/>
  <c r="AN615" i="2" s="1"/>
  <c r="AV235" i="2" l="1"/>
  <c r="AR235" i="2" s="1"/>
  <c r="AW235" i="2" s="1"/>
  <c r="AU235" i="2" s="1"/>
  <c r="AE235" i="2"/>
  <c r="AF236" i="2" s="1"/>
  <c r="S236" i="2"/>
  <c r="AH235" i="2"/>
  <c r="AI236" i="2" s="1"/>
  <c r="T236" i="2"/>
  <c r="Q236" i="2"/>
  <c r="O236" i="2" s="1"/>
  <c r="I237" i="2" s="1"/>
  <c r="AT617" i="2"/>
  <c r="BB617" i="2"/>
  <c r="BC617" i="2"/>
  <c r="AG617" i="2"/>
  <c r="AB617" i="2"/>
  <c r="Q613" i="2"/>
  <c r="Y616" i="2"/>
  <c r="AP617" i="2"/>
  <c r="AM617" i="2"/>
  <c r="AU617" i="2"/>
  <c r="L617" i="2"/>
  <c r="AW617" i="2"/>
  <c r="J617" i="2"/>
  <c r="AD617" i="2"/>
  <c r="H615" i="2"/>
  <c r="M615" i="2"/>
  <c r="X616" i="2"/>
  <c r="B618" i="2"/>
  <c r="AV617" i="2"/>
  <c r="AR617" i="2"/>
  <c r="AS617" i="2"/>
  <c r="AQ617" i="2"/>
  <c r="AF617" i="2"/>
  <c r="AJ617" i="2"/>
  <c r="AE617" i="2"/>
  <c r="R617" i="2"/>
  <c r="AA617" i="2"/>
  <c r="AH617" i="2"/>
  <c r="W617" i="2"/>
  <c r="U617" i="2"/>
  <c r="V617" i="2"/>
  <c r="AI617" i="2"/>
  <c r="AC617" i="2"/>
  <c r="P617" i="2"/>
  <c r="Z617" i="2"/>
  <c r="O617" i="2"/>
  <c r="M616" i="2"/>
  <c r="C617" i="2"/>
  <c r="K617" i="2"/>
  <c r="AO617" i="2" s="1"/>
  <c r="E616" i="2"/>
  <c r="F616" i="2"/>
  <c r="G616" i="2" s="1"/>
  <c r="AN616" i="2" s="1"/>
  <c r="D616" i="2"/>
  <c r="N614" i="2"/>
  <c r="AK236" i="2" l="1"/>
  <c r="AT235" i="2"/>
  <c r="BB236" i="2" s="1"/>
  <c r="N237" i="2"/>
  <c r="Q237" i="2" s="1"/>
  <c r="O237" i="2" s="1"/>
  <c r="AL235" i="2"/>
  <c r="BA235" i="2" s="1"/>
  <c r="AO237" i="2"/>
  <c r="AS237" i="2"/>
  <c r="R236" i="2"/>
  <c r="T237" i="2" s="1"/>
  <c r="X237" i="2"/>
  <c r="AN237" i="2"/>
  <c r="BB618" i="2"/>
  <c r="BC618" i="2"/>
  <c r="AT618" i="2"/>
  <c r="AB618" i="2"/>
  <c r="AG618" i="2"/>
  <c r="Q614" i="2"/>
  <c r="Y617" i="2"/>
  <c r="AM618" i="2"/>
  <c r="AP618" i="2"/>
  <c r="AU618" i="2"/>
  <c r="L618" i="2"/>
  <c r="J618" i="2"/>
  <c r="AW618" i="2"/>
  <c r="AD618" i="2"/>
  <c r="I615" i="2"/>
  <c r="X617" i="2"/>
  <c r="N615" i="2"/>
  <c r="E617" i="2"/>
  <c r="F617" i="2"/>
  <c r="G617" i="2" s="1"/>
  <c r="AN617" i="2" s="1"/>
  <c r="D617" i="2"/>
  <c r="B619" i="2"/>
  <c r="AV618" i="2"/>
  <c r="AR618" i="2"/>
  <c r="AQ618" i="2"/>
  <c r="AS618" i="2"/>
  <c r="AJ618" i="2"/>
  <c r="AF618" i="2"/>
  <c r="AI618" i="2"/>
  <c r="AE618" i="2"/>
  <c r="AH618" i="2"/>
  <c r="W618" i="2"/>
  <c r="R618" i="2"/>
  <c r="V618" i="2"/>
  <c r="P618" i="2"/>
  <c r="U618" i="2"/>
  <c r="Z618" i="2"/>
  <c r="AA618" i="2"/>
  <c r="AC618" i="2"/>
  <c r="K618" i="2"/>
  <c r="AO618" i="2" s="1"/>
  <c r="C618" i="2"/>
  <c r="M617" i="2"/>
  <c r="O618" i="2"/>
  <c r="H616" i="2"/>
  <c r="I616" i="2" s="1"/>
  <c r="AV236" i="2" l="1"/>
  <c r="AR236" i="2" s="1"/>
  <c r="AW236" i="2" s="1"/>
  <c r="AU236" i="2" s="1"/>
  <c r="AH236" i="2"/>
  <c r="AI237" i="2" s="1"/>
  <c r="AE236" i="2"/>
  <c r="AF237" i="2" s="1"/>
  <c r="S237" i="2"/>
  <c r="R237" i="2" s="1"/>
  <c r="AG236" i="2"/>
  <c r="BB619" i="2"/>
  <c r="AT619" i="2"/>
  <c r="BC619" i="2"/>
  <c r="AB619" i="2"/>
  <c r="AG619" i="2"/>
  <c r="Y618" i="2"/>
  <c r="I238" i="2"/>
  <c r="AN238" i="2"/>
  <c r="AS238" i="2"/>
  <c r="X238" i="2"/>
  <c r="N238" i="2"/>
  <c r="AO238" i="2"/>
  <c r="AM619" i="2"/>
  <c r="AP619" i="2"/>
  <c r="Q615" i="2"/>
  <c r="AU619" i="2"/>
  <c r="AW619" i="2"/>
  <c r="AD619" i="2"/>
  <c r="J619" i="2"/>
  <c r="L619" i="2"/>
  <c r="H617" i="2"/>
  <c r="I617" i="2" s="1"/>
  <c r="AV619" i="2"/>
  <c r="AS619" i="2"/>
  <c r="AQ619" i="2"/>
  <c r="AR619" i="2"/>
  <c r="AE619" i="2"/>
  <c r="AJ619" i="2"/>
  <c r="AH619" i="2"/>
  <c r="AC619" i="2"/>
  <c r="AF619" i="2"/>
  <c r="W619" i="2"/>
  <c r="Z619" i="2"/>
  <c r="R619" i="2"/>
  <c r="U619" i="2"/>
  <c r="AA619" i="2"/>
  <c r="P619" i="2"/>
  <c r="V619" i="2"/>
  <c r="AI619" i="2"/>
  <c r="K619" i="2"/>
  <c r="AO619" i="2" s="1"/>
  <c r="C619" i="2"/>
  <c r="O619" i="2"/>
  <c r="M618" i="2"/>
  <c r="B620" i="2"/>
  <c r="X618" i="2"/>
  <c r="N616" i="2"/>
  <c r="F618" i="2"/>
  <c r="G618" i="2" s="1"/>
  <c r="AN618" i="2" s="1"/>
  <c r="E618" i="2"/>
  <c r="D618" i="2"/>
  <c r="AT236" i="2" l="1"/>
  <c r="AV237" i="2" s="1"/>
  <c r="AR237" i="2" s="1"/>
  <c r="AW237" i="2" s="1"/>
  <c r="AL236" i="2"/>
  <c r="BA236" i="2" s="1"/>
  <c r="S238" i="2"/>
  <c r="AG237" i="2"/>
  <c r="BB620" i="2"/>
  <c r="AT620" i="2"/>
  <c r="BC620" i="2"/>
  <c r="AG620" i="2"/>
  <c r="AB620" i="2"/>
  <c r="Q616" i="2"/>
  <c r="Q238" i="2"/>
  <c r="O238" i="2" s="1"/>
  <c r="Y619" i="2"/>
  <c r="AH237" i="2"/>
  <c r="AI238" i="2" s="1"/>
  <c r="T238" i="2"/>
  <c r="AE237" i="2"/>
  <c r="AM620" i="2"/>
  <c r="AP620" i="2"/>
  <c r="AK237" i="2"/>
  <c r="AU620" i="2"/>
  <c r="AW620" i="2"/>
  <c r="L620" i="2"/>
  <c r="J620" i="2"/>
  <c r="AD620" i="2"/>
  <c r="B621" i="2"/>
  <c r="AV620" i="2"/>
  <c r="AR620" i="2"/>
  <c r="AS620" i="2"/>
  <c r="AQ620" i="2"/>
  <c r="AH620" i="2"/>
  <c r="AE620" i="2"/>
  <c r="AJ620" i="2"/>
  <c r="AI620" i="2"/>
  <c r="AC620" i="2"/>
  <c r="AF620" i="2"/>
  <c r="AA620" i="2"/>
  <c r="Z620" i="2"/>
  <c r="W620" i="2"/>
  <c r="R620" i="2"/>
  <c r="P620" i="2"/>
  <c r="U620" i="2"/>
  <c r="V620" i="2"/>
  <c r="M619" i="2"/>
  <c r="C620" i="2"/>
  <c r="K620" i="2"/>
  <c r="AO620" i="2" s="1"/>
  <c r="O620" i="2"/>
  <c r="F619" i="2"/>
  <c r="G619" i="2" s="1"/>
  <c r="AN619" i="2" s="1"/>
  <c r="E619" i="2"/>
  <c r="D619" i="2"/>
  <c r="X619" i="2"/>
  <c r="N617" i="2"/>
  <c r="H618" i="2"/>
  <c r="I618" i="2" s="1"/>
  <c r="BB237" i="2" l="1"/>
  <c r="AU237" i="2" s="1"/>
  <c r="R238" i="2"/>
  <c r="AG238" i="2" s="1"/>
  <c r="AL237" i="2"/>
  <c r="BA237" i="2" s="1"/>
  <c r="AT237" i="2"/>
  <c r="BB238" i="2" s="1"/>
  <c r="AN239" i="2"/>
  <c r="BB621" i="2"/>
  <c r="BC621" i="2"/>
  <c r="AT621" i="2"/>
  <c r="AG621" i="2"/>
  <c r="AB621" i="2"/>
  <c r="Q617" i="2"/>
  <c r="Y620" i="2"/>
  <c r="AF238" i="2"/>
  <c r="AK238" i="2" s="1"/>
  <c r="AM621" i="2"/>
  <c r="AP621" i="2"/>
  <c r="S239" i="2"/>
  <c r="X239" i="2"/>
  <c r="I239" i="2"/>
  <c r="AS239" i="2"/>
  <c r="AO239" i="2"/>
  <c r="N239" i="2"/>
  <c r="AU621" i="2"/>
  <c r="AW621" i="2"/>
  <c r="L621" i="2"/>
  <c r="AD621" i="2"/>
  <c r="J621" i="2"/>
  <c r="H619" i="2"/>
  <c r="I619" i="2" s="1"/>
  <c r="N618" i="2"/>
  <c r="D620" i="2"/>
  <c r="E620" i="2"/>
  <c r="F620" i="2"/>
  <c r="G620" i="2" s="1"/>
  <c r="AN620" i="2" s="1"/>
  <c r="X620" i="2"/>
  <c r="B622" i="2"/>
  <c r="AS621" i="2"/>
  <c r="AQ621" i="2"/>
  <c r="AR621" i="2"/>
  <c r="AV621" i="2"/>
  <c r="AI621" i="2"/>
  <c r="AH621" i="2"/>
  <c r="AE621" i="2"/>
  <c r="AF621" i="2"/>
  <c r="AJ621" i="2"/>
  <c r="AC621" i="2"/>
  <c r="Z621" i="2"/>
  <c r="V621" i="2"/>
  <c r="AA621" i="2"/>
  <c r="W621" i="2"/>
  <c r="R621" i="2"/>
  <c r="U621" i="2"/>
  <c r="P621" i="2"/>
  <c r="C621" i="2"/>
  <c r="K621" i="2"/>
  <c r="AO621" i="2" s="1"/>
  <c r="M620" i="2"/>
  <c r="O621" i="2"/>
  <c r="AH238" i="2" l="1"/>
  <c r="AI239" i="2" s="1"/>
  <c r="T239" i="2"/>
  <c r="AV238" i="2"/>
  <c r="AR238" i="2" s="1"/>
  <c r="AW238" i="2" s="1"/>
  <c r="AU238" i="2" s="1"/>
  <c r="BB622" i="2"/>
  <c r="AT622" i="2"/>
  <c r="BC622" i="2"/>
  <c r="AB622" i="2"/>
  <c r="AG622" i="2"/>
  <c r="Q618" i="2"/>
  <c r="Y621" i="2"/>
  <c r="AE238" i="2"/>
  <c r="AM622" i="2"/>
  <c r="AP622" i="2"/>
  <c r="Q239" i="2"/>
  <c r="O239" i="2" s="1"/>
  <c r="AU622" i="2"/>
  <c r="AW622" i="2"/>
  <c r="L622" i="2"/>
  <c r="AD622" i="2"/>
  <c r="J622" i="2"/>
  <c r="N619" i="2"/>
  <c r="B623" i="2"/>
  <c r="AV622" i="2"/>
  <c r="AR622" i="2"/>
  <c r="AS622" i="2"/>
  <c r="AQ622" i="2"/>
  <c r="AI622" i="2"/>
  <c r="AE622" i="2"/>
  <c r="AJ622" i="2"/>
  <c r="U622" i="2"/>
  <c r="AF622" i="2"/>
  <c r="V622" i="2"/>
  <c r="AA622" i="2"/>
  <c r="AC622" i="2"/>
  <c r="R622" i="2"/>
  <c r="W622" i="2"/>
  <c r="AH622" i="2"/>
  <c r="Z622" i="2"/>
  <c r="P622" i="2"/>
  <c r="O622" i="2"/>
  <c r="C622" i="2"/>
  <c r="K622" i="2"/>
  <c r="AO622" i="2" s="1"/>
  <c r="M621" i="2"/>
  <c r="X621" i="2"/>
  <c r="E621" i="2"/>
  <c r="F621" i="2"/>
  <c r="G621" i="2" s="1"/>
  <c r="AN621" i="2" s="1"/>
  <c r="D621" i="2"/>
  <c r="H620" i="2"/>
  <c r="I620" i="2" s="1"/>
  <c r="AM239" i="2" l="1"/>
  <c r="AN240" i="2"/>
  <c r="AL238" i="2"/>
  <c r="BA238" i="2" s="1"/>
  <c r="AT238" i="2"/>
  <c r="BB239" i="2" s="1"/>
  <c r="AT623" i="2"/>
  <c r="BB623" i="2"/>
  <c r="BC623" i="2"/>
  <c r="AG623" i="2"/>
  <c r="AB623" i="2"/>
  <c r="Q619" i="2"/>
  <c r="Y622" i="2"/>
  <c r="AF239" i="2"/>
  <c r="AK239" i="2" s="1"/>
  <c r="R239" i="2"/>
  <c r="AM623" i="2"/>
  <c r="AP623" i="2"/>
  <c r="I240" i="2"/>
  <c r="AO240" i="2"/>
  <c r="AS240" i="2"/>
  <c r="N240" i="2"/>
  <c r="X240" i="2"/>
  <c r="AU623" i="2"/>
  <c r="AW623" i="2"/>
  <c r="AD623" i="2"/>
  <c r="L623" i="2"/>
  <c r="J623" i="2"/>
  <c r="N620" i="2"/>
  <c r="E622" i="2"/>
  <c r="F622" i="2"/>
  <c r="G622" i="2" s="1"/>
  <c r="AN622" i="2" s="1"/>
  <c r="D622" i="2"/>
  <c r="B624" i="2"/>
  <c r="AR623" i="2"/>
  <c r="AV623" i="2"/>
  <c r="AQ623" i="2"/>
  <c r="AS623" i="2"/>
  <c r="AI623" i="2"/>
  <c r="AJ623" i="2"/>
  <c r="AE623" i="2"/>
  <c r="U623" i="2"/>
  <c r="AF623" i="2"/>
  <c r="V623" i="2"/>
  <c r="AH623" i="2"/>
  <c r="W623" i="2"/>
  <c r="AA623" i="2"/>
  <c r="P623" i="2"/>
  <c r="Z623" i="2"/>
  <c r="R623" i="2"/>
  <c r="AC623" i="2"/>
  <c r="O623" i="2"/>
  <c r="K623" i="2"/>
  <c r="AO623" i="2" s="1"/>
  <c r="M622" i="2"/>
  <c r="C623" i="2"/>
  <c r="X622" i="2"/>
  <c r="H621" i="2"/>
  <c r="I621" i="2" s="1"/>
  <c r="AH239" i="2" l="1"/>
  <c r="AG239" i="2"/>
  <c r="AV239" i="2"/>
  <c r="AR239" i="2" s="1"/>
  <c r="AW239" i="2" s="1"/>
  <c r="BC624" i="2"/>
  <c r="BB624" i="2"/>
  <c r="AT624" i="2"/>
  <c r="AG624" i="2"/>
  <c r="AB624" i="2"/>
  <c r="Q620" i="2"/>
  <c r="Y623" i="2"/>
  <c r="T240" i="2"/>
  <c r="S240" i="2"/>
  <c r="AE239" i="2"/>
  <c r="AM624" i="2"/>
  <c r="AP624" i="2"/>
  <c r="Q240" i="2"/>
  <c r="O240" i="2" s="1"/>
  <c r="AU624" i="2"/>
  <c r="AW624" i="2"/>
  <c r="L624" i="2"/>
  <c r="J624" i="2"/>
  <c r="AD624" i="2"/>
  <c r="H622" i="2"/>
  <c r="N622" i="2" s="1"/>
  <c r="E623" i="2"/>
  <c r="D623" i="2"/>
  <c r="F623" i="2"/>
  <c r="G623" i="2" s="1"/>
  <c r="AN623" i="2" s="1"/>
  <c r="M623" i="2"/>
  <c r="N621" i="2"/>
  <c r="X623" i="2"/>
  <c r="AV624" i="2"/>
  <c r="AR624" i="2"/>
  <c r="AS624" i="2"/>
  <c r="AQ624" i="2"/>
  <c r="AF624" i="2"/>
  <c r="AH624" i="2"/>
  <c r="AE624" i="2"/>
  <c r="AI624" i="2"/>
  <c r="AC624" i="2"/>
  <c r="U624" i="2"/>
  <c r="AJ624" i="2"/>
  <c r="Z624" i="2"/>
  <c r="AA624" i="2"/>
  <c r="V624" i="2"/>
  <c r="W624" i="2"/>
  <c r="R624" i="2"/>
  <c r="P624" i="2"/>
  <c r="K624" i="2"/>
  <c r="AO624" i="2" s="1"/>
  <c r="C624" i="2"/>
  <c r="O624" i="2"/>
  <c r="AN241" i="2" l="1"/>
  <c r="AL239" i="2"/>
  <c r="BA239" i="2" s="1"/>
  <c r="Q621" i="2"/>
  <c r="Y624" i="2"/>
  <c r="AJ240" i="2"/>
  <c r="AI240" i="2" s="1"/>
  <c r="AF240" i="2"/>
  <c r="R240" i="2"/>
  <c r="I241" i="2"/>
  <c r="AO241" i="2"/>
  <c r="X241" i="2"/>
  <c r="N241" i="2"/>
  <c r="AS241" i="2"/>
  <c r="M624" i="2"/>
  <c r="I622" i="2"/>
  <c r="Q622" i="2" s="1"/>
  <c r="H623" i="2"/>
  <c r="I623" i="2" s="1"/>
  <c r="E624" i="2"/>
  <c r="F624" i="2"/>
  <c r="G624" i="2" s="1"/>
  <c r="AN624" i="2" s="1"/>
  <c r="D624" i="2"/>
  <c r="X624" i="2"/>
  <c r="S241" i="2" l="1"/>
  <c r="AG240" i="2"/>
  <c r="AT239" i="2"/>
  <c r="BB240" i="2" s="1"/>
  <c r="T241" i="2"/>
  <c r="AK240" i="2"/>
  <c r="AH240" i="2"/>
  <c r="AI241" i="2" s="1"/>
  <c r="AE240" i="2"/>
  <c r="Q241" i="2"/>
  <c r="O241" i="2" s="1"/>
  <c r="N623" i="2"/>
  <c r="H624" i="2"/>
  <c r="AT240" i="2" l="1"/>
  <c r="BB241" i="2" s="1"/>
  <c r="AN242" i="2"/>
  <c r="AF241" i="2"/>
  <c r="AK241" i="2" s="1"/>
  <c r="AL240" i="2"/>
  <c r="BA240" i="2" s="1"/>
  <c r="Q623" i="2"/>
  <c r="AS242" i="2"/>
  <c r="AM241" i="2"/>
  <c r="AV240" i="2"/>
  <c r="AR240" i="2" s="1"/>
  <c r="AW240" i="2" s="1"/>
  <c r="AU240" i="2" s="1"/>
  <c r="AV241" i="2" s="1"/>
  <c r="AR241" i="2" s="1"/>
  <c r="AW241" i="2" s="1"/>
  <c r="X242" i="2"/>
  <c r="AO242" i="2"/>
  <c r="I242" i="2"/>
  <c r="N242" i="2"/>
  <c r="R241" i="2"/>
  <c r="AG241" i="2" s="1"/>
  <c r="I624" i="2"/>
  <c r="N624" i="2"/>
  <c r="Q242" i="2" l="1"/>
  <c r="O242" i="2" s="1"/>
  <c r="AU241" i="2"/>
  <c r="T242" i="2"/>
  <c r="S242" i="2"/>
  <c r="AE241" i="2"/>
  <c r="AH241" i="2"/>
  <c r="AM242" i="2" s="1"/>
  <c r="Q624" i="2"/>
  <c r="AT241" i="2" l="1"/>
  <c r="BB242" i="2" s="1"/>
  <c r="AL241" i="2"/>
  <c r="BA241" i="2" s="1"/>
  <c r="X243" i="2"/>
  <c r="AN243" i="2"/>
  <c r="R242" i="2"/>
  <c r="AS243" i="2"/>
  <c r="AO243" i="2"/>
  <c r="I243" i="2"/>
  <c r="N243" i="2"/>
  <c r="AF242" i="2"/>
  <c r="AI242" i="2"/>
  <c r="T243" i="2" l="1"/>
  <c r="AG242" i="2"/>
  <c r="AE242" i="2"/>
  <c r="S243" i="2"/>
  <c r="Q243" i="2"/>
  <c r="O243" i="2" s="1"/>
  <c r="AK242" i="2"/>
  <c r="AH242" i="2"/>
  <c r="AI243" i="2" s="1"/>
  <c r="AV242" i="2"/>
  <c r="AR242" i="2" s="1"/>
  <c r="AW242" i="2" s="1"/>
  <c r="AT242" i="2" l="1"/>
  <c r="BB243" i="2" s="1"/>
  <c r="AN244" i="2"/>
  <c r="AF243" i="2"/>
  <c r="AK243" i="2" s="1"/>
  <c r="AL242" i="2"/>
  <c r="BA242" i="2" s="1"/>
  <c r="I244" i="2"/>
  <c r="X244" i="2"/>
  <c r="AO244" i="2"/>
  <c r="AS244" i="2"/>
  <c r="R243" i="2"/>
  <c r="N244" i="2"/>
  <c r="AU242" i="2"/>
  <c r="S244" i="2" l="1"/>
  <c r="AG243" i="2"/>
  <c r="AE243" i="2"/>
  <c r="T244" i="2"/>
  <c r="AH243" i="2"/>
  <c r="AI244" i="2" s="1"/>
  <c r="Q244" i="2"/>
  <c r="O244" i="2" s="1"/>
  <c r="AV243" i="2"/>
  <c r="AR243" i="2" s="1"/>
  <c r="AW243" i="2" s="1"/>
  <c r="AT243" i="2" l="1"/>
  <c r="BB244" i="2" s="1"/>
  <c r="AN245" i="2"/>
  <c r="AF244" i="2"/>
  <c r="AK244" i="2" s="1"/>
  <c r="AL243" i="2"/>
  <c r="BA243" i="2" s="1"/>
  <c r="AU243" i="2"/>
  <c r="AM244" i="2"/>
  <c r="X245" i="2"/>
  <c r="N245" i="2"/>
  <c r="I245" i="2"/>
  <c r="AO245" i="2"/>
  <c r="AS245" i="2"/>
  <c r="R244" i="2"/>
  <c r="AG244" i="2" s="1"/>
  <c r="AV244" i="2" l="1"/>
  <c r="AR244" i="2" s="1"/>
  <c r="AW244" i="2" s="1"/>
  <c r="Q245" i="2"/>
  <c r="O245" i="2" s="1"/>
  <c r="S245" i="2"/>
  <c r="AH244" i="2"/>
  <c r="AI245" i="2" s="1"/>
  <c r="T245" i="2"/>
  <c r="AE244" i="2"/>
  <c r="AT244" i="2" l="1"/>
  <c r="BB245" i="2" s="1"/>
  <c r="AF245" i="2"/>
  <c r="AK245" i="2" s="1"/>
  <c r="AL244" i="2"/>
  <c r="BA244" i="2" s="1"/>
  <c r="AU244" i="2"/>
  <c r="I246" i="2"/>
  <c r="AN246" i="2"/>
  <c r="AS246" i="2"/>
  <c r="X246" i="2"/>
  <c r="N246" i="2"/>
  <c r="AO246" i="2"/>
  <c r="AM245" i="2"/>
  <c r="R245" i="2"/>
  <c r="AG245" i="2" s="1"/>
  <c r="Q246" i="2" l="1"/>
  <c r="O246" i="2" s="1"/>
  <c r="AV245" i="2"/>
  <c r="AR245" i="2" s="1"/>
  <c r="AW245" i="2" s="1"/>
  <c r="T246" i="2"/>
  <c r="AE245" i="2"/>
  <c r="S246" i="2"/>
  <c r="AH245" i="2"/>
  <c r="AI246" i="2" s="1"/>
  <c r="AT245" i="2" l="1"/>
  <c r="BB246" i="2" s="1"/>
  <c r="AN247" i="2"/>
  <c r="AL245" i="2"/>
  <c r="BA245" i="2" s="1"/>
  <c r="AS247" i="2"/>
  <c r="N247" i="2"/>
  <c r="I247" i="2"/>
  <c r="X247" i="2"/>
  <c r="AO247" i="2"/>
  <c r="AU245" i="2"/>
  <c r="R246" i="2"/>
  <c r="AG246" i="2" s="1"/>
  <c r="AF246" i="2"/>
  <c r="AK246" i="2" s="1"/>
  <c r="Q247" i="2" l="1"/>
  <c r="O247" i="2" s="1"/>
  <c r="AV246" i="2"/>
  <c r="AR246" i="2" s="1"/>
  <c r="AW246" i="2" s="1"/>
  <c r="S247" i="2"/>
  <c r="AH246" i="2"/>
  <c r="AI247" i="2" s="1"/>
  <c r="AE246" i="2"/>
  <c r="T247" i="2"/>
  <c r="AL246" i="2" l="1"/>
  <c r="BA246" i="2" s="1"/>
  <c r="AN248" i="2"/>
  <c r="AT246" i="2"/>
  <c r="BB247" i="2" s="1"/>
  <c r="AM247" i="2"/>
  <c r="AU246" i="2"/>
  <c r="AF247" i="2"/>
  <c r="AK247" i="2" s="1"/>
  <c r="R247" i="2"/>
  <c r="AG247" i="2" s="1"/>
  <c r="I248" i="2"/>
  <c r="N248" i="2"/>
  <c r="AO248" i="2"/>
  <c r="X248" i="2"/>
  <c r="AS248" i="2"/>
  <c r="AE247" i="2" l="1"/>
  <c r="AH247" i="2"/>
  <c r="AI248" i="2" s="1"/>
  <c r="T248" i="2"/>
  <c r="S248" i="2"/>
  <c r="AV247" i="2"/>
  <c r="AR247" i="2" s="1"/>
  <c r="AW247" i="2" s="1"/>
  <c r="AU247" i="2" s="1"/>
  <c r="Q248" i="2"/>
  <c r="R248" i="2" s="1"/>
  <c r="AG248" i="2" s="1"/>
  <c r="AT247" i="2" l="1"/>
  <c r="BB248" i="2" s="1"/>
  <c r="AL247" i="2"/>
  <c r="BA247" i="2" s="1"/>
  <c r="AM248" i="2"/>
  <c r="AF248" i="2"/>
  <c r="AK248" i="2" s="1"/>
  <c r="O248" i="2"/>
  <c r="T249" i="2"/>
  <c r="S249" i="2"/>
  <c r="AH248" i="2"/>
  <c r="AI249" i="2" s="1"/>
  <c r="AV248" i="2" l="1"/>
  <c r="AR248" i="2" s="1"/>
  <c r="AW248" i="2" s="1"/>
  <c r="AU248" i="2" s="1"/>
  <c r="AN249" i="2"/>
  <c r="N249" i="2"/>
  <c r="AM249" i="2"/>
  <c r="AE248" i="2"/>
  <c r="AT248" i="2" s="1"/>
  <c r="X249" i="2"/>
  <c r="AS249" i="2"/>
  <c r="AO249" i="2"/>
  <c r="I249" i="2"/>
  <c r="BB249" i="2" l="1"/>
  <c r="AL248" i="2"/>
  <c r="BA248" i="2" s="1"/>
  <c r="Q249" i="2"/>
  <c r="O249" i="2" s="1"/>
  <c r="AF249" i="2"/>
  <c r="AK249" i="2" s="1"/>
  <c r="AV249" i="2"/>
  <c r="AR249" i="2" s="1"/>
  <c r="AW249" i="2" s="1"/>
  <c r="AN250" i="2" l="1"/>
  <c r="AS250" i="2"/>
  <c r="X250" i="2"/>
  <c r="AO250" i="2"/>
  <c r="R249" i="2"/>
  <c r="N250" i="2"/>
  <c r="I250" i="2"/>
  <c r="Q250" i="2" s="1"/>
  <c r="AU249" i="2"/>
  <c r="S250" i="2" l="1"/>
  <c r="AG249" i="2"/>
  <c r="AH249" i="2"/>
  <c r="AI250" i="2" s="1"/>
  <c r="T250" i="2"/>
  <c r="AE249" i="2"/>
  <c r="AM250" i="2"/>
  <c r="O250" i="2"/>
  <c r="R250" i="2" l="1"/>
  <c r="S251" i="2" s="1"/>
  <c r="AT249" i="2"/>
  <c r="BB250" i="2" s="1"/>
  <c r="AN251" i="2"/>
  <c r="AF250" i="2"/>
  <c r="AK250" i="2" s="1"/>
  <c r="AL249" i="2"/>
  <c r="BA249" i="2" s="1"/>
  <c r="X251" i="2"/>
  <c r="AS251" i="2"/>
  <c r="I251" i="2"/>
  <c r="AO251" i="2"/>
  <c r="N251" i="2"/>
  <c r="T251" i="2" l="1"/>
  <c r="AH250" i="2"/>
  <c r="AI251" i="2" s="1"/>
  <c r="AG250" i="2"/>
  <c r="AE250" i="2"/>
  <c r="AF251" i="2" s="1"/>
  <c r="AV250" i="2"/>
  <c r="AR250" i="2" s="1"/>
  <c r="AW250" i="2" s="1"/>
  <c r="AU250" i="2" s="1"/>
  <c r="AM251" i="2"/>
  <c r="Q251" i="2"/>
  <c r="AK251" i="2" l="1"/>
  <c r="R251" i="2"/>
  <c r="AG251" i="2" s="1"/>
  <c r="AT250" i="2"/>
  <c r="BB251" i="2" s="1"/>
  <c r="AL250" i="2"/>
  <c r="BA250" i="2" s="1"/>
  <c r="O251" i="2"/>
  <c r="AH251" i="2" l="1"/>
  <c r="AE251" i="2"/>
  <c r="AF252" i="2" s="1"/>
  <c r="S252" i="2"/>
  <c r="T252" i="2"/>
  <c r="AV251" i="2"/>
  <c r="AR251" i="2" s="1"/>
  <c r="AW251" i="2" s="1"/>
  <c r="AO252" i="2"/>
  <c r="N252" i="2"/>
  <c r="AN252" i="2"/>
  <c r="X252" i="2"/>
  <c r="AS252" i="2"/>
  <c r="I252" i="2"/>
  <c r="AJ252" i="2" l="1"/>
  <c r="AT251" i="2" s="1"/>
  <c r="AV252" i="2" s="1"/>
  <c r="AR252" i="2" s="1"/>
  <c r="AW252" i="2" s="1"/>
  <c r="AL251" i="2"/>
  <c r="BA251" i="2" s="1"/>
  <c r="Q252" i="2"/>
  <c r="R252" i="2" s="1"/>
  <c r="AI252" i="2" l="1"/>
  <c r="AK252" i="2" s="1"/>
  <c r="BB252" i="2"/>
  <c r="AU252" i="2" s="1"/>
  <c r="T253" i="2"/>
  <c r="AG252" i="2"/>
  <c r="S253" i="2"/>
  <c r="O252" i="2"/>
  <c r="AE252" i="2"/>
  <c r="AH252" i="2" l="1"/>
  <c r="AN253" i="2"/>
  <c r="AF253" i="2"/>
  <c r="N253" i="2"/>
  <c r="I253" i="2"/>
  <c r="X253" i="2"/>
  <c r="AS253" i="2"/>
  <c r="AO253" i="2"/>
  <c r="AI253" i="2" l="1"/>
  <c r="AK253" i="2" s="1"/>
  <c r="AM253" i="2"/>
  <c r="AT252" i="2"/>
  <c r="AV253" i="2" s="1"/>
  <c r="AR253" i="2" s="1"/>
  <c r="AW253" i="2" s="1"/>
  <c r="AL252" i="2"/>
  <c r="BA252" i="2" s="1"/>
  <c r="Q253" i="2"/>
  <c r="R253" i="2" s="1"/>
  <c r="BB253" i="2" l="1"/>
  <c r="AU253" i="2" s="1"/>
  <c r="T254" i="2"/>
  <c r="AG253" i="2"/>
  <c r="O253" i="2"/>
  <c r="S254" i="2"/>
  <c r="AE253" i="2"/>
  <c r="AH253" i="2"/>
  <c r="AI254" i="2" s="1"/>
  <c r="X254" i="2" l="1"/>
  <c r="AT253" i="2"/>
  <c r="AF254" i="2"/>
  <c r="AL253" i="2"/>
  <c r="BA253" i="2" s="1"/>
  <c r="AN254" i="2"/>
  <c r="AS254" i="2"/>
  <c r="I254" i="2"/>
  <c r="N254" i="2"/>
  <c r="AO254" i="2"/>
  <c r="AK254" i="2" l="1"/>
  <c r="BB254" i="2"/>
  <c r="Q254" i="2"/>
  <c r="R254" i="2" s="1"/>
  <c r="AV254" i="2"/>
  <c r="AR254" i="2" s="1"/>
  <c r="AW254" i="2" s="1"/>
  <c r="AU254" i="2" s="1"/>
  <c r="S255" i="2" l="1"/>
  <c r="AG254" i="2"/>
  <c r="O254" i="2"/>
  <c r="AH254" i="2"/>
  <c r="AI255" i="2" s="1"/>
  <c r="T255" i="2"/>
  <c r="AE254" i="2"/>
  <c r="AM255" i="2" l="1"/>
  <c r="AN255" i="2"/>
  <c r="AT254" i="2"/>
  <c r="AF255" i="2"/>
  <c r="AL254" i="2"/>
  <c r="BA254" i="2" s="1"/>
  <c r="AO255" i="2"/>
  <c r="X255" i="2"/>
  <c r="AS255" i="2"/>
  <c r="I255" i="2"/>
  <c r="N255" i="2"/>
  <c r="AK255" i="2" l="1"/>
  <c r="BB255" i="2"/>
  <c r="AV255" i="2"/>
  <c r="AR255" i="2" s="1"/>
  <c r="AW255" i="2" s="1"/>
  <c r="Q255" i="2"/>
  <c r="R255" i="2" s="1"/>
  <c r="T256" i="2" l="1"/>
  <c r="AG255" i="2"/>
  <c r="AU255" i="2"/>
  <c r="AE255" i="2"/>
  <c r="O255" i="2"/>
  <c r="AS256" i="2" s="1"/>
  <c r="AH255" i="2"/>
  <c r="AI256" i="2" s="1"/>
  <c r="S256" i="2"/>
  <c r="AO256" i="2" l="1"/>
  <c r="AT255" i="2"/>
  <c r="X256" i="2"/>
  <c r="AF256" i="2"/>
  <c r="AL255" i="2"/>
  <c r="BA255" i="2" s="1"/>
  <c r="I256" i="2"/>
  <c r="AM256" i="2"/>
  <c r="N256" i="2"/>
  <c r="AN256" i="2"/>
  <c r="Q256" i="2" l="1"/>
  <c r="R256" i="2" s="1"/>
  <c r="AG256" i="2" s="1"/>
  <c r="BB256" i="2"/>
  <c r="AK256" i="2"/>
  <c r="AV256" i="2"/>
  <c r="AR256" i="2" s="1"/>
  <c r="AW256" i="2" s="1"/>
  <c r="O256" i="2" l="1"/>
  <c r="X257" i="2" s="1"/>
  <c r="AE256" i="2"/>
  <c r="AF257" i="2" s="1"/>
  <c r="AH256" i="2"/>
  <c r="AI257" i="2" s="1"/>
  <c r="T257" i="2"/>
  <c r="S257" i="2"/>
  <c r="AU256" i="2"/>
  <c r="AN257" i="2" l="1"/>
  <c r="AM257" i="2"/>
  <c r="AO257" i="2"/>
  <c r="I257" i="2"/>
  <c r="AK257" i="2" s="1"/>
  <c r="AL256" i="2"/>
  <c r="BA256" i="2" s="1"/>
  <c r="N257" i="2"/>
  <c r="AT256" i="2"/>
  <c r="AS257" i="2"/>
  <c r="Q257" i="2" l="1"/>
  <c r="R257" i="2" s="1"/>
  <c r="AE257" i="2" s="1"/>
  <c r="AF258" i="2" s="1"/>
  <c r="AV257" i="2"/>
  <c r="AR257" i="2" s="1"/>
  <c r="AW257" i="2" s="1"/>
  <c r="BB257" i="2"/>
  <c r="AG257" i="2" l="1"/>
  <c r="O257" i="2"/>
  <c r="N258" i="2" s="1"/>
  <c r="S258" i="2"/>
  <c r="AH257" i="2"/>
  <c r="AI258" i="2" s="1"/>
  <c r="T258" i="2"/>
  <c r="AN258" i="2"/>
  <c r="AO258" i="2"/>
  <c r="AU257" i="2"/>
  <c r="AS258" i="2" l="1"/>
  <c r="AL257" i="2"/>
  <c r="BA257" i="2" s="1"/>
  <c r="AT257" i="2"/>
  <c r="X258" i="2"/>
  <c r="I258" i="2"/>
  <c r="AK258" i="2" s="1"/>
  <c r="Q258" i="2" l="1"/>
  <c r="R258" i="2" s="1"/>
  <c r="T259" i="2" s="1"/>
  <c r="BB258" i="2"/>
  <c r="AV258" i="2"/>
  <c r="AR258" i="2" s="1"/>
  <c r="AW258" i="2" s="1"/>
  <c r="AU258" i="2" s="1"/>
  <c r="O258" i="2" l="1"/>
  <c r="AO259" i="2" s="1"/>
  <c r="AE258" i="2"/>
  <c r="AF259" i="2" s="1"/>
  <c r="S259" i="2"/>
  <c r="AH258" i="2"/>
  <c r="AI259" i="2" s="1"/>
  <c r="AG258" i="2"/>
  <c r="AS259" i="2" l="1"/>
  <c r="X259" i="2"/>
  <c r="I259" i="2"/>
  <c r="AK259" i="2" s="1"/>
  <c r="N259" i="2"/>
  <c r="AN259" i="2"/>
  <c r="AT258" i="2"/>
  <c r="AL258" i="2"/>
  <c r="BA258" i="2" s="1"/>
  <c r="Q259" i="2" l="1"/>
  <c r="R259" i="2" s="1"/>
  <c r="AV259" i="2"/>
  <c r="AR259" i="2" s="1"/>
  <c r="AW259" i="2" s="1"/>
  <c r="BB259" i="2"/>
  <c r="O259" i="2" l="1"/>
  <c r="AU259" i="2"/>
  <c r="AH259" i="2"/>
  <c r="AI260" i="2" s="1"/>
  <c r="AE259" i="2"/>
  <c r="S260" i="2"/>
  <c r="T260" i="2"/>
  <c r="AG259" i="2"/>
  <c r="I260" i="2" l="1"/>
  <c r="AM260" i="2"/>
  <c r="AN260" i="2"/>
  <c r="AS260" i="2"/>
  <c r="AO260" i="2"/>
  <c r="X260" i="2"/>
  <c r="N260" i="2"/>
  <c r="Q260" i="2" s="1"/>
  <c r="AF260" i="2"/>
  <c r="AK260" i="2" s="1"/>
  <c r="AL259" i="2"/>
  <c r="BA259" i="2" s="1"/>
  <c r="AT259" i="2"/>
  <c r="O260" i="2" l="1"/>
  <c r="R260" i="2"/>
  <c r="AG260" i="2" s="1"/>
  <c r="BB260" i="2"/>
  <c r="AV260" i="2"/>
  <c r="AR260" i="2" s="1"/>
  <c r="AW260" i="2" s="1"/>
  <c r="AH260" i="2" l="1"/>
  <c r="AE260" i="2"/>
  <c r="AF261" i="2" s="1"/>
  <c r="T261" i="2"/>
  <c r="S261" i="2"/>
  <c r="N261" i="2"/>
  <c r="AS261" i="2"/>
  <c r="AO261" i="2"/>
  <c r="I261" i="2"/>
  <c r="AN261" i="2"/>
  <c r="X261" i="2"/>
  <c r="AU260" i="2"/>
  <c r="AI261" i="2" l="1"/>
  <c r="AK261" i="2" s="1"/>
  <c r="AM261" i="2"/>
  <c r="AL260" i="2"/>
  <c r="BA260" i="2" s="1"/>
  <c r="AT260" i="2"/>
  <c r="BB261" i="2" s="1"/>
  <c r="Q261" i="2"/>
  <c r="O261" i="2" s="1"/>
  <c r="AN262" i="2" s="1"/>
  <c r="AV261" i="2" l="1"/>
  <c r="AR261" i="2" s="1"/>
  <c r="AW261" i="2" s="1"/>
  <c r="AU261" i="2" s="1"/>
  <c r="R261" i="2"/>
  <c r="T262" i="2" s="1"/>
  <c r="X262" i="2"/>
  <c r="AO262" i="2"/>
  <c r="AS262" i="2"/>
  <c r="N262" i="2"/>
  <c r="I262" i="2"/>
  <c r="Q262" i="2" l="1"/>
  <c r="O262" i="2" s="1"/>
  <c r="AS263" i="2" s="1"/>
  <c r="S262" i="2"/>
  <c r="AG261" i="2"/>
  <c r="AH261" i="2"/>
  <c r="AI262" i="2" s="1"/>
  <c r="AE261" i="2"/>
  <c r="AF262" i="2" s="1"/>
  <c r="AO263" i="2" l="1"/>
  <c r="I263" i="2"/>
  <c r="R262" i="2"/>
  <c r="N263" i="2"/>
  <c r="AN263" i="2"/>
  <c r="X263" i="2"/>
  <c r="Q263" i="2"/>
  <c r="O263" i="2" s="1"/>
  <c r="N264" i="2" s="1"/>
  <c r="AL261" i="2"/>
  <c r="BA261" i="2" s="1"/>
  <c r="AK262" i="2"/>
  <c r="AT261" i="2"/>
  <c r="BB262" i="2" s="1"/>
  <c r="S263" i="2" l="1"/>
  <c r="AH262" i="2"/>
  <c r="AI263" i="2" s="1"/>
  <c r="AE262" i="2"/>
  <c r="AF263" i="2" s="1"/>
  <c r="AG262" i="2"/>
  <c r="T263" i="2"/>
  <c r="R263" i="2" s="1"/>
  <c r="AO264" i="2"/>
  <c r="I264" i="2"/>
  <c r="Q264" i="2" s="1"/>
  <c r="O264" i="2" s="1"/>
  <c r="AS264" i="2"/>
  <c r="X264" i="2"/>
  <c r="AN264" i="2"/>
  <c r="AV262" i="2"/>
  <c r="AR262" i="2" s="1"/>
  <c r="AW262" i="2" s="1"/>
  <c r="AU262" i="2" s="1"/>
  <c r="AM263" i="2" l="1"/>
  <c r="AH263" i="2"/>
  <c r="AK263" i="2"/>
  <c r="AG263" i="2"/>
  <c r="AL262" i="2"/>
  <c r="BA262" i="2" s="1"/>
  <c r="AT262" i="2"/>
  <c r="BB263" i="2" s="1"/>
  <c r="AE263" i="2"/>
  <c r="AF264" i="2" s="1"/>
  <c r="T264" i="2"/>
  <c r="S264" i="2"/>
  <c r="I265" i="2"/>
  <c r="AO265" i="2"/>
  <c r="X265" i="2"/>
  <c r="AS265" i="2"/>
  <c r="AN265" i="2"/>
  <c r="N265" i="2"/>
  <c r="AV263" i="2" l="1"/>
  <c r="AR263" i="2" s="1"/>
  <c r="AW263" i="2" s="1"/>
  <c r="R264" i="2"/>
  <c r="AE264" i="2" s="1"/>
  <c r="AF265" i="2" s="1"/>
  <c r="AL263" i="2"/>
  <c r="BA263" i="2" s="1"/>
  <c r="AJ264" i="2"/>
  <c r="AI264" i="2" s="1"/>
  <c r="AK264" i="2" s="1"/>
  <c r="Q265" i="2"/>
  <c r="AG264" i="2" l="1"/>
  <c r="S265" i="2"/>
  <c r="T265" i="2"/>
  <c r="AT263" i="2"/>
  <c r="BB264" i="2" s="1"/>
  <c r="AH264" i="2"/>
  <c r="AI265" i="2" s="1"/>
  <c r="O265" i="2"/>
  <c r="AN266" i="2" s="1"/>
  <c r="AK265" i="2" l="1"/>
  <c r="R265" i="2"/>
  <c r="AG265" i="2" s="1"/>
  <c r="AL264" i="2"/>
  <c r="BA264" i="2" s="1"/>
  <c r="AT264" i="2"/>
  <c r="BB265" i="2" s="1"/>
  <c r="AV264" i="2"/>
  <c r="AR264" i="2" s="1"/>
  <c r="AW264" i="2" s="1"/>
  <c r="AU264" i="2" s="1"/>
  <c r="AV265" i="2" s="1"/>
  <c r="AR265" i="2" s="1"/>
  <c r="AW265" i="2" s="1"/>
  <c r="AU265" i="2" s="1"/>
  <c r="I266" i="2"/>
  <c r="N266" i="2"/>
  <c r="AS266" i="2"/>
  <c r="X266" i="2"/>
  <c r="AO266" i="2"/>
  <c r="AH265" i="2" l="1"/>
  <c r="AI266" i="2" s="1"/>
  <c r="S266" i="2"/>
  <c r="AE265" i="2"/>
  <c r="AF266" i="2" s="1"/>
  <c r="T266" i="2"/>
  <c r="Q266" i="2"/>
  <c r="O266" i="2" s="1"/>
  <c r="AO267" i="2" s="1"/>
  <c r="AT265" i="2" l="1"/>
  <c r="AV266" i="2" s="1"/>
  <c r="AR266" i="2" s="1"/>
  <c r="AW266" i="2" s="1"/>
  <c r="AL265" i="2"/>
  <c r="BA265" i="2" s="1"/>
  <c r="AK266" i="2"/>
  <c r="AS267" i="2"/>
  <c r="R266" i="2"/>
  <c r="AG266" i="2" s="1"/>
  <c r="N267" i="2"/>
  <c r="X267" i="2"/>
  <c r="AN267" i="2"/>
  <c r="I267" i="2"/>
  <c r="BB266" i="2" l="1"/>
  <c r="AU266" i="2" s="1"/>
  <c r="T267" i="2"/>
  <c r="S267" i="2"/>
  <c r="AH266" i="2"/>
  <c r="AI267" i="2" s="1"/>
  <c r="AE266" i="2"/>
  <c r="AF267" i="2" s="1"/>
  <c r="Q267" i="2"/>
  <c r="R267" i="2" l="1"/>
  <c r="T268" i="2" s="1"/>
  <c r="O267" i="2"/>
  <c r="X268" i="2" s="1"/>
  <c r="AK267" i="2"/>
  <c r="AL266" i="2"/>
  <c r="BA266" i="2" s="1"/>
  <c r="AT266" i="2"/>
  <c r="BB267" i="2" s="1"/>
  <c r="AN268" i="2"/>
  <c r="S268" i="2" l="1"/>
  <c r="AG267" i="2"/>
  <c r="AH267" i="2"/>
  <c r="AI268" i="2" s="1"/>
  <c r="AE267" i="2"/>
  <c r="AS268" i="2"/>
  <c r="N268" i="2"/>
  <c r="AV267" i="2"/>
  <c r="AR267" i="2" s="1"/>
  <c r="AW267" i="2" s="1"/>
  <c r="AU267" i="2" s="1"/>
  <c r="AO268" i="2"/>
  <c r="I268" i="2"/>
  <c r="AM268" i="2" l="1"/>
  <c r="Q268" i="2"/>
  <c r="R268" i="2" s="1"/>
  <c r="S269" i="2" s="1"/>
  <c r="AL267" i="2"/>
  <c r="BA267" i="2" s="1"/>
  <c r="AF268" i="2"/>
  <c r="AK268" i="2" s="1"/>
  <c r="AT267" i="2"/>
  <c r="BB268" i="2" s="1"/>
  <c r="AH268" i="2" l="1"/>
  <c r="AI269" i="2" s="1"/>
  <c r="O268" i="2"/>
  <c r="X269" i="2" s="1"/>
  <c r="T269" i="2"/>
  <c r="AG268" i="2"/>
  <c r="AE268" i="2"/>
  <c r="AV268" i="2"/>
  <c r="AR268" i="2" s="1"/>
  <c r="AW268" i="2" s="1"/>
  <c r="AU268" i="2" s="1"/>
  <c r="AN269" i="2"/>
  <c r="I269" i="2" l="1"/>
  <c r="AO269" i="2"/>
  <c r="AT268" i="2"/>
  <c r="AS269" i="2"/>
  <c r="N269" i="2"/>
  <c r="AL268" i="2"/>
  <c r="BA268" i="2" s="1"/>
  <c r="AF269" i="2"/>
  <c r="Q269" i="2" l="1"/>
  <c r="R269" i="2" s="1"/>
  <c r="S270" i="2" s="1"/>
  <c r="AK269" i="2"/>
  <c r="AV269" i="2"/>
  <c r="AR269" i="2" s="1"/>
  <c r="AW269" i="2" s="1"/>
  <c r="BB269" i="2"/>
  <c r="O269" i="2" l="1"/>
  <c r="X270" i="2" s="1"/>
  <c r="AH269" i="2"/>
  <c r="AI270" i="2" s="1"/>
  <c r="AE269" i="2"/>
  <c r="AF270" i="2" s="1"/>
  <c r="AG269" i="2"/>
  <c r="T270" i="2"/>
  <c r="AU269" i="2"/>
  <c r="N270" i="2" l="1"/>
  <c r="AL269" i="2"/>
  <c r="BA269" i="2" s="1"/>
  <c r="AN270" i="2"/>
  <c r="AO270" i="2"/>
  <c r="AT269" i="2"/>
  <c r="I270" i="2"/>
  <c r="AK270" i="2" s="1"/>
  <c r="AS270" i="2"/>
  <c r="BB270" i="2" l="1"/>
  <c r="AV270" i="2"/>
  <c r="AR270" i="2" s="1"/>
  <c r="AW270" i="2" s="1"/>
  <c r="Q270" i="2"/>
  <c r="R270" i="2" s="1"/>
  <c r="AG270" i="2" s="1"/>
  <c r="AU270" i="2" l="1"/>
  <c r="T271" i="2"/>
  <c r="S271" i="2"/>
  <c r="AH270" i="2"/>
  <c r="AI271" i="2" s="1"/>
  <c r="AE270" i="2"/>
  <c r="AF271" i="2" s="1"/>
  <c r="O270" i="2"/>
  <c r="X271" i="2" s="1"/>
  <c r="AL270" i="2" l="1"/>
  <c r="BA270" i="2" s="1"/>
  <c r="AS271" i="2"/>
  <c r="I271" i="2"/>
  <c r="N271" i="2"/>
  <c r="AN271" i="2"/>
  <c r="AO271" i="2"/>
  <c r="AT270" i="2"/>
  <c r="AK271" i="2"/>
  <c r="Q271" i="2" l="1"/>
  <c r="R271" i="2" s="1"/>
  <c r="AG271" i="2" s="1"/>
  <c r="BB271" i="2"/>
  <c r="AV271" i="2"/>
  <c r="AR271" i="2" s="1"/>
  <c r="AW271" i="2" s="1"/>
  <c r="AU271" i="2" s="1"/>
  <c r="O271" i="2" l="1"/>
  <c r="AN272" i="2" s="1"/>
  <c r="S272" i="2"/>
  <c r="AE271" i="2"/>
  <c r="AF272" i="2" s="1"/>
  <c r="AH271" i="2"/>
  <c r="AI272" i="2" s="1"/>
  <c r="T272" i="2"/>
  <c r="I272" i="2" l="1"/>
  <c r="AK272" i="2" s="1"/>
  <c r="AS272" i="2"/>
  <c r="AO272" i="2"/>
  <c r="N272" i="2"/>
  <c r="X272" i="2"/>
  <c r="AT271" i="2"/>
  <c r="AL271" i="2"/>
  <c r="BA271" i="2" s="1"/>
  <c r="Q272" i="2" l="1"/>
  <c r="R272" i="2" s="1"/>
  <c r="AE272" i="2" s="1"/>
  <c r="AF273" i="2" s="1"/>
  <c r="AV272" i="2"/>
  <c r="AR272" i="2" s="1"/>
  <c r="AW272" i="2" s="1"/>
  <c r="BB272" i="2"/>
  <c r="O272" i="2" l="1"/>
  <c r="T273" i="2"/>
  <c r="AH272" i="2"/>
  <c r="AI273" i="2" s="1"/>
  <c r="AG272" i="2"/>
  <c r="S273" i="2"/>
  <c r="AU272" i="2"/>
  <c r="AO273" i="2" l="1"/>
  <c r="AM273" i="2"/>
  <c r="I273" i="2"/>
  <c r="AK273" i="2" s="1"/>
  <c r="N273" i="2"/>
  <c r="Q273" i="2" s="1"/>
  <c r="R273" i="2" s="1"/>
  <c r="T274" i="2" s="1"/>
  <c r="AL272" i="2"/>
  <c r="BA272" i="2" s="1"/>
  <c r="AS273" i="2"/>
  <c r="X273" i="2"/>
  <c r="AT272" i="2"/>
  <c r="AN273" i="2"/>
  <c r="AV273" i="2" l="1"/>
  <c r="AR273" i="2" s="1"/>
  <c r="AW273" i="2" s="1"/>
  <c r="BB273" i="2"/>
  <c r="O273" i="2"/>
  <c r="S274" i="2"/>
  <c r="AN274" i="2"/>
  <c r="AE273" i="2"/>
  <c r="AH273" i="2"/>
  <c r="AI274" i="2" s="1"/>
  <c r="AG273" i="2"/>
  <c r="X274" i="2" l="1"/>
  <c r="AM274" i="2"/>
  <c r="AU273" i="2"/>
  <c r="N274" i="2"/>
  <c r="AO274" i="2"/>
  <c r="I274" i="2"/>
  <c r="AS274" i="2"/>
  <c r="AL273" i="2"/>
  <c r="BA273" i="2" s="1"/>
  <c r="AT273" i="2"/>
  <c r="BB274" i="2" s="1"/>
  <c r="AF274" i="2"/>
  <c r="AM275" i="2"/>
  <c r="AK274" i="2" l="1"/>
  <c r="Q274" i="2"/>
  <c r="O274" i="2" s="1"/>
  <c r="AV274" i="2"/>
  <c r="AR274" i="2" s="1"/>
  <c r="AW274" i="2" s="1"/>
  <c r="AU274" i="2" s="1"/>
  <c r="AO275" i="2" l="1"/>
  <c r="I275" i="2"/>
  <c r="X275" i="2"/>
  <c r="AS275" i="2"/>
  <c r="N275" i="2"/>
  <c r="AN275" i="2"/>
  <c r="R274" i="2"/>
  <c r="S275" i="2" s="1"/>
  <c r="Q275" i="2" l="1"/>
  <c r="AG274" i="2"/>
  <c r="T275" i="2"/>
  <c r="AE274" i="2"/>
  <c r="AF275" i="2" s="1"/>
  <c r="AH274" i="2"/>
  <c r="AI275" i="2" s="1"/>
  <c r="O275" i="2"/>
  <c r="R275" i="2" l="1"/>
  <c r="S276" i="2" s="1"/>
  <c r="AK275" i="2"/>
  <c r="AT274" i="2"/>
  <c r="AV275" i="2" s="1"/>
  <c r="AR275" i="2" s="1"/>
  <c r="AW275" i="2" s="1"/>
  <c r="AL274" i="2"/>
  <c r="BA274" i="2" s="1"/>
  <c r="AH275" i="2"/>
  <c r="AG275" i="2"/>
  <c r="I276" i="2"/>
  <c r="N276" i="2"/>
  <c r="X276" i="2"/>
  <c r="AO276" i="2"/>
  <c r="AN276" i="2"/>
  <c r="AS276" i="2"/>
  <c r="AE275" i="2" l="1"/>
  <c r="AF276" i="2" s="1"/>
  <c r="T276" i="2"/>
  <c r="BB275" i="2"/>
  <c r="Q276" i="2"/>
  <c r="R276" i="2" s="1"/>
  <c r="S277" i="2" s="1"/>
  <c r="AL275" i="2" l="1"/>
  <c r="BA275" i="2" s="1"/>
  <c r="AJ276" i="2"/>
  <c r="AI276" i="2" s="1"/>
  <c r="AK276" i="2" s="1"/>
  <c r="AE276" i="2"/>
  <c r="AF277" i="2" s="1"/>
  <c r="O276" i="2"/>
  <c r="I277" i="2" s="1"/>
  <c r="T277" i="2"/>
  <c r="AG276" i="2"/>
  <c r="AH276" i="2" l="1"/>
  <c r="AI277" i="2" s="1"/>
  <c r="AK277" i="2" s="1"/>
  <c r="AT275" i="2"/>
  <c r="BB276" i="2" s="1"/>
  <c r="AN277" i="2"/>
  <c r="AO277" i="2"/>
  <c r="AS277" i="2"/>
  <c r="X277" i="2"/>
  <c r="N277" i="2"/>
  <c r="Q277" i="2" s="1"/>
  <c r="O277" i="2" s="1"/>
  <c r="AL276" i="2" l="1"/>
  <c r="BA276" i="2" s="1"/>
  <c r="AV276" i="2"/>
  <c r="AR276" i="2" s="1"/>
  <c r="AW276" i="2" s="1"/>
  <c r="AU276" i="2" s="1"/>
  <c r="AT276" i="2"/>
  <c r="BB277" i="2" s="1"/>
  <c r="R277" i="2"/>
  <c r="AN278" i="2"/>
  <c r="X278" i="2"/>
  <c r="AS278" i="2"/>
  <c r="I278" i="2"/>
  <c r="N278" i="2"/>
  <c r="AO278" i="2"/>
  <c r="AV277" i="2" l="1"/>
  <c r="AR277" i="2" s="1"/>
  <c r="AW277" i="2" s="1"/>
  <c r="AU277" i="2" s="1"/>
  <c r="AH277" i="2"/>
  <c r="AI278" i="2" s="1"/>
  <c r="AG277" i="2"/>
  <c r="AE277" i="2"/>
  <c r="S278" i="2"/>
  <c r="T278" i="2"/>
  <c r="Q278" i="2"/>
  <c r="O278" i="2" s="1"/>
  <c r="AT277" i="2" l="1"/>
  <c r="BB278" i="2" s="1"/>
  <c r="AL277" i="2"/>
  <c r="BA277" i="2" s="1"/>
  <c r="AF278" i="2"/>
  <c r="AK278" i="2" s="1"/>
  <c r="R278" i="2"/>
  <c r="AG278" i="2" s="1"/>
  <c r="AN279" i="2"/>
  <c r="AO279" i="2"/>
  <c r="AS279" i="2"/>
  <c r="I279" i="2"/>
  <c r="X279" i="2"/>
  <c r="N279" i="2"/>
  <c r="AV278" i="2" l="1"/>
  <c r="AR278" i="2" s="1"/>
  <c r="AW278" i="2" s="1"/>
  <c r="AU278" i="2" s="1"/>
  <c r="AE278" i="2"/>
  <c r="AH278" i="2"/>
  <c r="AI279" i="2" s="1"/>
  <c r="Q279" i="2"/>
  <c r="O279" i="2" s="1"/>
  <c r="S279" i="2"/>
  <c r="T279" i="2"/>
  <c r="AM279" i="2"/>
  <c r="AT278" i="2" l="1"/>
  <c r="BB279" i="2" s="1"/>
  <c r="I280" i="2"/>
  <c r="AF279" i="2"/>
  <c r="AK279" i="2" s="1"/>
  <c r="AL278" i="2"/>
  <c r="BA278" i="2" s="1"/>
  <c r="AN280" i="2"/>
  <c r="AS280" i="2"/>
  <c r="R279" i="2"/>
  <c r="AO280" i="2"/>
  <c r="X280" i="2"/>
  <c r="N280" i="2"/>
  <c r="AE279" i="2" l="1"/>
  <c r="AF280" i="2" s="1"/>
  <c r="AG279" i="2"/>
  <c r="Q280" i="2"/>
  <c r="O280" i="2" s="1"/>
  <c r="AV279" i="2"/>
  <c r="AR279" i="2" s="1"/>
  <c r="AW279" i="2" s="1"/>
  <c r="AU279" i="2" s="1"/>
  <c r="S280" i="2"/>
  <c r="T280" i="2"/>
  <c r="AH279" i="2"/>
  <c r="AI280" i="2" s="1"/>
  <c r="I281" i="2" l="1"/>
  <c r="AT279" i="2"/>
  <c r="BB280" i="2" s="1"/>
  <c r="AN281" i="2"/>
  <c r="AL279" i="2"/>
  <c r="BA279" i="2" s="1"/>
  <c r="R280" i="2"/>
  <c r="AG280" i="2" s="1"/>
  <c r="N281" i="2"/>
  <c r="X281" i="2"/>
  <c r="AO281" i="2"/>
  <c r="AS281" i="2"/>
  <c r="AK280" i="2"/>
  <c r="Q281" i="2" l="1"/>
  <c r="O281" i="2" s="1"/>
  <c r="AH280" i="2"/>
  <c r="AI281" i="2" s="1"/>
  <c r="AE280" i="2"/>
  <c r="S281" i="2"/>
  <c r="T281" i="2"/>
  <c r="AV280" i="2"/>
  <c r="AR280" i="2" s="1"/>
  <c r="AW280" i="2" s="1"/>
  <c r="AU280" i="2" s="1"/>
  <c r="AT280" i="2" l="1"/>
  <c r="BB281" i="2" s="1"/>
  <c r="X282" i="2"/>
  <c r="AF281" i="2"/>
  <c r="AK281" i="2" s="1"/>
  <c r="AL280" i="2"/>
  <c r="BA280" i="2" s="1"/>
  <c r="R281" i="2"/>
  <c r="N282" i="2"/>
  <c r="AS282" i="2"/>
  <c r="AN282" i="2"/>
  <c r="I282" i="2"/>
  <c r="AO282" i="2"/>
  <c r="S282" i="2" l="1"/>
  <c r="AG281" i="2"/>
  <c r="T282" i="2"/>
  <c r="AE281" i="2"/>
  <c r="AH281" i="2"/>
  <c r="AI282" i="2" s="1"/>
  <c r="Q282" i="2"/>
  <c r="O282" i="2" s="1"/>
  <c r="AV281" i="2"/>
  <c r="AR281" i="2" s="1"/>
  <c r="AW281" i="2" s="1"/>
  <c r="AU281" i="2" s="1"/>
  <c r="AT281" i="2" l="1"/>
  <c r="BB282" i="2" s="1"/>
  <c r="AF282" i="2"/>
  <c r="AK282" i="2" s="1"/>
  <c r="AL281" i="2"/>
  <c r="BA281" i="2" s="1"/>
  <c r="AN283" i="2"/>
  <c r="AO283" i="2"/>
  <c r="R282" i="2"/>
  <c r="AG282" i="2" s="1"/>
  <c r="AS283" i="2"/>
  <c r="X283" i="2"/>
  <c r="N283" i="2"/>
  <c r="I283" i="2"/>
  <c r="AV282" i="2" l="1"/>
  <c r="AR282" i="2" s="1"/>
  <c r="AW282" i="2" s="1"/>
  <c r="AU282" i="2" s="1"/>
  <c r="T283" i="2"/>
  <c r="AH282" i="2"/>
  <c r="AI283" i="2" s="1"/>
  <c r="S283" i="2"/>
  <c r="AE282" i="2"/>
  <c r="Q283" i="2"/>
  <c r="O283" i="2" s="1"/>
  <c r="AL282" i="2" l="1"/>
  <c r="BA282" i="2" s="1"/>
  <c r="AN284" i="2"/>
  <c r="AT282" i="2"/>
  <c r="BB283" i="2" s="1"/>
  <c r="AM283" i="2"/>
  <c r="R283" i="2"/>
  <c r="AF283" i="2"/>
  <c r="AK283" i="2" s="1"/>
  <c r="AS284" i="2"/>
  <c r="N284" i="2"/>
  <c r="X284" i="2"/>
  <c r="I284" i="2"/>
  <c r="AO284" i="2"/>
  <c r="T284" i="2" l="1"/>
  <c r="AG283" i="2"/>
  <c r="AV283" i="2"/>
  <c r="AR283" i="2" s="1"/>
  <c r="AW283" i="2" s="1"/>
  <c r="AU283" i="2" s="1"/>
  <c r="AH283" i="2"/>
  <c r="AI284" i="2" s="1"/>
  <c r="S284" i="2"/>
  <c r="AE283" i="2"/>
  <c r="Q284" i="2"/>
  <c r="R284" i="2" l="1"/>
  <c r="AG284" i="2" s="1"/>
  <c r="AT283" i="2"/>
  <c r="BB284" i="2" s="1"/>
  <c r="AF284" i="2"/>
  <c r="AK284" i="2" s="1"/>
  <c r="AL283" i="2"/>
  <c r="BA283" i="2" s="1"/>
  <c r="O284" i="2"/>
  <c r="AH284" i="2" l="1"/>
  <c r="AI285" i="2" s="1"/>
  <c r="T285" i="2"/>
  <c r="S285" i="2"/>
  <c r="AE284" i="2"/>
  <c r="AF285" i="2" s="1"/>
  <c r="AN285" i="2"/>
  <c r="AV284" i="2"/>
  <c r="AR284" i="2" s="1"/>
  <c r="AW284" i="2" s="1"/>
  <c r="AU284" i="2" s="1"/>
  <c r="X285" i="2"/>
  <c r="AS285" i="2"/>
  <c r="I285" i="2"/>
  <c r="AO285" i="2"/>
  <c r="N285" i="2"/>
  <c r="AL284" i="2" l="1"/>
  <c r="BA284" i="2" s="1"/>
  <c r="AT284" i="2"/>
  <c r="BB285" i="2" s="1"/>
  <c r="AK285" i="2"/>
  <c r="Q285" i="2"/>
  <c r="R285" i="2" s="1"/>
  <c r="AV285" i="2" l="1"/>
  <c r="AR285" i="2" s="1"/>
  <c r="AW285" i="2" s="1"/>
  <c r="AU285" i="2" s="1"/>
  <c r="AE285" i="2"/>
  <c r="AF286" i="2" s="1"/>
  <c r="AG285" i="2"/>
  <c r="AH285" i="2"/>
  <c r="AI286" i="2" s="1"/>
  <c r="O285" i="2"/>
  <c r="AN286" i="2" s="1"/>
  <c r="S286" i="2"/>
  <c r="T286" i="2"/>
  <c r="AO286" i="2" l="1"/>
  <c r="AT285" i="2"/>
  <c r="AL285" i="2"/>
  <c r="BA285" i="2" s="1"/>
  <c r="N286" i="2"/>
  <c r="X286" i="2"/>
  <c r="AS286" i="2"/>
  <c r="I286" i="2"/>
  <c r="AK286" i="2" s="1"/>
  <c r="BB286" i="2" l="1"/>
  <c r="Q286" i="2"/>
  <c r="R286" i="2" s="1"/>
  <c r="AG286" i="2" s="1"/>
  <c r="AV286" i="2"/>
  <c r="AR286" i="2" s="1"/>
  <c r="AW286" i="2" s="1"/>
  <c r="T287" i="2" l="1"/>
  <c r="O286" i="2"/>
  <c r="AH286" i="2"/>
  <c r="AI287" i="2" s="1"/>
  <c r="S287" i="2"/>
  <c r="AE286" i="2"/>
  <c r="AU286" i="2"/>
  <c r="AS287" i="2"/>
  <c r="AM287" i="2"/>
  <c r="AN287" i="2" l="1"/>
  <c r="AT286" i="2"/>
  <c r="AF287" i="2"/>
  <c r="AL286" i="2"/>
  <c r="BA286" i="2" s="1"/>
  <c r="X287" i="2"/>
  <c r="N287" i="2"/>
  <c r="I287" i="2"/>
  <c r="AO287" i="2"/>
  <c r="BB287" i="2" l="1"/>
  <c r="Q287" i="2"/>
  <c r="R287" i="2" s="1"/>
  <c r="AE287" i="2" s="1"/>
  <c r="AF288" i="2" s="1"/>
  <c r="AK287" i="2"/>
  <c r="AV287" i="2"/>
  <c r="AR287" i="2" s="1"/>
  <c r="AW287" i="2" s="1"/>
  <c r="O287" i="2" l="1"/>
  <c r="AS288" i="2" s="1"/>
  <c r="AH287" i="2"/>
  <c r="AL287" i="2" s="1"/>
  <c r="BA287" i="2" s="1"/>
  <c r="AG287" i="2"/>
  <c r="S288" i="2"/>
  <c r="T288" i="2"/>
  <c r="AN288" i="2"/>
  <c r="N288" i="2" l="1"/>
  <c r="AO288" i="2"/>
  <c r="I288" i="2"/>
  <c r="X288" i="2"/>
  <c r="AJ288" i="2"/>
  <c r="AI288" i="2" s="1"/>
  <c r="Q288" i="2" l="1"/>
  <c r="R288" i="2" s="1"/>
  <c r="T289" i="2" s="1"/>
  <c r="AK288" i="2"/>
  <c r="AT287" i="2"/>
  <c r="BB288" i="2" s="1"/>
  <c r="O288" i="2" l="1"/>
  <c r="X289" i="2" s="1"/>
  <c r="AE288" i="2"/>
  <c r="AH288" i="2"/>
  <c r="AI289" i="2" s="1"/>
  <c r="AG288" i="2"/>
  <c r="S289" i="2"/>
  <c r="AV288" i="2"/>
  <c r="AR288" i="2" s="1"/>
  <c r="AW288" i="2" s="1"/>
  <c r="AU288" i="2" s="1"/>
  <c r="AM289" i="2"/>
  <c r="I289" i="2" l="1"/>
  <c r="AN289" i="2"/>
  <c r="N289" i="2"/>
  <c r="AS289" i="2"/>
  <c r="AO289" i="2"/>
  <c r="AT288" i="2"/>
  <c r="AF289" i="2"/>
  <c r="AL288" i="2"/>
  <c r="BA288" i="2" s="1"/>
  <c r="AK289" i="2" l="1"/>
  <c r="Q289" i="2"/>
  <c r="R289" i="2" s="1"/>
  <c r="T290" i="2" s="1"/>
  <c r="BB289" i="2"/>
  <c r="AV289" i="2"/>
  <c r="AR289" i="2" s="1"/>
  <c r="AW289" i="2" s="1"/>
  <c r="AE289" i="2" l="1"/>
  <c r="O289" i="2"/>
  <c r="AN290" i="2" s="1"/>
  <c r="AH289" i="2"/>
  <c r="AI290" i="2" s="1"/>
  <c r="S290" i="2"/>
  <c r="AG289" i="2"/>
  <c r="AU289" i="2"/>
  <c r="AS290" i="2" l="1"/>
  <c r="AO290" i="2"/>
  <c r="I290" i="2"/>
  <c r="AT289" i="2"/>
  <c r="AF290" i="2"/>
  <c r="N290" i="2"/>
  <c r="X290" i="2"/>
  <c r="AL289" i="2"/>
  <c r="BA289" i="2" s="1"/>
  <c r="BB290" i="2" l="1"/>
  <c r="AV290" i="2"/>
  <c r="AR290" i="2" s="1"/>
  <c r="AW290" i="2" s="1"/>
  <c r="AK290" i="2"/>
  <c r="Q290" i="2"/>
  <c r="R290" i="2" s="1"/>
  <c r="AH290" i="2" s="1"/>
  <c r="AI291" i="2" s="1"/>
  <c r="AU290" i="2" l="1"/>
  <c r="AG290" i="2"/>
  <c r="O290" i="2"/>
  <c r="N291" i="2" s="1"/>
  <c r="S291" i="2"/>
  <c r="T291" i="2"/>
  <c r="AE290" i="2"/>
  <c r="AF291" i="2" s="1"/>
  <c r="AM291" i="2"/>
  <c r="AO291" i="2" l="1"/>
  <c r="I291" i="2"/>
  <c r="AK291" i="2" s="1"/>
  <c r="AS291" i="2"/>
  <c r="X291" i="2"/>
  <c r="AN291" i="2"/>
  <c r="AL290" i="2"/>
  <c r="BA290" i="2" s="1"/>
  <c r="AT290" i="2"/>
  <c r="Q291" i="2" l="1"/>
  <c r="O291" i="2" s="1"/>
  <c r="AS292" i="2" s="1"/>
  <c r="BB291" i="2"/>
  <c r="AV291" i="2"/>
  <c r="AR291" i="2" s="1"/>
  <c r="AW291" i="2" s="1"/>
  <c r="R291" i="2" l="1"/>
  <c r="AH291" i="2" s="1"/>
  <c r="AM292" i="2" s="1"/>
  <c r="AN292" i="2"/>
  <c r="AO292" i="2"/>
  <c r="N292" i="2"/>
  <c r="I292" i="2"/>
  <c r="X292" i="2"/>
  <c r="AU291" i="2"/>
  <c r="Q292" i="2" l="1"/>
  <c r="O292" i="2" s="1"/>
  <c r="AO293" i="2" s="1"/>
  <c r="AE291" i="2"/>
  <c r="AT291" i="2" s="1"/>
  <c r="BB292" i="2" s="1"/>
  <c r="AG291" i="2"/>
  <c r="S292" i="2"/>
  <c r="AI292" i="2"/>
  <c r="T292" i="2"/>
  <c r="AN293" i="2"/>
  <c r="AS293" i="2"/>
  <c r="X293" i="2" l="1"/>
  <c r="N293" i="2"/>
  <c r="I293" i="2"/>
  <c r="R292" i="2"/>
  <c r="S293" i="2" s="1"/>
  <c r="AV292" i="2"/>
  <c r="AR292" i="2" s="1"/>
  <c r="AW292" i="2" s="1"/>
  <c r="AU292" i="2" s="1"/>
  <c r="AF292" i="2"/>
  <c r="AK292" i="2" s="1"/>
  <c r="AL291" i="2"/>
  <c r="BA291" i="2" s="1"/>
  <c r="Q293" i="2"/>
  <c r="O293" i="2" s="1"/>
  <c r="X294" i="2" s="1"/>
  <c r="AG292" i="2" l="1"/>
  <c r="AH292" i="2"/>
  <c r="T293" i="2"/>
  <c r="R293" i="2" s="1"/>
  <c r="S294" i="2" s="1"/>
  <c r="AE292" i="2"/>
  <c r="AF293" i="2" s="1"/>
  <c r="AN294" i="2"/>
  <c r="AS294" i="2"/>
  <c r="I294" i="2"/>
  <c r="AO294" i="2"/>
  <c r="N294" i="2"/>
  <c r="AI293" i="2" l="1"/>
  <c r="AK293" i="2" s="1"/>
  <c r="AM293" i="2"/>
  <c r="AL292" i="2"/>
  <c r="BA292" i="2" s="1"/>
  <c r="AT292" i="2"/>
  <c r="BB293" i="2" s="1"/>
  <c r="AG293" i="2"/>
  <c r="AE293" i="2"/>
  <c r="AF294" i="2" s="1"/>
  <c r="T294" i="2"/>
  <c r="Q294" i="2"/>
  <c r="O294" i="2" s="1"/>
  <c r="AO295" i="2" s="1"/>
  <c r="AH293" i="2" l="1"/>
  <c r="AI294" i="2" s="1"/>
  <c r="AK294" i="2" s="1"/>
  <c r="AV293" i="2"/>
  <c r="AR293" i="2" s="1"/>
  <c r="AW293" i="2" s="1"/>
  <c r="AU293" i="2" s="1"/>
  <c r="R294" i="2"/>
  <c r="S295" i="2" s="1"/>
  <c r="AS295" i="2"/>
  <c r="N295" i="2"/>
  <c r="AN295" i="2"/>
  <c r="X295" i="2"/>
  <c r="I295" i="2"/>
  <c r="AT293" i="2" l="1"/>
  <c r="BB294" i="2" s="1"/>
  <c r="AL293" i="2"/>
  <c r="BA293" i="2" s="1"/>
  <c r="AG294" i="2"/>
  <c r="AE294" i="2"/>
  <c r="AF295" i="2" s="1"/>
  <c r="AH294" i="2"/>
  <c r="AI295" i="2" s="1"/>
  <c r="T295" i="2"/>
  <c r="Q295" i="2"/>
  <c r="AM295" i="2"/>
  <c r="AV294" i="2" l="1"/>
  <c r="AR294" i="2" s="1"/>
  <c r="AW294" i="2" s="1"/>
  <c r="AU294" i="2" s="1"/>
  <c r="AK295" i="2"/>
  <c r="R295" i="2"/>
  <c r="S296" i="2" s="1"/>
  <c r="AT294" i="2"/>
  <c r="BB295" i="2" s="1"/>
  <c r="AL294" i="2"/>
  <c r="BA294" i="2" s="1"/>
  <c r="O295" i="2"/>
  <c r="AO296" i="2" s="1"/>
  <c r="AH295" i="2" l="1"/>
  <c r="AI296" i="2" s="1"/>
  <c r="T296" i="2"/>
  <c r="AG295" i="2"/>
  <c r="AE295" i="2"/>
  <c r="AF296" i="2" s="1"/>
  <c r="AN296" i="2"/>
  <c r="AV295" i="2"/>
  <c r="AR295" i="2" s="1"/>
  <c r="AW295" i="2" s="1"/>
  <c r="AU295" i="2" s="1"/>
  <c r="I296" i="2"/>
  <c r="N296" i="2"/>
  <c r="AS296" i="2"/>
  <c r="X296" i="2"/>
  <c r="AM296" i="2"/>
  <c r="AT295" i="2" l="1"/>
  <c r="BB296" i="2" s="1"/>
  <c r="AK296" i="2"/>
  <c r="AL295" i="2"/>
  <c r="BA295" i="2" s="1"/>
  <c r="Q296" i="2"/>
  <c r="O296" i="2" s="1"/>
  <c r="AO297" i="2" s="1"/>
  <c r="AV296" i="2" l="1"/>
  <c r="AR296" i="2" s="1"/>
  <c r="AW296" i="2" s="1"/>
  <c r="AU296" i="2" s="1"/>
  <c r="X297" i="2"/>
  <c r="I297" i="2"/>
  <c r="AS297" i="2"/>
  <c r="R296" i="2"/>
  <c r="AH296" i="2" s="1"/>
  <c r="AI297" i="2" s="1"/>
  <c r="N297" i="2"/>
  <c r="AN297" i="2"/>
  <c r="AG296" i="2" l="1"/>
  <c r="S297" i="2"/>
  <c r="Q297" i="2"/>
  <c r="O297" i="2" s="1"/>
  <c r="N298" i="2" s="1"/>
  <c r="T297" i="2"/>
  <c r="AE296" i="2"/>
  <c r="AT296" i="2" s="1"/>
  <c r="BB297" i="2" s="1"/>
  <c r="AN298" i="2"/>
  <c r="AO298" i="2" l="1"/>
  <c r="X298" i="2"/>
  <c r="I298" i="2"/>
  <c r="Q298" i="2" s="1"/>
  <c r="O298" i="2" s="1"/>
  <c r="AS298" i="2"/>
  <c r="R297" i="2"/>
  <c r="S298" i="2" s="1"/>
  <c r="AL296" i="2"/>
  <c r="BA296" i="2" s="1"/>
  <c r="AF297" i="2"/>
  <c r="AK297" i="2" s="1"/>
  <c r="AV297" i="2"/>
  <c r="AR297" i="2" s="1"/>
  <c r="AW297" i="2" s="1"/>
  <c r="AU297" i="2" s="1"/>
  <c r="AG297" i="2" l="1"/>
  <c r="T298" i="2"/>
  <c r="R298" i="2" s="1"/>
  <c r="AH297" i="2"/>
  <c r="AE297" i="2"/>
  <c r="AO299" i="2"/>
  <c r="AN299" i="2"/>
  <c r="X299" i="2"/>
  <c r="AS299" i="2"/>
  <c r="I299" i="2"/>
  <c r="N299" i="2"/>
  <c r="AI298" i="2" l="1"/>
  <c r="AH298" i="2" s="1"/>
  <c r="AI299" i="2" s="1"/>
  <c r="AM298" i="2"/>
  <c r="AL297" i="2"/>
  <c r="BA297" i="2" s="1"/>
  <c r="AT297" i="2"/>
  <c r="BB298" i="2" s="1"/>
  <c r="AF298" i="2"/>
  <c r="T299" i="2"/>
  <c r="AG298" i="2"/>
  <c r="Q299" i="2"/>
  <c r="O299" i="2" s="1"/>
  <c r="S299" i="2"/>
  <c r="AK298" i="2" l="1"/>
  <c r="AE298" i="2"/>
  <c r="AT298" i="2" s="1"/>
  <c r="BB299" i="2" s="1"/>
  <c r="AV298" i="2"/>
  <c r="AR298" i="2" s="1"/>
  <c r="AW298" i="2" s="1"/>
  <c r="AU298" i="2" s="1"/>
  <c r="AO300" i="2"/>
  <c r="AN300" i="2"/>
  <c r="R299" i="2"/>
  <c r="AG299" i="2" s="1"/>
  <c r="AS300" i="2"/>
  <c r="X300" i="2"/>
  <c r="I300" i="2"/>
  <c r="N300" i="2"/>
  <c r="AM299" i="2"/>
  <c r="AL298" i="2" l="1"/>
  <c r="BA298" i="2" s="1"/>
  <c r="AF299" i="2"/>
  <c r="AK299" i="2" s="1"/>
  <c r="AH299" i="2"/>
  <c r="S300" i="2"/>
  <c r="T300" i="2"/>
  <c r="Q300" i="2"/>
  <c r="O300" i="2" s="1"/>
  <c r="AV299" i="2"/>
  <c r="AR299" i="2" s="1"/>
  <c r="AW299" i="2" s="1"/>
  <c r="AM300" i="2" l="1"/>
  <c r="AE299" i="2"/>
  <c r="AF300" i="2" s="1"/>
  <c r="AS301" i="2"/>
  <c r="AN301" i="2"/>
  <c r="R300" i="2"/>
  <c r="I301" i="2"/>
  <c r="AO301" i="2"/>
  <c r="X301" i="2"/>
  <c r="N301" i="2"/>
  <c r="AJ300" i="2" l="1"/>
  <c r="AI300" i="2" s="1"/>
  <c r="AH300" i="2" s="1"/>
  <c r="AI301" i="2" s="1"/>
  <c r="AL299" i="2"/>
  <c r="BA299" i="2" s="1"/>
  <c r="T301" i="2"/>
  <c r="AG300" i="2"/>
  <c r="S301" i="2"/>
  <c r="AE300" i="2"/>
  <c r="Q301" i="2"/>
  <c r="O301" i="2" s="1"/>
  <c r="AK300" i="2" l="1"/>
  <c r="AT299" i="2"/>
  <c r="BB300" i="2" s="1"/>
  <c r="AT300" i="2"/>
  <c r="BB301" i="2" s="1"/>
  <c r="AF301" i="2"/>
  <c r="AK301" i="2" s="1"/>
  <c r="AL300" i="2"/>
  <c r="AS302" i="2"/>
  <c r="AN302" i="2"/>
  <c r="R301" i="2"/>
  <c r="AG301" i="2" s="1"/>
  <c r="AO302" i="2"/>
  <c r="I302" i="2"/>
  <c r="X302" i="2"/>
  <c r="N302" i="2"/>
  <c r="BA300" i="2" l="1"/>
  <c r="AV300" i="2"/>
  <c r="AR300" i="2" s="1"/>
  <c r="AW300" i="2" s="1"/>
  <c r="AU300" i="2" s="1"/>
  <c r="AV301" i="2" s="1"/>
  <c r="AR301" i="2" s="1"/>
  <c r="AW301" i="2" s="1"/>
  <c r="AU301" i="2" s="1"/>
  <c r="S302" i="2"/>
  <c r="AH301" i="2"/>
  <c r="AI302" i="2" s="1"/>
  <c r="T302" i="2"/>
  <c r="AE301" i="2"/>
  <c r="Q302" i="2"/>
  <c r="AT301" i="2" l="1"/>
  <c r="BB302" i="2" s="1"/>
  <c r="AL301" i="2"/>
  <c r="BA301" i="2" s="1"/>
  <c r="R302" i="2"/>
  <c r="AM302" i="2"/>
  <c r="AF302" i="2"/>
  <c r="AK302" i="2" s="1"/>
  <c r="O302" i="2"/>
  <c r="AN303" i="2" l="1"/>
  <c r="S303" i="2"/>
  <c r="AG302" i="2"/>
  <c r="AH302" i="2"/>
  <c r="AI303" i="2" s="1"/>
  <c r="T303" i="2"/>
  <c r="AE302" i="2"/>
  <c r="AV302" i="2"/>
  <c r="AR302" i="2" s="1"/>
  <c r="AW302" i="2" s="1"/>
  <c r="AO303" i="2"/>
  <c r="N303" i="2"/>
  <c r="X303" i="2"/>
  <c r="AS303" i="2"/>
  <c r="I303" i="2"/>
  <c r="AT302" i="2" l="1"/>
  <c r="BB303" i="2" s="1"/>
  <c r="AL302" i="2"/>
  <c r="BA302" i="2" s="1"/>
  <c r="AM303" i="2"/>
  <c r="AU302" i="2"/>
  <c r="Q303" i="2"/>
  <c r="R303" i="2" s="1"/>
  <c r="AF303" i="2"/>
  <c r="AK303" i="2" s="1"/>
  <c r="T304" i="2" l="1"/>
  <c r="AG303" i="2"/>
  <c r="AV303" i="2"/>
  <c r="AR303" i="2" s="1"/>
  <c r="AW303" i="2" s="1"/>
  <c r="AU303" i="2" s="1"/>
  <c r="AE303" i="2"/>
  <c r="S304" i="2"/>
  <c r="AH303" i="2"/>
  <c r="AI304" i="2" s="1"/>
  <c r="O303" i="2"/>
  <c r="AT303" i="2" l="1"/>
  <c r="AF304" i="2"/>
  <c r="AL303" i="2"/>
  <c r="BA303" i="2" s="1"/>
  <c r="AM304" i="2"/>
  <c r="AN304" i="2"/>
  <c r="AO304" i="2"/>
  <c r="AS304" i="2"/>
  <c r="I304" i="2"/>
  <c r="N304" i="2"/>
  <c r="X304" i="2"/>
  <c r="BB304" i="2" l="1"/>
  <c r="Q304" i="2"/>
  <c r="R304" i="2" s="1"/>
  <c r="AG304" i="2" s="1"/>
  <c r="AK304" i="2"/>
  <c r="AV304" i="2"/>
  <c r="AR304" i="2" s="1"/>
  <c r="AW304" i="2" s="1"/>
  <c r="AU304" i="2" l="1"/>
  <c r="O304" i="2"/>
  <c r="AE304" i="2"/>
  <c r="S305" i="2"/>
  <c r="AH304" i="2"/>
  <c r="AI305" i="2" s="1"/>
  <c r="T305" i="2"/>
  <c r="AT304" i="2" l="1"/>
  <c r="AL304" i="2"/>
  <c r="BA304" i="2" s="1"/>
  <c r="AS305" i="2"/>
  <c r="AN305" i="2"/>
  <c r="AO305" i="2"/>
  <c r="X305" i="2"/>
  <c r="N305" i="2"/>
  <c r="I305" i="2"/>
  <c r="AF305" i="2"/>
  <c r="BB305" i="2" l="1"/>
  <c r="AK305" i="2"/>
  <c r="AV305" i="2"/>
  <c r="AR305" i="2" s="1"/>
  <c r="AW305" i="2" s="1"/>
  <c r="Q305" i="2"/>
  <c r="R305" i="2" s="1"/>
  <c r="S306" i="2" l="1"/>
  <c r="AG305" i="2"/>
  <c r="AU305" i="2"/>
  <c r="T306" i="2"/>
  <c r="AH305" i="2"/>
  <c r="AI306" i="2" s="1"/>
  <c r="AE305" i="2"/>
  <c r="O305" i="2"/>
  <c r="AT305" i="2" l="1"/>
  <c r="AL305" i="2"/>
  <c r="BA305" i="2" s="1"/>
  <c r="AM306" i="2"/>
  <c r="AN306" i="2"/>
  <c r="N306" i="2"/>
  <c r="X306" i="2"/>
  <c r="AO306" i="2"/>
  <c r="I306" i="2"/>
  <c r="AS306" i="2"/>
  <c r="AF306" i="2"/>
  <c r="BB306" i="2" l="1"/>
  <c r="Q306" i="2"/>
  <c r="R306" i="2" s="1"/>
  <c r="AK306" i="2"/>
  <c r="AV306" i="2"/>
  <c r="AR306" i="2" s="1"/>
  <c r="AW306" i="2" s="1"/>
  <c r="S307" i="2" l="1"/>
  <c r="AG306" i="2"/>
  <c r="O306" i="2"/>
  <c r="AE306" i="2"/>
  <c r="AH306" i="2"/>
  <c r="AI307" i="2" s="1"/>
  <c r="T307" i="2"/>
  <c r="AU306" i="2"/>
  <c r="N307" i="2" l="1"/>
  <c r="AT306" i="2"/>
  <c r="AF307" i="2"/>
  <c r="AL306" i="2"/>
  <c r="BA306" i="2" s="1"/>
  <c r="AS307" i="2"/>
  <c r="AO307" i="2"/>
  <c r="AN307" i="2"/>
  <c r="X307" i="2"/>
  <c r="I307" i="2"/>
  <c r="AM307" i="2"/>
  <c r="BB307" i="2" l="1"/>
  <c r="AK307" i="2"/>
  <c r="AV307" i="2"/>
  <c r="AR307" i="2" s="1"/>
  <c r="AW307" i="2" s="1"/>
  <c r="Q307" i="2"/>
  <c r="R307" i="2" s="1"/>
  <c r="S308" i="2" l="1"/>
  <c r="AG307" i="2"/>
  <c r="AU307" i="2"/>
  <c r="O307" i="2"/>
  <c r="AH307" i="2"/>
  <c r="AI308" i="2" s="1"/>
  <c r="AE307" i="2"/>
  <c r="T308" i="2"/>
  <c r="AS308" i="2" l="1"/>
  <c r="AT307" i="2"/>
  <c r="AL307" i="2"/>
  <c r="BA307" i="2" s="1"/>
  <c r="I308" i="2"/>
  <c r="AO308" i="2"/>
  <c r="AN308" i="2"/>
  <c r="X308" i="2"/>
  <c r="N308" i="2"/>
  <c r="AM308" i="2"/>
  <c r="AF308" i="2"/>
  <c r="BB308" i="2" l="1"/>
  <c r="AK308" i="2"/>
  <c r="Q308" i="2"/>
  <c r="R308" i="2" s="1"/>
  <c r="AV308" i="2"/>
  <c r="AR308" i="2" s="1"/>
  <c r="AW308" i="2" s="1"/>
  <c r="T309" i="2" l="1"/>
  <c r="AG308" i="2"/>
  <c r="S309" i="2"/>
  <c r="AH308" i="2"/>
  <c r="AI309" i="2" s="1"/>
  <c r="AE308" i="2"/>
  <c r="O308" i="2"/>
  <c r="AU308" i="2"/>
  <c r="AM309" i="2"/>
  <c r="AN309" i="2" l="1"/>
  <c r="AT308" i="2"/>
  <c r="AF309" i="2"/>
  <c r="AL308" i="2"/>
  <c r="BA308" i="2" s="1"/>
  <c r="I309" i="2"/>
  <c r="N309" i="2"/>
  <c r="AS309" i="2"/>
  <c r="X309" i="2"/>
  <c r="AO309" i="2"/>
  <c r="BB309" i="2" l="1"/>
  <c r="AK309" i="2"/>
  <c r="Q309" i="2"/>
  <c r="R309" i="2" s="1"/>
  <c r="AV309" i="2"/>
  <c r="AR309" i="2" s="1"/>
  <c r="AW309" i="2" s="1"/>
  <c r="AU309" i="2" s="1"/>
  <c r="S310" i="2" l="1"/>
  <c r="AG309" i="2"/>
  <c r="AH309" i="2"/>
  <c r="AI310" i="2" s="1"/>
  <c r="O309" i="2"/>
  <c r="AS310" i="2" s="1"/>
  <c r="AE309" i="2"/>
  <c r="T310" i="2"/>
  <c r="AN310" i="2"/>
  <c r="X310" i="2" l="1"/>
  <c r="AT309" i="2"/>
  <c r="BB310" i="2" s="1"/>
  <c r="AO310" i="2"/>
  <c r="AF310" i="2"/>
  <c r="AL309" i="2"/>
  <c r="BA309" i="2" s="1"/>
  <c r="N310" i="2"/>
  <c r="I310" i="2"/>
  <c r="AV310" i="2" l="1"/>
  <c r="AR310" i="2" s="1"/>
  <c r="AW310" i="2" s="1"/>
  <c r="AU310" i="2" s="1"/>
  <c r="AK310" i="2"/>
  <c r="Q310" i="2"/>
  <c r="R310" i="2" s="1"/>
  <c r="AE310" i="2" l="1"/>
  <c r="AF311" i="2" s="1"/>
  <c r="AG310" i="2"/>
  <c r="T311" i="2"/>
  <c r="O310" i="2"/>
  <c r="AH310" i="2"/>
  <c r="AI311" i="2" s="1"/>
  <c r="S311" i="2"/>
  <c r="AM311" i="2"/>
  <c r="AN311" i="2" l="1"/>
  <c r="AT310" i="2"/>
  <c r="AL310" i="2"/>
  <c r="BA310" i="2" s="1"/>
  <c r="N311" i="2"/>
  <c r="I311" i="2"/>
  <c r="X311" i="2"/>
  <c r="AO311" i="2"/>
  <c r="AS311" i="2"/>
  <c r="BB311" i="2" l="1"/>
  <c r="Q311" i="2"/>
  <c r="R311" i="2" s="1"/>
  <c r="AK311" i="2"/>
  <c r="AV311" i="2"/>
  <c r="AR311" i="2" s="1"/>
  <c r="AW311" i="2" s="1"/>
  <c r="AH311" i="2" l="1"/>
  <c r="AG311" i="2"/>
  <c r="S312" i="2"/>
  <c r="O311" i="2"/>
  <c r="T312" i="2"/>
  <c r="AE311" i="2"/>
  <c r="AN312" i="2"/>
  <c r="AS312" i="2"/>
  <c r="X312" i="2" l="1"/>
  <c r="I312" i="2"/>
  <c r="AF312" i="2"/>
  <c r="AL311" i="2"/>
  <c r="BA311" i="2" s="1"/>
  <c r="AO312" i="2"/>
  <c r="N312" i="2"/>
  <c r="AJ312" i="2"/>
  <c r="AI312" i="2" s="1"/>
  <c r="AT311" i="2" l="1"/>
  <c r="BB312" i="2" s="1"/>
  <c r="AK312" i="2"/>
  <c r="Q312" i="2"/>
  <c r="R312" i="2" s="1"/>
  <c r="AH312" i="2" s="1"/>
  <c r="AI313" i="2" s="1"/>
  <c r="O312" i="2" l="1"/>
  <c r="X313" i="2" s="1"/>
  <c r="AV312" i="2"/>
  <c r="AR312" i="2" s="1"/>
  <c r="AW312" i="2" s="1"/>
  <c r="AU312" i="2" s="1"/>
  <c r="AE312" i="2"/>
  <c r="AF313" i="2" s="1"/>
  <c r="T313" i="2"/>
  <c r="AG312" i="2"/>
  <c r="S313" i="2"/>
  <c r="AN313" i="2"/>
  <c r="AS313" i="2" l="1"/>
  <c r="AO313" i="2"/>
  <c r="N313" i="2"/>
  <c r="I313" i="2"/>
  <c r="AK313" i="2" s="1"/>
  <c r="AL312" i="2"/>
  <c r="BA312" i="2" s="1"/>
  <c r="AT312" i="2"/>
  <c r="Q313" i="2"/>
  <c r="BB313" i="2" l="1"/>
  <c r="AV313" i="2"/>
  <c r="AR313" i="2" s="1"/>
  <c r="AW313" i="2" s="1"/>
  <c r="R313" i="2"/>
  <c r="AG313" i="2" s="1"/>
  <c r="O313" i="2"/>
  <c r="AU313" i="2" l="1"/>
  <c r="AN314" i="2"/>
  <c r="I314" i="2"/>
  <c r="N314" i="2"/>
  <c r="X314" i="2"/>
  <c r="AO314" i="2"/>
  <c r="AS314" i="2"/>
  <c r="S314" i="2"/>
  <c r="AH313" i="2"/>
  <c r="AI314" i="2" s="1"/>
  <c r="AE313" i="2"/>
  <c r="T314" i="2"/>
  <c r="AT313" i="2" l="1"/>
  <c r="BB314" i="2" s="1"/>
  <c r="AL313" i="2"/>
  <c r="BA313" i="2" s="1"/>
  <c r="Q314" i="2"/>
  <c r="AF314" i="2"/>
  <c r="AK314" i="2" s="1"/>
  <c r="AV314" i="2" l="1"/>
  <c r="AR314" i="2" s="1"/>
  <c r="AW314" i="2" s="1"/>
  <c r="O314" i="2"/>
  <c r="R314" i="2"/>
  <c r="AG314" i="2" s="1"/>
  <c r="AU314" i="2" l="1"/>
  <c r="AE314" i="2"/>
  <c r="T315" i="2"/>
  <c r="AH314" i="2"/>
  <c r="AI315" i="2" s="1"/>
  <c r="S315" i="2"/>
  <c r="AS315" i="2"/>
  <c r="AO315" i="2"/>
  <c r="AN315" i="2"/>
  <c r="I315" i="2"/>
  <c r="X315" i="2"/>
  <c r="N315" i="2"/>
  <c r="AM315" i="2" l="1"/>
  <c r="AT314" i="2"/>
  <c r="BB315" i="2" s="1"/>
  <c r="AL314" i="2"/>
  <c r="BA314" i="2" s="1"/>
  <c r="Q315" i="2"/>
  <c r="O315" i="2" s="1"/>
  <c r="AF315" i="2"/>
  <c r="AK315" i="2" s="1"/>
  <c r="R315" i="2" l="1"/>
  <c r="AG315" i="2" s="1"/>
  <c r="AV315" i="2"/>
  <c r="AR315" i="2" s="1"/>
  <c r="AW315" i="2" s="1"/>
  <c r="AN316" i="2"/>
  <c r="AS316" i="2"/>
  <c r="X316" i="2"/>
  <c r="N316" i="2"/>
  <c r="AO316" i="2"/>
  <c r="I316" i="2"/>
  <c r="Q316" i="2" l="1"/>
  <c r="O316" i="2" s="1"/>
  <c r="AH315" i="2"/>
  <c r="S316" i="2"/>
  <c r="T316" i="2"/>
  <c r="AE315" i="2"/>
  <c r="AU315" i="2"/>
  <c r="AT315" i="2" l="1"/>
  <c r="BB316" i="2" s="1"/>
  <c r="AF316" i="2"/>
  <c r="AL315" i="2"/>
  <c r="BA315" i="2" s="1"/>
  <c r="AI316" i="2"/>
  <c r="AM316" i="2"/>
  <c r="R316" i="2"/>
  <c r="AG316" i="2" s="1"/>
  <c r="AN317" i="2"/>
  <c r="AO317" i="2"/>
  <c r="N317" i="2"/>
  <c r="AS317" i="2"/>
  <c r="I317" i="2"/>
  <c r="X317" i="2"/>
  <c r="AK316" i="2" l="1"/>
  <c r="AH316" i="2"/>
  <c r="AI317" i="2" s="1"/>
  <c r="AM317" i="2"/>
  <c r="AE316" i="2"/>
  <c r="Q317" i="2"/>
  <c r="O317" i="2" s="1"/>
  <c r="T317" i="2"/>
  <c r="S317" i="2"/>
  <c r="AV316" i="2"/>
  <c r="AR316" i="2" s="1"/>
  <c r="AW316" i="2" s="1"/>
  <c r="AU316" i="2" s="1"/>
  <c r="AT316" i="2" l="1"/>
  <c r="BB317" i="2" s="1"/>
  <c r="AF317" i="2"/>
  <c r="AK317" i="2" s="1"/>
  <c r="AL316" i="2"/>
  <c r="BA316" i="2" s="1"/>
  <c r="R317" i="2"/>
  <c r="AG317" i="2" s="1"/>
  <c r="AN318" i="2"/>
  <c r="I318" i="2"/>
  <c r="AO318" i="2"/>
  <c r="N318" i="2"/>
  <c r="X318" i="2"/>
  <c r="AS318" i="2"/>
  <c r="AV317" i="2" l="1"/>
  <c r="AR317" i="2" s="1"/>
  <c r="AW317" i="2" s="1"/>
  <c r="AU317" i="2" s="1"/>
  <c r="S318" i="2"/>
  <c r="T318" i="2"/>
  <c r="AE317" i="2"/>
  <c r="AH317" i="2"/>
  <c r="AI318" i="2" s="1"/>
  <c r="Q318" i="2"/>
  <c r="AT317" i="2" l="1"/>
  <c r="BB318" i="2" s="1"/>
  <c r="AF318" i="2"/>
  <c r="AK318" i="2" s="1"/>
  <c r="AL317" i="2"/>
  <c r="BA317" i="2" s="1"/>
  <c r="R318" i="2"/>
  <c r="AG318" i="2" s="1"/>
  <c r="O318" i="2"/>
  <c r="AV318" i="2" l="1"/>
  <c r="AR318" i="2" s="1"/>
  <c r="AW318" i="2" s="1"/>
  <c r="AU318" i="2" s="1"/>
  <c r="N319" i="2"/>
  <c r="AO319" i="2"/>
  <c r="I319" i="2"/>
  <c r="AN319" i="2"/>
  <c r="X319" i="2"/>
  <c r="AS319" i="2"/>
  <c r="S319" i="2"/>
  <c r="T319" i="2"/>
  <c r="AH318" i="2"/>
  <c r="AI319" i="2" s="1"/>
  <c r="AE318" i="2"/>
  <c r="AM319" i="2" l="1"/>
  <c r="AT318" i="2"/>
  <c r="BB319" i="2" s="1"/>
  <c r="AL318" i="2"/>
  <c r="BA318" i="2" s="1"/>
  <c r="Q319" i="2"/>
  <c r="R319" i="2" s="1"/>
  <c r="AG319" i="2" s="1"/>
  <c r="AF319" i="2"/>
  <c r="O319" i="2" l="1"/>
  <c r="S320" i="2"/>
  <c r="AH319" i="2"/>
  <c r="AI320" i="2" s="1"/>
  <c r="T320" i="2"/>
  <c r="AE319" i="2"/>
  <c r="AK319" i="2"/>
  <c r="AV319" i="2"/>
  <c r="AR319" i="2" s="1"/>
  <c r="AW319" i="2" s="1"/>
  <c r="AM320" i="2" l="1"/>
  <c r="AN320" i="2"/>
  <c r="AT319" i="2"/>
  <c r="AF320" i="2"/>
  <c r="AL319" i="2"/>
  <c r="BA319" i="2" s="1"/>
  <c r="AO320" i="2"/>
  <c r="AS320" i="2"/>
  <c r="N320" i="2"/>
  <c r="I320" i="2"/>
  <c r="X320" i="2"/>
  <c r="AU319" i="2"/>
  <c r="BB320" i="2" l="1"/>
  <c r="Q320" i="2"/>
  <c r="R320" i="2" s="1"/>
  <c r="AK320" i="2"/>
  <c r="AV320" i="2"/>
  <c r="AR320" i="2" s="1"/>
  <c r="AW320" i="2" s="1"/>
  <c r="AU320" i="2" l="1"/>
  <c r="T321" i="2"/>
  <c r="AG320" i="2"/>
  <c r="O320" i="2"/>
  <c r="AH320" i="2"/>
  <c r="AI321" i="2" s="1"/>
  <c r="AE320" i="2"/>
  <c r="S321" i="2"/>
  <c r="AT320" i="2" l="1"/>
  <c r="AF321" i="2"/>
  <c r="AL320" i="2"/>
  <c r="BA320" i="2" s="1"/>
  <c r="AO321" i="2"/>
  <c r="AM321" i="2"/>
  <c r="X321" i="2"/>
  <c r="I321" i="2"/>
  <c r="AS321" i="2"/>
  <c r="N321" i="2"/>
  <c r="AN321" i="2"/>
  <c r="BB321" i="2" l="1"/>
  <c r="AK321" i="2"/>
  <c r="Q321" i="2"/>
  <c r="R321" i="2" s="1"/>
  <c r="AV321" i="2"/>
  <c r="AR321" i="2" s="1"/>
  <c r="AW321" i="2" s="1"/>
  <c r="O321" i="2" l="1"/>
  <c r="AN322" i="2" s="1"/>
  <c r="T322" i="2"/>
  <c r="AG321" i="2"/>
  <c r="AH321" i="2"/>
  <c r="AI322" i="2" s="1"/>
  <c r="AE321" i="2"/>
  <c r="S322" i="2"/>
  <c r="AU321" i="2"/>
  <c r="X322" i="2" l="1"/>
  <c r="I322" i="2"/>
  <c r="AT321" i="2"/>
  <c r="N322" i="2"/>
  <c r="AO322" i="2"/>
  <c r="AS322" i="2"/>
  <c r="AF322" i="2"/>
  <c r="AL321" i="2"/>
  <c r="BA321" i="2" s="1"/>
  <c r="Q322" i="2" l="1"/>
  <c r="R322" i="2" s="1"/>
  <c r="S323" i="2" s="1"/>
  <c r="AK322" i="2"/>
  <c r="AV322" i="2"/>
  <c r="AR322" i="2" s="1"/>
  <c r="AW322" i="2" s="1"/>
  <c r="BB322" i="2"/>
  <c r="AU322" i="2" l="1"/>
  <c r="O322" i="2"/>
  <c r="AE322" i="2"/>
  <c r="AF323" i="2" s="1"/>
  <c r="AG322" i="2"/>
  <c r="T323" i="2"/>
  <c r="AH322" i="2"/>
  <c r="AI323" i="2" s="1"/>
  <c r="AN323" i="2" l="1"/>
  <c r="AM323" i="2"/>
  <c r="AO323" i="2"/>
  <c r="I323" i="2"/>
  <c r="AK323" i="2" s="1"/>
  <c r="N323" i="2"/>
  <c r="X323" i="2"/>
  <c r="AS323" i="2"/>
  <c r="AL322" i="2"/>
  <c r="BA322" i="2" s="1"/>
  <c r="AT322" i="2"/>
  <c r="BB323" i="2" l="1"/>
  <c r="Q323" i="2"/>
  <c r="R323" i="2" s="1"/>
  <c r="S324" i="2" s="1"/>
  <c r="AV323" i="2"/>
  <c r="AR323" i="2" s="1"/>
  <c r="AW323" i="2" s="1"/>
  <c r="O323" i="2" l="1"/>
  <c r="AO324" i="2" s="1"/>
  <c r="AH323" i="2"/>
  <c r="AE323" i="2"/>
  <c r="AF324" i="2" s="1"/>
  <c r="T324" i="2"/>
  <c r="AG323" i="2"/>
  <c r="AN324" i="2"/>
  <c r="AJ324" i="2" l="1"/>
  <c r="AI324" i="2" s="1"/>
  <c r="X324" i="2"/>
  <c r="I324" i="2"/>
  <c r="AL323" i="2"/>
  <c r="BA323" i="2" s="1"/>
  <c r="N324" i="2"/>
  <c r="AS324" i="2"/>
  <c r="AT323" i="2" l="1"/>
  <c r="BB324" i="2" s="1"/>
  <c r="AK324" i="2"/>
  <c r="Q324" i="2"/>
  <c r="R324" i="2" s="1"/>
  <c r="T325" i="2" s="1"/>
  <c r="AV324" i="2" l="1"/>
  <c r="AR324" i="2" s="1"/>
  <c r="AW324" i="2" s="1"/>
  <c r="AU324" i="2" s="1"/>
  <c r="AE324" i="2"/>
  <c r="AF325" i="2" s="1"/>
  <c r="AH324" i="2"/>
  <c r="AI325" i="2" s="1"/>
  <c r="AG324" i="2"/>
  <c r="O324" i="2"/>
  <c r="AS325" i="2" s="1"/>
  <c r="S325" i="2"/>
  <c r="AN325" i="2"/>
  <c r="I325" i="2" l="1"/>
  <c r="AK325" i="2" s="1"/>
  <c r="N325" i="2"/>
  <c r="AT324" i="2"/>
  <c r="AV325" i="2" s="1"/>
  <c r="AR325" i="2" s="1"/>
  <c r="AL324" i="2"/>
  <c r="BA324" i="2" s="1"/>
  <c r="X325" i="2"/>
  <c r="AO325" i="2"/>
  <c r="Q325" i="2" l="1"/>
  <c r="O325" i="2" s="1"/>
  <c r="N326" i="2" s="1"/>
  <c r="AW325" i="2"/>
  <c r="BB325" i="2"/>
  <c r="I326" i="2" l="1"/>
  <c r="Q326" i="2" s="1"/>
  <c r="X326" i="2"/>
  <c r="AO326" i="2"/>
  <c r="R325" i="2"/>
  <c r="AS326" i="2"/>
  <c r="AN326" i="2"/>
  <c r="AU325" i="2"/>
  <c r="AG325" i="2"/>
  <c r="AH325" i="2" l="1"/>
  <c r="AI326" i="2" s="1"/>
  <c r="AM326" i="2"/>
  <c r="T326" i="2"/>
  <c r="O326" i="2"/>
  <c r="N327" i="2" s="1"/>
  <c r="S326" i="2"/>
  <c r="AE325" i="2"/>
  <c r="AT325" i="2" l="1"/>
  <c r="BB326" i="2" s="1"/>
  <c r="AS327" i="2"/>
  <c r="AO327" i="2"/>
  <c r="I327" i="2"/>
  <c r="Q327" i="2" s="1"/>
  <c r="R326" i="2"/>
  <c r="S327" i="2" s="1"/>
  <c r="AL325" i="2"/>
  <c r="BA325" i="2" s="1"/>
  <c r="X327" i="2"/>
  <c r="AN327" i="2"/>
  <c r="AF326" i="2"/>
  <c r="AK326" i="2" s="1"/>
  <c r="AV326" i="2" l="1"/>
  <c r="AR326" i="2" s="1"/>
  <c r="AW326" i="2" s="1"/>
  <c r="AU326" i="2" s="1"/>
  <c r="O327" i="2"/>
  <c r="I328" i="2" s="1"/>
  <c r="AG326" i="2"/>
  <c r="AH326" i="2"/>
  <c r="AI327" i="2" s="1"/>
  <c r="T327" i="2"/>
  <c r="R327" i="2" s="1"/>
  <c r="T328" i="2" s="1"/>
  <c r="AE326" i="2"/>
  <c r="AN328" i="2" l="1"/>
  <c r="AS328" i="2"/>
  <c r="X328" i="2"/>
  <c r="AO328" i="2"/>
  <c r="N328" i="2"/>
  <c r="Q328" i="2" s="1"/>
  <c r="AM327" i="2"/>
  <c r="S328" i="2"/>
  <c r="AH327" i="2"/>
  <c r="AI328" i="2" s="1"/>
  <c r="AT326" i="2"/>
  <c r="BB327" i="2" s="1"/>
  <c r="AG327" i="2"/>
  <c r="AF327" i="2"/>
  <c r="AK327" i="2" s="1"/>
  <c r="AL326" i="2"/>
  <c r="BA326" i="2" s="1"/>
  <c r="R328" i="2" l="1"/>
  <c r="AG328" i="2" s="1"/>
  <c r="O328" i="2"/>
  <c r="AN329" i="2" s="1"/>
  <c r="AM328" i="2"/>
  <c r="AV327" i="2"/>
  <c r="AR327" i="2" s="1"/>
  <c r="AW327" i="2" s="1"/>
  <c r="AU327" i="2" s="1"/>
  <c r="AE327" i="2"/>
  <c r="AF328" i="2" s="1"/>
  <c r="AK328" i="2" s="1"/>
  <c r="AH328" i="2" l="1"/>
  <c r="AI329" i="2" s="1"/>
  <c r="S329" i="2"/>
  <c r="T329" i="2"/>
  <c r="I329" i="2"/>
  <c r="AO329" i="2"/>
  <c r="N329" i="2"/>
  <c r="AS329" i="2"/>
  <c r="X329" i="2"/>
  <c r="AT327" i="2"/>
  <c r="AV328" i="2" s="1"/>
  <c r="AR328" i="2" s="1"/>
  <c r="AW328" i="2" s="1"/>
  <c r="AL327" i="2"/>
  <c r="BA327" i="2" s="1"/>
  <c r="AE328" i="2"/>
  <c r="AF329" i="2" s="1"/>
  <c r="Q329" i="2" l="1"/>
  <c r="R329" i="2" s="1"/>
  <c r="T330" i="2" s="1"/>
  <c r="AK329" i="2"/>
  <c r="BB328" i="2"/>
  <c r="AU328" i="2" s="1"/>
  <c r="AL328" i="2"/>
  <c r="BA328" i="2" s="1"/>
  <c r="AT328" i="2"/>
  <c r="BB329" i="2" s="1"/>
  <c r="AH329" i="2" l="1"/>
  <c r="AI330" i="2" s="1"/>
  <c r="AE329" i="2"/>
  <c r="AF330" i="2" s="1"/>
  <c r="O329" i="2"/>
  <c r="N330" i="2" s="1"/>
  <c r="S330" i="2"/>
  <c r="AG329" i="2"/>
  <c r="AN330" i="2"/>
  <c r="AV329" i="2"/>
  <c r="AR329" i="2" s="1"/>
  <c r="AW329" i="2" s="1"/>
  <c r="AU329" i="2" s="1"/>
  <c r="AO330" i="2"/>
  <c r="AS330" i="2" l="1"/>
  <c r="I330" i="2"/>
  <c r="AK330" i="2" s="1"/>
  <c r="X330" i="2"/>
  <c r="AL329" i="2"/>
  <c r="BA329" i="2" s="1"/>
  <c r="AT329" i="2"/>
  <c r="Q330" i="2" l="1"/>
  <c r="R330" i="2" s="1"/>
  <c r="T331" i="2" s="1"/>
  <c r="BB330" i="2"/>
  <c r="AV330" i="2"/>
  <c r="AR330" i="2" s="1"/>
  <c r="AW330" i="2" s="1"/>
  <c r="AG330" i="2" l="1"/>
  <c r="AH330" i="2"/>
  <c r="AI331" i="2" s="1"/>
  <c r="S331" i="2"/>
  <c r="O330" i="2"/>
  <c r="AE330" i="2"/>
  <c r="AF331" i="2" s="1"/>
  <c r="AN331" i="2"/>
  <c r="AU330" i="2"/>
  <c r="X331" i="2"/>
  <c r="AS331" i="2" l="1"/>
  <c r="AM331" i="2"/>
  <c r="I331" i="2"/>
  <c r="AK331" i="2" s="1"/>
  <c r="AO331" i="2"/>
  <c r="N331" i="2"/>
  <c r="AL330" i="2"/>
  <c r="BA330" i="2" s="1"/>
  <c r="AT330" i="2"/>
  <c r="BB331" i="2" l="1"/>
  <c r="Q331" i="2"/>
  <c r="R331" i="2" s="1"/>
  <c r="S332" i="2" s="1"/>
  <c r="AV331" i="2"/>
  <c r="AR331" i="2" s="1"/>
  <c r="AW331" i="2" s="1"/>
  <c r="AU331" i="2" s="1"/>
  <c r="AG331" i="2" l="1"/>
  <c r="O331" i="2"/>
  <c r="I332" i="2" s="1"/>
  <c r="T332" i="2"/>
  <c r="AH331" i="2"/>
  <c r="AI332" i="2" s="1"/>
  <c r="AE331" i="2"/>
  <c r="X332" i="2" l="1"/>
  <c r="N332" i="2"/>
  <c r="Q332" i="2" s="1"/>
  <c r="R332" i="2" s="1"/>
  <c r="S333" i="2" s="1"/>
  <c r="AO332" i="2"/>
  <c r="AS332" i="2"/>
  <c r="AN332" i="2"/>
  <c r="AL331" i="2"/>
  <c r="BA331" i="2" s="1"/>
  <c r="AF332" i="2"/>
  <c r="AK332" i="2" s="1"/>
  <c r="AT331" i="2"/>
  <c r="AE332" i="2" l="1"/>
  <c r="AF333" i="2" s="1"/>
  <c r="AG332" i="2"/>
  <c r="T333" i="2"/>
  <c r="AH332" i="2"/>
  <c r="AI333" i="2" s="1"/>
  <c r="O332" i="2"/>
  <c r="AV332" i="2"/>
  <c r="AR332" i="2" s="1"/>
  <c r="AW332" i="2" s="1"/>
  <c r="BB332" i="2"/>
  <c r="AN333" i="2"/>
  <c r="I333" i="2" l="1"/>
  <c r="AK333" i="2" s="1"/>
  <c r="AM333" i="2"/>
  <c r="AS333" i="2"/>
  <c r="AT332" i="2"/>
  <c r="N333" i="2"/>
  <c r="AO333" i="2"/>
  <c r="X333" i="2"/>
  <c r="AL332" i="2"/>
  <c r="BA332" i="2" s="1"/>
  <c r="AU332" i="2"/>
  <c r="Q333" i="2" l="1"/>
  <c r="O333" i="2" s="1"/>
  <c r="AO334" i="2" s="1"/>
  <c r="AV333" i="2"/>
  <c r="AR333" i="2" s="1"/>
  <c r="AW333" i="2" s="1"/>
  <c r="BB333" i="2"/>
  <c r="AS334" i="2"/>
  <c r="R333" i="2"/>
  <c r="AN334" i="2" l="1"/>
  <c r="I334" i="2"/>
  <c r="X334" i="2"/>
  <c r="N334" i="2"/>
  <c r="AU333" i="2"/>
  <c r="S334" i="2"/>
  <c r="AG333" i="2"/>
  <c r="Q334" i="2"/>
  <c r="O334" i="2" s="1"/>
  <c r="AH333" i="2"/>
  <c r="AI334" i="2" s="1"/>
  <c r="T334" i="2"/>
  <c r="AE333" i="2"/>
  <c r="AT333" i="2" l="1"/>
  <c r="BB334" i="2" s="1"/>
  <c r="AN335" i="2"/>
  <c r="AF334" i="2"/>
  <c r="AK334" i="2" s="1"/>
  <c r="AL333" i="2"/>
  <c r="BA333" i="2" s="1"/>
  <c r="AS335" i="2"/>
  <c r="AO335" i="2"/>
  <c r="X335" i="2"/>
  <c r="I335" i="2"/>
  <c r="R334" i="2"/>
  <c r="N335" i="2"/>
  <c r="AV334" i="2" l="1"/>
  <c r="AR334" i="2" s="1"/>
  <c r="AW334" i="2" s="1"/>
  <c r="AU334" i="2" s="1"/>
  <c r="S335" i="2"/>
  <c r="AG334" i="2"/>
  <c r="T335" i="2"/>
  <c r="AH334" i="2"/>
  <c r="AM335" i="2" s="1"/>
  <c r="Q335" i="2"/>
  <c r="O335" i="2" s="1"/>
  <c r="AE334" i="2"/>
  <c r="AT334" i="2" l="1"/>
  <c r="BB335" i="2" s="1"/>
  <c r="AF335" i="2"/>
  <c r="AL334" i="2"/>
  <c r="BA334" i="2" s="1"/>
  <c r="X336" i="2"/>
  <c r="AN336" i="2"/>
  <c r="AO336" i="2"/>
  <c r="N336" i="2"/>
  <c r="AS336" i="2"/>
  <c r="R335" i="2"/>
  <c r="AI335" i="2"/>
  <c r="I336" i="2"/>
  <c r="AH335" i="2" l="1"/>
  <c r="AM336" i="2" s="1"/>
  <c r="T336" i="2"/>
  <c r="AG335" i="2"/>
  <c r="Q336" i="2"/>
  <c r="O336" i="2" s="1"/>
  <c r="AE335" i="2"/>
  <c r="S336" i="2"/>
  <c r="AK335" i="2"/>
  <c r="AV335" i="2"/>
  <c r="AR335" i="2" s="1"/>
  <c r="AW335" i="2" s="1"/>
  <c r="R336" i="2" l="1"/>
  <c r="AG336" i="2" s="1"/>
  <c r="I337" i="2"/>
  <c r="AS337" i="2"/>
  <c r="AO337" i="2"/>
  <c r="AN337" i="2"/>
  <c r="N337" i="2"/>
  <c r="AF336" i="2"/>
  <c r="AL335" i="2"/>
  <c r="BA335" i="2" s="1"/>
  <c r="X337" i="2"/>
  <c r="AJ336" i="2"/>
  <c r="AI336" i="2" s="1"/>
  <c r="AE336" i="2" l="1"/>
  <c r="AF337" i="2" s="1"/>
  <c r="S337" i="2"/>
  <c r="T337" i="2"/>
  <c r="AT335" i="2"/>
  <c r="BB336" i="2" s="1"/>
  <c r="AK336" i="2"/>
  <c r="Q337" i="2"/>
  <c r="O337" i="2" s="1"/>
  <c r="AH336" i="2"/>
  <c r="AI337" i="2" s="1"/>
  <c r="AN338" i="2" l="1"/>
  <c r="N338" i="2"/>
  <c r="X338" i="2"/>
  <c r="I338" i="2"/>
  <c r="R337" i="2"/>
  <c r="AO338" i="2"/>
  <c r="AS338" i="2"/>
  <c r="AT336" i="2"/>
  <c r="BB337" i="2" s="1"/>
  <c r="AL336" i="2"/>
  <c r="BA336" i="2" s="1"/>
  <c r="AV336" i="2"/>
  <c r="AR336" i="2" s="1"/>
  <c r="AW336" i="2" s="1"/>
  <c r="AU336" i="2" s="1"/>
  <c r="AK337" i="2"/>
  <c r="Q338" i="2" l="1"/>
  <c r="O338" i="2" s="1"/>
  <c r="T338" i="2"/>
  <c r="AG337" i="2"/>
  <c r="S338" i="2"/>
  <c r="AE337" i="2"/>
  <c r="AH337" i="2"/>
  <c r="AI338" i="2" s="1"/>
  <c r="AV337" i="2"/>
  <c r="AR337" i="2" s="1"/>
  <c r="AW337" i="2" s="1"/>
  <c r="AU337" i="2" s="1"/>
  <c r="AT337" i="2" l="1"/>
  <c r="BB338" i="2" s="1"/>
  <c r="AF338" i="2"/>
  <c r="AK338" i="2" s="1"/>
  <c r="AL337" i="2"/>
  <c r="BA337" i="2" s="1"/>
  <c r="AN339" i="2"/>
  <c r="R338" i="2"/>
  <c r="AG338" i="2" s="1"/>
  <c r="N339" i="2"/>
  <c r="AO339" i="2"/>
  <c r="I339" i="2"/>
  <c r="X339" i="2"/>
  <c r="AS339" i="2"/>
  <c r="AE338" i="2" l="1"/>
  <c r="AF339" i="2" s="1"/>
  <c r="AH338" i="2"/>
  <c r="AI339" i="2" s="1"/>
  <c r="AV338" i="2"/>
  <c r="AR338" i="2" s="1"/>
  <c r="AW338" i="2" s="1"/>
  <c r="AU338" i="2" s="1"/>
  <c r="S339" i="2"/>
  <c r="T339" i="2"/>
  <c r="AM339" i="2"/>
  <c r="Q339" i="2"/>
  <c r="AL338" i="2" l="1"/>
  <c r="BA338" i="2" s="1"/>
  <c r="AT338" i="2"/>
  <c r="BB339" i="2" s="1"/>
  <c r="R339" i="2"/>
  <c r="AG339" i="2" s="1"/>
  <c r="AK339" i="2"/>
  <c r="O339" i="2"/>
  <c r="AH339" i="2" l="1"/>
  <c r="AI340" i="2" s="1"/>
  <c r="T340" i="2"/>
  <c r="AE339" i="2"/>
  <c r="AF340" i="2" s="1"/>
  <c r="S340" i="2"/>
  <c r="AV339" i="2"/>
  <c r="AR339" i="2" s="1"/>
  <c r="AW339" i="2" s="1"/>
  <c r="AU339" i="2" s="1"/>
  <c r="AN340" i="2"/>
  <c r="AM340" i="2"/>
  <c r="AO340" i="2"/>
  <c r="AS340" i="2"/>
  <c r="X340" i="2"/>
  <c r="N340" i="2"/>
  <c r="I340" i="2"/>
  <c r="AL339" i="2" l="1"/>
  <c r="BA339" i="2" s="1"/>
  <c r="AT339" i="2"/>
  <c r="BB340" i="2" s="1"/>
  <c r="Q340" i="2"/>
  <c r="AK340" i="2"/>
  <c r="AV340" i="2" l="1"/>
  <c r="AR340" i="2" s="1"/>
  <c r="AW340" i="2" s="1"/>
  <c r="AU340" i="2" s="1"/>
  <c r="R340" i="2"/>
  <c r="AG340" i="2" s="1"/>
  <c r="O340" i="2"/>
  <c r="AN341" i="2" l="1"/>
  <c r="AO341" i="2"/>
  <c r="X341" i="2"/>
  <c r="AS341" i="2"/>
  <c r="N341" i="2"/>
  <c r="I341" i="2"/>
  <c r="AH340" i="2"/>
  <c r="AI341" i="2" s="1"/>
  <c r="T341" i="2"/>
  <c r="S341" i="2"/>
  <c r="AE340" i="2"/>
  <c r="AT340" i="2" l="1"/>
  <c r="BB341" i="2" s="1"/>
  <c r="AL340" i="2"/>
  <c r="BA340" i="2" s="1"/>
  <c r="Q341" i="2"/>
  <c r="O341" i="2" s="1"/>
  <c r="AF341" i="2"/>
  <c r="AK341" i="2" s="1"/>
  <c r="AS342" i="2" l="1"/>
  <c r="AN342" i="2"/>
  <c r="R341" i="2"/>
  <c r="I342" i="2"/>
  <c r="X342" i="2"/>
  <c r="AO342" i="2"/>
  <c r="AV341" i="2"/>
  <c r="AR341" i="2" s="1"/>
  <c r="AW341" i="2" s="1"/>
  <c r="N342" i="2"/>
  <c r="S342" i="2" l="1"/>
  <c r="AG341" i="2"/>
  <c r="AE341" i="2"/>
  <c r="AH341" i="2"/>
  <c r="AI342" i="2" s="1"/>
  <c r="T342" i="2"/>
  <c r="AU341" i="2"/>
  <c r="Q342" i="2"/>
  <c r="R342" i="2" l="1"/>
  <c r="AG342" i="2" s="1"/>
  <c r="AT341" i="2"/>
  <c r="BB342" i="2" s="1"/>
  <c r="AF342" i="2"/>
  <c r="AK342" i="2" s="1"/>
  <c r="AL341" i="2"/>
  <c r="BA341" i="2" s="1"/>
  <c r="O342" i="2"/>
  <c r="AH342" i="2" l="1"/>
  <c r="AI343" i="2" s="1"/>
  <c r="S343" i="2"/>
  <c r="T343" i="2"/>
  <c r="AE342" i="2"/>
  <c r="AN343" i="2"/>
  <c r="AV342" i="2"/>
  <c r="AR342" i="2" s="1"/>
  <c r="AW342" i="2" s="1"/>
  <c r="AU342" i="2" s="1"/>
  <c r="X343" i="2"/>
  <c r="AM343" i="2"/>
  <c r="I343" i="2"/>
  <c r="N343" i="2"/>
  <c r="AO343" i="2"/>
  <c r="AS343" i="2"/>
  <c r="AL342" i="2" l="1"/>
  <c r="BA342" i="2" s="1"/>
  <c r="AF343" i="2"/>
  <c r="AK343" i="2" s="1"/>
  <c r="AT342" i="2"/>
  <c r="BB343" i="2" s="1"/>
  <c r="Q343" i="2"/>
  <c r="R343" i="2" s="1"/>
  <c r="AG343" i="2" s="1"/>
  <c r="AV343" i="2" l="1"/>
  <c r="AR343" i="2" s="1"/>
  <c r="AW343" i="2" s="1"/>
  <c r="AU343" i="2" s="1"/>
  <c r="AE343" i="2"/>
  <c r="O343" i="2"/>
  <c r="T344" i="2"/>
  <c r="S344" i="2"/>
  <c r="AH343" i="2"/>
  <c r="AI344" i="2" s="1"/>
  <c r="AT343" i="2" l="1"/>
  <c r="AF344" i="2"/>
  <c r="AL343" i="2"/>
  <c r="BA343" i="2" s="1"/>
  <c r="N344" i="2"/>
  <c r="AN344" i="2"/>
  <c r="AS344" i="2"/>
  <c r="I344" i="2"/>
  <c r="AO344" i="2"/>
  <c r="X344" i="2"/>
  <c r="BB344" i="2" l="1"/>
  <c r="Q344" i="2"/>
  <c r="R344" i="2" s="1"/>
  <c r="AK344" i="2"/>
  <c r="AV344" i="2"/>
  <c r="AR344" i="2" s="1"/>
  <c r="AW344" i="2" s="1"/>
  <c r="AH344" i="2" l="1"/>
  <c r="AI345" i="2" s="1"/>
  <c r="AG344" i="2"/>
  <c r="S345" i="2"/>
  <c r="AE344" i="2"/>
  <c r="T345" i="2"/>
  <c r="O344" i="2"/>
  <c r="AU344" i="2"/>
  <c r="AN345" i="2" l="1"/>
  <c r="AT344" i="2"/>
  <c r="AL344" i="2"/>
  <c r="BA344" i="2" s="1"/>
  <c r="AM345" i="2"/>
  <c r="AS345" i="2"/>
  <c r="AF345" i="2"/>
  <c r="I345" i="2"/>
  <c r="AO345" i="2"/>
  <c r="N345" i="2"/>
  <c r="X345" i="2"/>
  <c r="BB345" i="2" l="1"/>
  <c r="AV345" i="2"/>
  <c r="AR345" i="2" s="1"/>
  <c r="AW345" i="2" s="1"/>
  <c r="Q345" i="2"/>
  <c r="R345" i="2" s="1"/>
  <c r="AK345" i="2"/>
  <c r="S346" i="2" l="1"/>
  <c r="AG345" i="2"/>
  <c r="AE345" i="2"/>
  <c r="O345" i="2"/>
  <c r="AN346" i="2" s="1"/>
  <c r="AH345" i="2"/>
  <c r="AI346" i="2" s="1"/>
  <c r="T346" i="2"/>
  <c r="AU345" i="2"/>
  <c r="AS346" i="2"/>
  <c r="X346" i="2" l="1"/>
  <c r="AT345" i="2"/>
  <c r="BB346" i="2" s="1"/>
  <c r="AF346" i="2"/>
  <c r="AL345" i="2"/>
  <c r="BA345" i="2" s="1"/>
  <c r="AO346" i="2"/>
  <c r="I346" i="2"/>
  <c r="N346" i="2"/>
  <c r="AK346" i="2" l="1"/>
  <c r="Q346" i="2"/>
  <c r="R346" i="2" s="1"/>
  <c r="AV346" i="2"/>
  <c r="AR346" i="2" s="1"/>
  <c r="AW346" i="2" s="1"/>
  <c r="AU346" i="2" s="1"/>
  <c r="S347" i="2" l="1"/>
  <c r="AG346" i="2"/>
  <c r="T347" i="2"/>
  <c r="AE346" i="2"/>
  <c r="O346" i="2"/>
  <c r="I347" i="2" s="1"/>
  <c r="AH346" i="2"/>
  <c r="AI347" i="2" s="1"/>
  <c r="AN347" i="2"/>
  <c r="AS347" i="2" l="1"/>
  <c r="AT346" i="2"/>
  <c r="AF347" i="2"/>
  <c r="AK347" i="2" s="1"/>
  <c r="AL346" i="2"/>
  <c r="BA346" i="2" s="1"/>
  <c r="N347" i="2"/>
  <c r="AO347" i="2"/>
  <c r="X347" i="2"/>
  <c r="BB347" i="2" l="1"/>
  <c r="Q347" i="2"/>
  <c r="R347" i="2" s="1"/>
  <c r="AE347" i="2" s="1"/>
  <c r="AF348" i="2" s="1"/>
  <c r="AV347" i="2"/>
  <c r="AR347" i="2" s="1"/>
  <c r="AW347" i="2" s="1"/>
  <c r="AH347" i="2" l="1"/>
  <c r="AL347" i="2" s="1"/>
  <c r="BA347" i="2" s="1"/>
  <c r="O347" i="2"/>
  <c r="N348" i="2" s="1"/>
  <c r="S348" i="2"/>
  <c r="AG347" i="2"/>
  <c r="T348" i="2"/>
  <c r="AS348" i="2" l="1"/>
  <c r="X348" i="2"/>
  <c r="I348" i="2"/>
  <c r="Q348" i="2" s="1"/>
  <c r="R348" i="2" s="1"/>
  <c r="AE348" i="2" s="1"/>
  <c r="AJ348" i="2"/>
  <c r="AI348" i="2" s="1"/>
  <c r="AO348" i="2"/>
  <c r="AN348" i="2"/>
  <c r="O348" i="2" l="1"/>
  <c r="AS349" i="2" s="1"/>
  <c r="AK348" i="2"/>
  <c r="AT347" i="2"/>
  <c r="BB348" i="2" s="1"/>
  <c r="T349" i="2"/>
  <c r="AH348" i="2"/>
  <c r="AI349" i="2" s="1"/>
  <c r="S349" i="2"/>
  <c r="AG348" i="2"/>
  <c r="AF349" i="2"/>
  <c r="AN349" i="2"/>
  <c r="AO349" i="2" l="1"/>
  <c r="I349" i="2"/>
  <c r="AK349" i="2" s="1"/>
  <c r="X349" i="2"/>
  <c r="N349" i="2"/>
  <c r="AV348" i="2"/>
  <c r="AR348" i="2" s="1"/>
  <c r="AW348" i="2" s="1"/>
  <c r="AU348" i="2" s="1"/>
  <c r="AL348" i="2"/>
  <c r="BA348" i="2" s="1"/>
  <c r="AT348" i="2"/>
  <c r="BB349" i="2" s="1"/>
  <c r="Q349" i="2"/>
  <c r="R349" i="2" s="1"/>
  <c r="AG349" i="2" s="1"/>
  <c r="AV349" i="2" l="1"/>
  <c r="AR349" i="2" s="1"/>
  <c r="AW349" i="2" s="1"/>
  <c r="AU349" i="2" s="1"/>
  <c r="O349" i="2"/>
  <c r="T350" i="2"/>
  <c r="AE349" i="2"/>
  <c r="AH349" i="2"/>
  <c r="AI350" i="2" s="1"/>
  <c r="S350" i="2"/>
  <c r="AT349" i="2" l="1"/>
  <c r="AL349" i="2"/>
  <c r="BA349" i="2" s="1"/>
  <c r="I350" i="2"/>
  <c r="AM350" i="2"/>
  <c r="N350" i="2"/>
  <c r="AO350" i="2"/>
  <c r="X350" i="2"/>
  <c r="AN350" i="2"/>
  <c r="AS350" i="2"/>
  <c r="AF350" i="2"/>
  <c r="BB350" i="2" l="1"/>
  <c r="Q350" i="2"/>
  <c r="R350" i="2" s="1"/>
  <c r="AK350" i="2"/>
  <c r="AV350" i="2"/>
  <c r="AR350" i="2" s="1"/>
  <c r="AW350" i="2" s="1"/>
  <c r="AH350" i="2" l="1"/>
  <c r="AI351" i="2" s="1"/>
  <c r="AG350" i="2"/>
  <c r="AE350" i="2"/>
  <c r="O350" i="2"/>
  <c r="S351" i="2"/>
  <c r="T351" i="2"/>
  <c r="AU350" i="2"/>
  <c r="N351" i="2" l="1"/>
  <c r="AT350" i="2"/>
  <c r="AF351" i="2"/>
  <c r="AL350" i="2"/>
  <c r="BA350" i="2" s="1"/>
  <c r="X351" i="2"/>
  <c r="AO351" i="2"/>
  <c r="I351" i="2"/>
  <c r="AN351" i="2"/>
  <c r="AS351" i="2"/>
  <c r="BB351" i="2" l="1"/>
  <c r="AK351" i="2"/>
  <c r="Q351" i="2"/>
  <c r="AV351" i="2"/>
  <c r="AR351" i="2" s="1"/>
  <c r="AW351" i="2" s="1"/>
  <c r="AU351" i="2" l="1"/>
  <c r="R351" i="2"/>
  <c r="AG351" i="2" s="1"/>
  <c r="O351" i="2"/>
  <c r="AS352" i="2" l="1"/>
  <c r="AN352" i="2"/>
  <c r="X352" i="2"/>
  <c r="I352" i="2"/>
  <c r="AO352" i="2"/>
  <c r="N352" i="2"/>
  <c r="T352" i="2"/>
  <c r="AE351" i="2"/>
  <c r="S352" i="2"/>
  <c r="AH351" i="2"/>
  <c r="AI352" i="2" s="1"/>
  <c r="AM352" i="2" l="1"/>
  <c r="AT351" i="2"/>
  <c r="BB352" i="2" s="1"/>
  <c r="AL351" i="2"/>
  <c r="BA351" i="2" s="1"/>
  <c r="Q352" i="2"/>
  <c r="AF352" i="2"/>
  <c r="AK352" i="2" s="1"/>
  <c r="AV352" i="2" l="1"/>
  <c r="AR352" i="2" s="1"/>
  <c r="AW352" i="2" s="1"/>
  <c r="R352" i="2"/>
  <c r="AG352" i="2" s="1"/>
  <c r="O352" i="2"/>
  <c r="AU352" i="2" l="1"/>
  <c r="S353" i="2"/>
  <c r="AE352" i="2"/>
  <c r="T353" i="2"/>
  <c r="AH352" i="2"/>
  <c r="AI353" i="2" s="1"/>
  <c r="N353" i="2"/>
  <c r="AS353" i="2"/>
  <c r="I353" i="2"/>
  <c r="AO353" i="2"/>
  <c r="X353" i="2"/>
  <c r="AN353" i="2"/>
  <c r="AT352" i="2" l="1"/>
  <c r="BB353" i="2" s="1"/>
  <c r="AL352" i="2"/>
  <c r="BA352" i="2" s="1"/>
  <c r="AM353" i="2"/>
  <c r="Q353" i="2"/>
  <c r="R353" i="2" s="1"/>
  <c r="AF353" i="2"/>
  <c r="S354" i="2" l="1"/>
  <c r="AG353" i="2"/>
  <c r="T354" i="2"/>
  <c r="O353" i="2"/>
  <c r="AH353" i="2"/>
  <c r="AI354" i="2" s="1"/>
  <c r="AE353" i="2"/>
  <c r="AK353" i="2"/>
  <c r="AV353" i="2"/>
  <c r="AR353" i="2" s="1"/>
  <c r="AW353" i="2" s="1"/>
  <c r="AL353" i="2" l="1"/>
  <c r="BA353" i="2" s="1"/>
  <c r="AT353" i="2"/>
  <c r="N354" i="2"/>
  <c r="AM354" i="2"/>
  <c r="AN354" i="2"/>
  <c r="I354" i="2"/>
  <c r="Q354" i="2" s="1"/>
  <c r="AS354" i="2"/>
  <c r="AF354" i="2"/>
  <c r="AO354" i="2"/>
  <c r="X354" i="2"/>
  <c r="AU353" i="2"/>
  <c r="BB354" i="2" l="1"/>
  <c r="AK354" i="2"/>
  <c r="AV354" i="2"/>
  <c r="AR354" i="2" s="1"/>
  <c r="AW354" i="2" s="1"/>
  <c r="R354" i="2"/>
  <c r="AG354" i="2" s="1"/>
  <c r="O354" i="2"/>
  <c r="AU354" i="2" l="1"/>
  <c r="AN355" i="2"/>
  <c r="AS355" i="2"/>
  <c r="X355" i="2"/>
  <c r="N355" i="2"/>
  <c r="AO355" i="2"/>
  <c r="I355" i="2"/>
  <c r="S355" i="2"/>
  <c r="AE354" i="2"/>
  <c r="AH354" i="2"/>
  <c r="AI355" i="2" s="1"/>
  <c r="T355" i="2"/>
  <c r="AM355" i="2" l="1"/>
  <c r="AT354" i="2"/>
  <c r="BB355" i="2" s="1"/>
  <c r="AL354" i="2"/>
  <c r="BA354" i="2" s="1"/>
  <c r="Q355" i="2"/>
  <c r="R355" i="2" s="1"/>
  <c r="AG355" i="2" s="1"/>
  <c r="AF355" i="2"/>
  <c r="AE355" i="2" l="1"/>
  <c r="O355" i="2"/>
  <c r="S356" i="2"/>
  <c r="AH355" i="2"/>
  <c r="AI356" i="2" s="1"/>
  <c r="T356" i="2"/>
  <c r="AK355" i="2"/>
  <c r="AV355" i="2"/>
  <c r="AR355" i="2" s="1"/>
  <c r="AW355" i="2" s="1"/>
  <c r="AT355" i="2" l="1"/>
  <c r="AF356" i="2"/>
  <c r="AL355" i="2"/>
  <c r="BA355" i="2" s="1"/>
  <c r="N356" i="2"/>
  <c r="AM356" i="2"/>
  <c r="AN356" i="2"/>
  <c r="I356" i="2"/>
  <c r="AS356" i="2"/>
  <c r="X356" i="2"/>
  <c r="AO356" i="2"/>
  <c r="AU355" i="2"/>
  <c r="BB356" i="2" l="1"/>
  <c r="AK356" i="2"/>
  <c r="Q356" i="2"/>
  <c r="O356" i="2" s="1"/>
  <c r="AV356" i="2"/>
  <c r="AR356" i="2" s="1"/>
  <c r="AW356" i="2" s="1"/>
  <c r="I357" i="2" l="1"/>
  <c r="AN357" i="2"/>
  <c r="AS357" i="2"/>
  <c r="AO357" i="2"/>
  <c r="N357" i="2"/>
  <c r="X357" i="2"/>
  <c r="R356" i="2"/>
  <c r="AG356" i="2" s="1"/>
  <c r="AU356" i="2"/>
  <c r="Q357" i="2" l="1"/>
  <c r="O357" i="2" s="1"/>
  <c r="AS358" i="2" s="1"/>
  <c r="AH356" i="2"/>
  <c r="AI357" i="2" s="1"/>
  <c r="AE356" i="2"/>
  <c r="T357" i="2"/>
  <c r="S357" i="2"/>
  <c r="AN358" i="2" l="1"/>
  <c r="AT356" i="2"/>
  <c r="BB357" i="2" s="1"/>
  <c r="N358" i="2"/>
  <c r="X358" i="2"/>
  <c r="AO358" i="2"/>
  <c r="I358" i="2"/>
  <c r="AF357" i="2"/>
  <c r="AK357" i="2" s="1"/>
  <c r="AL356" i="2"/>
  <c r="BA356" i="2" s="1"/>
  <c r="R357" i="2"/>
  <c r="AV357" i="2" l="1"/>
  <c r="AR357" i="2" s="1"/>
  <c r="AW357" i="2" s="1"/>
  <c r="AU357" i="2" s="1"/>
  <c r="Q358" i="2"/>
  <c r="O358" i="2" s="1"/>
  <c r="I359" i="2" s="1"/>
  <c r="T358" i="2"/>
  <c r="AG357" i="2"/>
  <c r="S358" i="2"/>
  <c r="AE357" i="2"/>
  <c r="AH357" i="2"/>
  <c r="AI358" i="2" s="1"/>
  <c r="AN359" i="2"/>
  <c r="AS359" i="2" l="1"/>
  <c r="R358" i="2"/>
  <c r="S359" i="2" s="1"/>
  <c r="AO359" i="2"/>
  <c r="X359" i="2"/>
  <c r="N359" i="2"/>
  <c r="Q359" i="2" s="1"/>
  <c r="AT357" i="2"/>
  <c r="BB358" i="2" s="1"/>
  <c r="AG358" i="2"/>
  <c r="AF358" i="2"/>
  <c r="AK358" i="2" s="1"/>
  <c r="AL357" i="2"/>
  <c r="BA357" i="2" s="1"/>
  <c r="T359" i="2" l="1"/>
  <c r="R359" i="2" s="1"/>
  <c r="AH358" i="2"/>
  <c r="AI359" i="2" s="1"/>
  <c r="AE358" i="2"/>
  <c r="AV358" i="2"/>
  <c r="AR358" i="2" s="1"/>
  <c r="AW358" i="2" s="1"/>
  <c r="AU358" i="2" s="1"/>
  <c r="O359" i="2"/>
  <c r="AH359" i="2" l="1"/>
  <c r="AT358" i="2"/>
  <c r="BB359" i="2" s="1"/>
  <c r="T360" i="2"/>
  <c r="AL358" i="2"/>
  <c r="BA358" i="2" s="1"/>
  <c r="AF359" i="2"/>
  <c r="AK359" i="2" s="1"/>
  <c r="AG359" i="2"/>
  <c r="AO360" i="2"/>
  <c r="S360" i="2"/>
  <c r="AN360" i="2"/>
  <c r="X360" i="2"/>
  <c r="AS360" i="2"/>
  <c r="N360" i="2"/>
  <c r="I360" i="2"/>
  <c r="AV359" i="2" l="1"/>
  <c r="AR359" i="2" s="1"/>
  <c r="AW359" i="2" s="1"/>
  <c r="AE359" i="2"/>
  <c r="AL359" i="2" s="1"/>
  <c r="BA359" i="2" s="1"/>
  <c r="Q360" i="2"/>
  <c r="R360" i="2" s="1"/>
  <c r="AJ360" i="2" l="1"/>
  <c r="AT359" i="2" s="1"/>
  <c r="BB360" i="2" s="1"/>
  <c r="AF360" i="2"/>
  <c r="AE360" i="2" s="1"/>
  <c r="T361" i="2"/>
  <c r="AG360" i="2"/>
  <c r="S361" i="2"/>
  <c r="O360" i="2"/>
  <c r="AN361" i="2" s="1"/>
  <c r="AI360" i="2" l="1"/>
  <c r="AH360" i="2" s="1"/>
  <c r="AI361" i="2" s="1"/>
  <c r="AV360" i="2"/>
  <c r="AR360" i="2" s="1"/>
  <c r="AW360" i="2" s="1"/>
  <c r="AU360" i="2" s="1"/>
  <c r="X361" i="2"/>
  <c r="AF361" i="2"/>
  <c r="N361" i="2"/>
  <c r="I361" i="2"/>
  <c r="AS361" i="2"/>
  <c r="AO361" i="2"/>
  <c r="AL360" i="2" l="1"/>
  <c r="AT360" i="2"/>
  <c r="BB361" i="2" s="1"/>
  <c r="AK360" i="2"/>
  <c r="AK361" i="2"/>
  <c r="Q361" i="2"/>
  <c r="AV361" i="2" l="1"/>
  <c r="AR361" i="2" s="1"/>
  <c r="AW361" i="2" s="1"/>
  <c r="AU361" i="2" s="1"/>
  <c r="BA360" i="2"/>
  <c r="R361" i="2"/>
  <c r="AG361" i="2" s="1"/>
  <c r="O361" i="2"/>
  <c r="AS362" i="2" l="1"/>
  <c r="AN362" i="2"/>
  <c r="X362" i="2"/>
  <c r="N362" i="2"/>
  <c r="I362" i="2"/>
  <c r="AO362" i="2"/>
  <c r="AH361" i="2"/>
  <c r="AI362" i="2" s="1"/>
  <c r="AE361" i="2"/>
  <c r="S362" i="2"/>
  <c r="T362" i="2"/>
  <c r="AL361" i="2" l="1"/>
  <c r="BA361" i="2" s="1"/>
  <c r="AT361" i="2"/>
  <c r="BB362" i="2" s="1"/>
  <c r="Q362" i="2"/>
  <c r="O362" i="2" s="1"/>
  <c r="AF362" i="2"/>
  <c r="AK362" i="2" s="1"/>
  <c r="AV362" i="2" l="1"/>
  <c r="AR362" i="2" s="1"/>
  <c r="AW362" i="2" s="1"/>
  <c r="AU362" i="2" s="1"/>
  <c r="R362" i="2"/>
  <c r="AN363" i="2"/>
  <c r="AS363" i="2"/>
  <c r="I363" i="2"/>
  <c r="AO363" i="2"/>
  <c r="N363" i="2"/>
  <c r="X363" i="2"/>
  <c r="S363" i="2" l="1"/>
  <c r="AG362" i="2"/>
  <c r="AH362" i="2"/>
  <c r="AI363" i="2" s="1"/>
  <c r="T363" i="2"/>
  <c r="AE362" i="2"/>
  <c r="Q363" i="2"/>
  <c r="O363" i="2" s="1"/>
  <c r="AT362" i="2" l="1"/>
  <c r="BB363" i="2" s="1"/>
  <c r="AN364" i="2"/>
  <c r="AF363" i="2"/>
  <c r="AK363" i="2" s="1"/>
  <c r="AL362" i="2"/>
  <c r="BA362" i="2" s="1"/>
  <c r="R363" i="2"/>
  <c r="AG363" i="2" s="1"/>
  <c r="I364" i="2"/>
  <c r="X364" i="2"/>
  <c r="N364" i="2"/>
  <c r="AS364" i="2"/>
  <c r="AO364" i="2"/>
  <c r="AV363" i="2" l="1"/>
  <c r="AR363" i="2" s="1"/>
  <c r="AW363" i="2" s="1"/>
  <c r="AU363" i="2" s="1"/>
  <c r="T364" i="2"/>
  <c r="AH363" i="2"/>
  <c r="AI364" i="2" s="1"/>
  <c r="S364" i="2"/>
  <c r="AE363" i="2"/>
  <c r="Q364" i="2"/>
  <c r="O364" i="2" s="1"/>
  <c r="AN365" i="2"/>
  <c r="AT363" i="2" l="1"/>
  <c r="BB364" i="2" s="1"/>
  <c r="AF364" i="2"/>
  <c r="AK364" i="2" s="1"/>
  <c r="AL363" i="2"/>
  <c r="BA363" i="2" s="1"/>
  <c r="X365" i="2"/>
  <c r="AO365" i="2"/>
  <c r="N365" i="2"/>
  <c r="I365" i="2"/>
  <c r="AS365" i="2"/>
  <c r="R364" i="2"/>
  <c r="AV364" i="2" l="1"/>
  <c r="AR364" i="2" s="1"/>
  <c r="AW364" i="2" s="1"/>
  <c r="AU364" i="2" s="1"/>
  <c r="AE364" i="2"/>
  <c r="AF365" i="2" s="1"/>
  <c r="AG364" i="2"/>
  <c r="Q365" i="2"/>
  <c r="O365" i="2" s="1"/>
  <c r="T365" i="2"/>
  <c r="S365" i="2"/>
  <c r="AH364" i="2"/>
  <c r="AL364" i="2" l="1"/>
  <c r="BA364" i="2" s="1"/>
  <c r="AT364" i="2"/>
  <c r="BB365" i="2" s="1"/>
  <c r="AI365" i="2"/>
  <c r="AK365" i="2" s="1"/>
  <c r="AM365" i="2"/>
  <c r="R365" i="2"/>
  <c r="AO366" i="2"/>
  <c r="N366" i="2"/>
  <c r="I366" i="2"/>
  <c r="X366" i="2"/>
  <c r="AS366" i="2"/>
  <c r="AN366" i="2"/>
  <c r="AE365" i="2" l="1"/>
  <c r="AF366" i="2" s="1"/>
  <c r="AG365" i="2"/>
  <c r="T366" i="2"/>
  <c r="S366" i="2"/>
  <c r="AH365" i="2"/>
  <c r="AV365" i="2"/>
  <c r="AR365" i="2" s="1"/>
  <c r="AW365" i="2" s="1"/>
  <c r="AU365" i="2" s="1"/>
  <c r="Q366" i="2"/>
  <c r="AL365" i="2" l="1"/>
  <c r="BA365" i="2" s="1"/>
  <c r="AT365" i="2"/>
  <c r="BB366" i="2" s="1"/>
  <c r="AI366" i="2"/>
  <c r="AK366" i="2" s="1"/>
  <c r="AM366" i="2"/>
  <c r="R366" i="2"/>
  <c r="AG366" i="2" s="1"/>
  <c r="O366" i="2"/>
  <c r="AV366" i="2" l="1"/>
  <c r="AR366" i="2" s="1"/>
  <c r="AW366" i="2" s="1"/>
  <c r="AU366" i="2" s="1"/>
  <c r="N367" i="2"/>
  <c r="X367" i="2"/>
  <c r="I367" i="2"/>
  <c r="AS367" i="2"/>
  <c r="AO367" i="2"/>
  <c r="AN367" i="2"/>
  <c r="T367" i="2"/>
  <c r="S367" i="2"/>
  <c r="AE366" i="2"/>
  <c r="AH366" i="2"/>
  <c r="AI367" i="2" s="1"/>
  <c r="AT366" i="2" l="1"/>
  <c r="BB367" i="2" s="1"/>
  <c r="AL366" i="2"/>
  <c r="BA366" i="2" s="1"/>
  <c r="Q367" i="2"/>
  <c r="AF367" i="2"/>
  <c r="AK367" i="2" s="1"/>
  <c r="AV367" i="2" l="1"/>
  <c r="AR367" i="2" s="1"/>
  <c r="AW367" i="2" s="1"/>
  <c r="AU367" i="2" s="1"/>
  <c r="O367" i="2"/>
  <c r="R367" i="2"/>
  <c r="AG367" i="2" s="1"/>
  <c r="AE367" i="2" l="1"/>
  <c r="T368" i="2"/>
  <c r="AH367" i="2"/>
  <c r="S368" i="2"/>
  <c r="AO368" i="2"/>
  <c r="X368" i="2"/>
  <c r="N368" i="2"/>
  <c r="AS368" i="2"/>
  <c r="I368" i="2"/>
  <c r="AN368" i="2"/>
  <c r="AT367" i="2" l="1"/>
  <c r="BB368" i="2" s="1"/>
  <c r="AL367" i="2"/>
  <c r="BA367" i="2" s="1"/>
  <c r="Q368" i="2"/>
  <c r="AI368" i="2"/>
  <c r="AM368" i="2"/>
  <c r="O368" i="2"/>
  <c r="R368" i="2"/>
  <c r="AG368" i="2" s="1"/>
  <c r="AF368" i="2"/>
  <c r="AK368" i="2" l="1"/>
  <c r="AV368" i="2"/>
  <c r="AR368" i="2" s="1"/>
  <c r="AW368" i="2" s="1"/>
  <c r="S369" i="2"/>
  <c r="AH368" i="2"/>
  <c r="AI369" i="2" s="1"/>
  <c r="T369" i="2"/>
  <c r="AE368" i="2"/>
  <c r="AN369" i="2"/>
  <c r="X369" i="2"/>
  <c r="AO369" i="2"/>
  <c r="N369" i="2"/>
  <c r="AS369" i="2"/>
  <c r="I369" i="2"/>
  <c r="AT368" i="2" l="1"/>
  <c r="BB369" i="2" s="1"/>
  <c r="AL368" i="2"/>
  <c r="BA368" i="2" s="1"/>
  <c r="AU368" i="2"/>
  <c r="AF369" i="2"/>
  <c r="AK369" i="2" s="1"/>
  <c r="Q369" i="2"/>
  <c r="O369" i="2" s="1"/>
  <c r="AN370" i="2" l="1"/>
  <c r="AS370" i="2"/>
  <c r="N370" i="2"/>
  <c r="X370" i="2"/>
  <c r="AO370" i="2"/>
  <c r="I370" i="2"/>
  <c r="R369" i="2"/>
  <c r="AG369" i="2" s="1"/>
  <c r="AV369" i="2"/>
  <c r="AR369" i="2" s="1"/>
  <c r="AW369" i="2" s="1"/>
  <c r="AU369" i="2" l="1"/>
  <c r="Q370" i="2"/>
  <c r="O370" i="2" s="1"/>
  <c r="S370" i="2"/>
  <c r="T370" i="2"/>
  <c r="AE369" i="2"/>
  <c r="AH369" i="2"/>
  <c r="AI370" i="2" s="1"/>
  <c r="AT369" i="2" l="1"/>
  <c r="BB370" i="2" s="1"/>
  <c r="AL369" i="2"/>
  <c r="BA369" i="2" s="1"/>
  <c r="R370" i="2"/>
  <c r="I371" i="2"/>
  <c r="AN371" i="2"/>
  <c r="AS371" i="2"/>
  <c r="AO371" i="2"/>
  <c r="X371" i="2"/>
  <c r="N371" i="2"/>
  <c r="AF370" i="2"/>
  <c r="AK370" i="2" s="1"/>
  <c r="S371" i="2" l="1"/>
  <c r="AG370" i="2"/>
  <c r="Q371" i="2"/>
  <c r="O371" i="2" s="1"/>
  <c r="T371" i="2"/>
  <c r="AH370" i="2"/>
  <c r="AI371" i="2" s="1"/>
  <c r="AE370" i="2"/>
  <c r="AV370" i="2"/>
  <c r="AR370" i="2" s="1"/>
  <c r="AW370" i="2" s="1"/>
  <c r="AT370" i="2" l="1"/>
  <c r="BB371" i="2" s="1"/>
  <c r="AL370" i="2"/>
  <c r="BA370" i="2" s="1"/>
  <c r="R371" i="2"/>
  <c r="AF371" i="2"/>
  <c r="AS372" i="2"/>
  <c r="AN372" i="2"/>
  <c r="N372" i="2"/>
  <c r="AO372" i="2"/>
  <c r="I372" i="2"/>
  <c r="X372" i="2"/>
  <c r="AU370" i="2"/>
  <c r="T372" i="2" l="1"/>
  <c r="AG371" i="2"/>
  <c r="S372" i="2"/>
  <c r="AH371" i="2"/>
  <c r="AV371" i="2"/>
  <c r="AR371" i="2" s="1"/>
  <c r="AW371" i="2" s="1"/>
  <c r="Q372" i="2"/>
  <c r="AK371" i="2"/>
  <c r="AE371" i="2"/>
  <c r="AL371" i="2" l="1"/>
  <c r="BA371" i="2" s="1"/>
  <c r="AF372" i="2"/>
  <c r="AJ372" i="2"/>
  <c r="AT371" i="2" s="1"/>
  <c r="BB372" i="2" s="1"/>
  <c r="O372" i="2"/>
  <c r="R372" i="2"/>
  <c r="AG372" i="2" s="1"/>
  <c r="S373" i="2" l="1"/>
  <c r="AE372" i="2"/>
  <c r="T373" i="2"/>
  <c r="AN373" i="2"/>
  <c r="I373" i="2"/>
  <c r="AO373" i="2"/>
  <c r="AS373" i="2"/>
  <c r="X373" i="2"/>
  <c r="N373" i="2"/>
  <c r="AI372" i="2"/>
  <c r="AK372" i="2" s="1"/>
  <c r="Q373" i="2" l="1"/>
  <c r="R373" i="2" s="1"/>
  <c r="AG373" i="2" s="1"/>
  <c r="AF373" i="2"/>
  <c r="AV372" i="2"/>
  <c r="AR372" i="2" s="1"/>
  <c r="AW372" i="2" s="1"/>
  <c r="AH372" i="2"/>
  <c r="AI373" i="2" s="1"/>
  <c r="AT372" i="2" l="1"/>
  <c r="BB373" i="2" s="1"/>
  <c r="AL372" i="2"/>
  <c r="BA372" i="2" s="1"/>
  <c r="AU372" i="2"/>
  <c r="AK373" i="2"/>
  <c r="AH373" i="2"/>
  <c r="AI374" i="2" s="1"/>
  <c r="T374" i="2"/>
  <c r="S374" i="2"/>
  <c r="AE373" i="2"/>
  <c r="O373" i="2"/>
  <c r="AL373" i="2" l="1"/>
  <c r="BA373" i="2" s="1"/>
  <c r="AT373" i="2"/>
  <c r="AV373" i="2"/>
  <c r="AR373" i="2" s="1"/>
  <c r="AW373" i="2" s="1"/>
  <c r="AU373" i="2" s="1"/>
  <c r="AN374" i="2"/>
  <c r="X374" i="2"/>
  <c r="I374" i="2"/>
  <c r="AO374" i="2"/>
  <c r="N374" i="2"/>
  <c r="AS374" i="2"/>
  <c r="AF374" i="2"/>
  <c r="BB374" i="2" l="1"/>
  <c r="Q374" i="2"/>
  <c r="R374" i="2" s="1"/>
  <c r="AK374" i="2"/>
  <c r="AV374" i="2"/>
  <c r="AR374" i="2" s="1"/>
  <c r="AW374" i="2" s="1"/>
  <c r="AU374" i="2" l="1"/>
  <c r="AH374" i="2"/>
  <c r="AI375" i="2" s="1"/>
  <c r="AG374" i="2"/>
  <c r="T375" i="2"/>
  <c r="AE374" i="2"/>
  <c r="S375" i="2"/>
  <c r="O374" i="2"/>
  <c r="AN375" i="2"/>
  <c r="X375" i="2" l="1"/>
  <c r="AT374" i="2"/>
  <c r="AF375" i="2"/>
  <c r="AL374" i="2"/>
  <c r="BA374" i="2" s="1"/>
  <c r="AS375" i="2"/>
  <c r="I375" i="2"/>
  <c r="AO375" i="2"/>
  <c r="N375" i="2"/>
  <c r="BB375" i="2" l="1"/>
  <c r="AK375" i="2"/>
  <c r="Q375" i="2"/>
  <c r="R375" i="2" s="1"/>
  <c r="AV375" i="2"/>
  <c r="AR375" i="2" s="1"/>
  <c r="AW375" i="2" s="1"/>
  <c r="AE375" i="2" l="1"/>
  <c r="AF376" i="2" s="1"/>
  <c r="AG375" i="2"/>
  <c r="AU375" i="2"/>
  <c r="AH375" i="2"/>
  <c r="AI376" i="2" s="1"/>
  <c r="S376" i="2"/>
  <c r="O375" i="2"/>
  <c r="AM376" i="2" s="1"/>
  <c r="T376" i="2"/>
  <c r="X376" i="2" l="1"/>
  <c r="AT375" i="2"/>
  <c r="AS376" i="2"/>
  <c r="AL375" i="2"/>
  <c r="BA375" i="2" s="1"/>
  <c r="AN376" i="2"/>
  <c r="I376" i="2"/>
  <c r="AK376" i="2" s="1"/>
  <c r="AO376" i="2"/>
  <c r="N376" i="2"/>
  <c r="BB376" i="2" l="1"/>
  <c r="Q376" i="2"/>
  <c r="R376" i="2" s="1"/>
  <c r="AE376" i="2" s="1"/>
  <c r="AV376" i="2"/>
  <c r="AR376" i="2" s="1"/>
  <c r="AW376" i="2" s="1"/>
  <c r="O376" i="2" l="1"/>
  <c r="AM377" i="2" s="1"/>
  <c r="AH376" i="2"/>
  <c r="AI377" i="2" s="1"/>
  <c r="S377" i="2"/>
  <c r="AG376" i="2"/>
  <c r="T377" i="2"/>
  <c r="AU376" i="2"/>
  <c r="AF377" i="2"/>
  <c r="AN377" i="2" l="1"/>
  <c r="AO377" i="2"/>
  <c r="I377" i="2"/>
  <c r="AK377" i="2" s="1"/>
  <c r="N377" i="2"/>
  <c r="AS377" i="2"/>
  <c r="X377" i="2"/>
  <c r="AL376" i="2"/>
  <c r="BA376" i="2" s="1"/>
  <c r="AT376" i="2"/>
  <c r="Q377" i="2" l="1"/>
  <c r="R377" i="2" s="1"/>
  <c r="AG377" i="2" s="1"/>
  <c r="BB377" i="2"/>
  <c r="AV377" i="2"/>
  <c r="AR377" i="2" s="1"/>
  <c r="AW377" i="2" s="1"/>
  <c r="O377" i="2" l="1"/>
  <c r="AO378" i="2" s="1"/>
  <c r="T378" i="2"/>
  <c r="S378" i="2"/>
  <c r="AE377" i="2"/>
  <c r="AH377" i="2"/>
  <c r="AI378" i="2" s="1"/>
  <c r="AU377" i="2"/>
  <c r="AS378" i="2"/>
  <c r="AF378" i="2"/>
  <c r="X378" i="2" l="1"/>
  <c r="AN378" i="2"/>
  <c r="N378" i="2"/>
  <c r="I378" i="2"/>
  <c r="AT377" i="2"/>
  <c r="AV378" i="2" s="1"/>
  <c r="AR378" i="2" s="1"/>
  <c r="AW378" i="2" s="1"/>
  <c r="AL377" i="2"/>
  <c r="BA377" i="2" s="1"/>
  <c r="AK378" i="2"/>
  <c r="Q378" i="2" l="1"/>
  <c r="BB378" i="2"/>
  <c r="AU378" i="2" s="1"/>
  <c r="O378" i="2"/>
  <c r="R378" i="2"/>
  <c r="AG378" i="2" s="1"/>
  <c r="AE378" i="2" l="1"/>
  <c r="AH378" i="2"/>
  <c r="AI379" i="2" s="1"/>
  <c r="S379" i="2"/>
  <c r="T379" i="2"/>
  <c r="AN379" i="2"/>
  <c r="I379" i="2"/>
  <c r="AS379" i="2"/>
  <c r="N379" i="2"/>
  <c r="X379" i="2"/>
  <c r="AO379" i="2"/>
  <c r="AT378" i="2" l="1"/>
  <c r="BB379" i="2" s="1"/>
  <c r="AL378" i="2"/>
  <c r="BA378" i="2" s="1"/>
  <c r="Q379" i="2"/>
  <c r="R379" i="2" s="1"/>
  <c r="AF379" i="2"/>
  <c r="AK379" i="2" s="1"/>
  <c r="S380" i="2" l="1"/>
  <c r="AG379" i="2"/>
  <c r="O379" i="2"/>
  <c r="AH379" i="2"/>
  <c r="AI380" i="2" s="1"/>
  <c r="T380" i="2"/>
  <c r="AV379" i="2"/>
  <c r="AR379" i="2" s="1"/>
  <c r="AW379" i="2" s="1"/>
  <c r="AU379" i="2" s="1"/>
  <c r="AE379" i="2"/>
  <c r="AN380" i="2"/>
  <c r="AO380" i="2" l="1"/>
  <c r="AT379" i="2"/>
  <c r="AF380" i="2"/>
  <c r="AL379" i="2"/>
  <c r="BA379" i="2" s="1"/>
  <c r="N380" i="2"/>
  <c r="I380" i="2"/>
  <c r="AS380" i="2"/>
  <c r="X380" i="2"/>
  <c r="BB380" i="2" l="1"/>
  <c r="Q380" i="2"/>
  <c r="AK380" i="2"/>
  <c r="AV380" i="2"/>
  <c r="AR380" i="2" s="1"/>
  <c r="AW380" i="2" s="1"/>
  <c r="AU380" i="2" l="1"/>
  <c r="R380" i="2"/>
  <c r="AG380" i="2" s="1"/>
  <c r="O380" i="2"/>
  <c r="I381" i="2" l="1"/>
  <c r="N381" i="2"/>
  <c r="X381" i="2"/>
  <c r="AO381" i="2"/>
  <c r="AS381" i="2"/>
  <c r="AN381" i="2"/>
  <c r="T381" i="2"/>
  <c r="AE380" i="2"/>
  <c r="AH380" i="2"/>
  <c r="AI381" i="2" s="1"/>
  <c r="S381" i="2"/>
  <c r="AT380" i="2" l="1"/>
  <c r="BB381" i="2" s="1"/>
  <c r="AL380" i="2"/>
  <c r="BA380" i="2" s="1"/>
  <c r="AF381" i="2"/>
  <c r="AK381" i="2" s="1"/>
  <c r="Q381" i="2"/>
  <c r="AV381" i="2" l="1"/>
  <c r="AR381" i="2" s="1"/>
  <c r="AW381" i="2" s="1"/>
  <c r="AU381" i="2" s="1"/>
  <c r="R381" i="2"/>
  <c r="AG381" i="2" s="1"/>
  <c r="O381" i="2"/>
  <c r="N382" i="2" l="1"/>
  <c r="X382" i="2"/>
  <c r="I382" i="2"/>
  <c r="AS382" i="2"/>
  <c r="AO382" i="2"/>
  <c r="AN382" i="2"/>
  <c r="AH381" i="2"/>
  <c r="AI382" i="2" s="1"/>
  <c r="AE381" i="2"/>
  <c r="T382" i="2"/>
  <c r="S382" i="2"/>
  <c r="AL381" i="2" l="1"/>
  <c r="BA381" i="2" s="1"/>
  <c r="AT381" i="2"/>
  <c r="BB382" i="2" s="1"/>
  <c r="Q382" i="2"/>
  <c r="AF382" i="2"/>
  <c r="AK382" i="2" s="1"/>
  <c r="AV382" i="2" l="1"/>
  <c r="AR382" i="2" s="1"/>
  <c r="AW382" i="2" s="1"/>
  <c r="O382" i="2"/>
  <c r="R382" i="2"/>
  <c r="AG382" i="2" s="1"/>
  <c r="AU382" i="2" l="1"/>
  <c r="I383" i="2"/>
  <c r="X383" i="2"/>
  <c r="AN383" i="2"/>
  <c r="N383" i="2"/>
  <c r="AS383" i="2"/>
  <c r="AO383" i="2"/>
  <c r="AE382" i="2"/>
  <c r="T383" i="2"/>
  <c r="S383" i="2"/>
  <c r="AH382" i="2"/>
  <c r="AI383" i="2" s="1"/>
  <c r="AM383" i="2" l="1"/>
  <c r="AL382" i="2"/>
  <c r="BA382" i="2" s="1"/>
  <c r="AT382" i="2"/>
  <c r="BB383" i="2" s="1"/>
  <c r="Q383" i="2"/>
  <c r="O383" i="2" s="1"/>
  <c r="AF383" i="2"/>
  <c r="AK383" i="2" s="1"/>
  <c r="AV383" i="2" l="1"/>
  <c r="AR383" i="2" s="1"/>
  <c r="AW383" i="2" s="1"/>
  <c r="R383" i="2"/>
  <c r="AN384" i="2"/>
  <c r="N384" i="2"/>
  <c r="I384" i="2"/>
  <c r="X384" i="2"/>
  <c r="AO384" i="2"/>
  <c r="AS384" i="2"/>
  <c r="S384" i="2" l="1"/>
  <c r="AG383" i="2"/>
  <c r="T384" i="2"/>
  <c r="AE383" i="2"/>
  <c r="AH383" i="2"/>
  <c r="Q384" i="2"/>
  <c r="AM384" i="2"/>
  <c r="AF384" i="2" l="1"/>
  <c r="AL383" i="2"/>
  <c r="BA383" i="2" s="1"/>
  <c r="R384" i="2"/>
  <c r="AJ384" i="2"/>
  <c r="AT383" i="2" s="1"/>
  <c r="BB384" i="2" s="1"/>
  <c r="O384" i="2"/>
  <c r="T385" i="2" l="1"/>
  <c r="AG384" i="2"/>
  <c r="X385" i="2"/>
  <c r="AE384" i="2"/>
  <c r="S385" i="2"/>
  <c r="I385" i="2"/>
  <c r="AS385" i="2"/>
  <c r="AO385" i="2"/>
  <c r="AI384" i="2"/>
  <c r="AN385" i="2"/>
  <c r="AV384" i="2"/>
  <c r="AR384" i="2" s="1"/>
  <c r="AW384" i="2" s="1"/>
  <c r="N385" i="2"/>
  <c r="AF385" i="2" l="1"/>
  <c r="Q385" i="2"/>
  <c r="R385" i="2" s="1"/>
  <c r="AU384" i="2"/>
  <c r="AK384" i="2"/>
  <c r="AH384" i="2"/>
  <c r="AL384" i="2" s="1"/>
  <c r="AE385" i="2" l="1"/>
  <c r="AF386" i="2" s="1"/>
  <c r="AG385" i="2"/>
  <c r="AT384" i="2"/>
  <c r="BB385" i="2" s="1"/>
  <c r="O385" i="2"/>
  <c r="AI385" i="2"/>
  <c r="AK385" i="2" s="1"/>
  <c r="BA384" i="2"/>
  <c r="S386" i="2"/>
  <c r="T386" i="2"/>
  <c r="AS386" i="2" l="1"/>
  <c r="AN386" i="2"/>
  <c r="X386" i="2"/>
  <c r="I386" i="2"/>
  <c r="AO386" i="2"/>
  <c r="N386" i="2"/>
  <c r="AV385" i="2"/>
  <c r="AR385" i="2" s="1"/>
  <c r="AW385" i="2" s="1"/>
  <c r="AH385" i="2"/>
  <c r="AL385" i="2" s="1"/>
  <c r="AT385" i="2" l="1"/>
  <c r="BB386" i="2" s="1"/>
  <c r="Q386" i="2"/>
  <c r="R386" i="2" s="1"/>
  <c r="AU385" i="2"/>
  <c r="AM386" i="2"/>
  <c r="AI386" i="2"/>
  <c r="AH386" i="2" s="1"/>
  <c r="AI387" i="2" s="1"/>
  <c r="BA385" i="2"/>
  <c r="O386" i="2" l="1"/>
  <c r="AO387" i="2" s="1"/>
  <c r="AV386" i="2"/>
  <c r="AR386" i="2" s="1"/>
  <c r="AW386" i="2" s="1"/>
  <c r="AU386" i="2" s="1"/>
  <c r="AE386" i="2"/>
  <c r="AF387" i="2" s="1"/>
  <c r="AG386" i="2"/>
  <c r="T387" i="2"/>
  <c r="S387" i="2"/>
  <c r="AK386" i="2"/>
  <c r="AN387" i="2" l="1"/>
  <c r="I387" i="2"/>
  <c r="AK387" i="2" s="1"/>
  <c r="N387" i="2"/>
  <c r="X387" i="2"/>
  <c r="AS387" i="2"/>
  <c r="AL386" i="2"/>
  <c r="BA386" i="2" s="1"/>
  <c r="AT386" i="2"/>
  <c r="Q387" i="2" l="1"/>
  <c r="R387" i="2" s="1"/>
  <c r="AG387" i="2" s="1"/>
  <c r="BB387" i="2"/>
  <c r="AV387" i="2"/>
  <c r="AR387" i="2" s="1"/>
  <c r="AW387" i="2" s="1"/>
  <c r="AH387" i="2" l="1"/>
  <c r="AI388" i="2" s="1"/>
  <c r="AE387" i="2"/>
  <c r="AF388" i="2" s="1"/>
  <c r="O387" i="2"/>
  <c r="AS388" i="2" s="1"/>
  <c r="S388" i="2"/>
  <c r="T388" i="2"/>
  <c r="AU387" i="2"/>
  <c r="AM388" i="2"/>
  <c r="N388" i="2" l="1"/>
  <c r="AT387" i="2"/>
  <c r="AL387" i="2"/>
  <c r="BA387" i="2" s="1"/>
  <c r="I388" i="2"/>
  <c r="AK388" i="2" s="1"/>
  <c r="X388" i="2"/>
  <c r="AN388" i="2"/>
  <c r="AO388" i="2"/>
  <c r="Q388" i="2" l="1"/>
  <c r="R388" i="2" s="1"/>
  <c r="AG388" i="2" s="1"/>
  <c r="AV388" i="2"/>
  <c r="AR388" i="2" s="1"/>
  <c r="AW388" i="2" s="1"/>
  <c r="BB388" i="2"/>
  <c r="AE388" i="2" l="1"/>
  <c r="AF389" i="2" s="1"/>
  <c r="AH388" i="2"/>
  <c r="AI389" i="2" s="1"/>
  <c r="S389" i="2"/>
  <c r="T389" i="2"/>
  <c r="O388" i="2"/>
  <c r="I389" i="2" s="1"/>
  <c r="AU388" i="2"/>
  <c r="AN389" i="2"/>
  <c r="AS389" i="2"/>
  <c r="AK389" i="2" l="1"/>
  <c r="AO389" i="2"/>
  <c r="AL388" i="2"/>
  <c r="BA388" i="2" s="1"/>
  <c r="AT388" i="2"/>
  <c r="BB389" i="2" s="1"/>
  <c r="X389" i="2"/>
  <c r="N389" i="2"/>
  <c r="Q389" i="2" s="1"/>
  <c r="O389" i="2" s="1"/>
  <c r="I390" i="2" s="1"/>
  <c r="X390" i="2" l="1"/>
  <c r="AS390" i="2"/>
  <c r="AO390" i="2"/>
  <c r="R389" i="2"/>
  <c r="AG389" i="2" s="1"/>
  <c r="AN390" i="2"/>
  <c r="AV389" i="2"/>
  <c r="AR389" i="2" s="1"/>
  <c r="AW389" i="2" s="1"/>
  <c r="AU389" i="2" s="1"/>
  <c r="N390" i="2"/>
  <c r="Q390" i="2" s="1"/>
  <c r="O390" i="2" s="1"/>
  <c r="AS391" i="2" s="1"/>
  <c r="AH389" i="2"/>
  <c r="AI390" i="2" s="1"/>
  <c r="X391" i="2" l="1"/>
  <c r="I391" i="2"/>
  <c r="N391" i="2"/>
  <c r="AN391" i="2"/>
  <c r="AO391" i="2"/>
  <c r="AE389" i="2"/>
  <c r="AF390" i="2" s="1"/>
  <c r="T390" i="2"/>
  <c r="S390" i="2"/>
  <c r="R390" i="2" s="1"/>
  <c r="AG390" i="2" s="1"/>
  <c r="AM390" i="2"/>
  <c r="Q391" i="2" l="1"/>
  <c r="O391" i="2" s="1"/>
  <c r="I392" i="2" s="1"/>
  <c r="AK390" i="2"/>
  <c r="AT389" i="2"/>
  <c r="BB390" i="2" s="1"/>
  <c r="AL389" i="2"/>
  <c r="BA389" i="2" s="1"/>
  <c r="S391" i="2"/>
  <c r="T391" i="2"/>
  <c r="AH390" i="2"/>
  <c r="AI391" i="2" s="1"/>
  <c r="AE390" i="2"/>
  <c r="AF391" i="2" s="1"/>
  <c r="AS392" i="2"/>
  <c r="X392" i="2" l="1"/>
  <c r="AO392" i="2"/>
  <c r="AN392" i="2"/>
  <c r="N392" i="2"/>
  <c r="Q392" i="2" s="1"/>
  <c r="O392" i="2" s="1"/>
  <c r="AN393" i="2" s="1"/>
  <c r="AV390" i="2"/>
  <c r="AR390" i="2" s="1"/>
  <c r="AW390" i="2" s="1"/>
  <c r="AU390" i="2" s="1"/>
  <c r="R391" i="2"/>
  <c r="AE391" i="2" s="1"/>
  <c r="AF392" i="2" s="1"/>
  <c r="AT390" i="2"/>
  <c r="BB391" i="2" s="1"/>
  <c r="AL390" i="2"/>
  <c r="BA390" i="2" s="1"/>
  <c r="AK391" i="2"/>
  <c r="I393" i="2" l="1"/>
  <c r="X393" i="2"/>
  <c r="AS393" i="2"/>
  <c r="AO393" i="2"/>
  <c r="N393" i="2"/>
  <c r="T392" i="2"/>
  <c r="S392" i="2"/>
  <c r="AG391" i="2"/>
  <c r="AH391" i="2"/>
  <c r="AI392" i="2" s="1"/>
  <c r="AV391" i="2"/>
  <c r="AR391" i="2" s="1"/>
  <c r="AW391" i="2" s="1"/>
  <c r="AU391" i="2" s="1"/>
  <c r="AM392" i="2" l="1"/>
  <c r="Q393" i="2"/>
  <c r="O393" i="2" s="1"/>
  <c r="I394" i="2" s="1"/>
  <c r="AT391" i="2"/>
  <c r="BB392" i="2" s="1"/>
  <c r="R392" i="2"/>
  <c r="T393" i="2" s="1"/>
  <c r="AK392" i="2"/>
  <c r="AL391" i="2"/>
  <c r="BA391" i="2" s="1"/>
  <c r="AM393" i="2"/>
  <c r="AE392" i="2" l="1"/>
  <c r="AF393" i="2" s="1"/>
  <c r="AS394" i="2"/>
  <c r="N394" i="2"/>
  <c r="Q394" i="2" s="1"/>
  <c r="AN394" i="2"/>
  <c r="X394" i="2"/>
  <c r="AO394" i="2"/>
  <c r="AV392" i="2"/>
  <c r="AR392" i="2" s="1"/>
  <c r="AW392" i="2" s="1"/>
  <c r="AU392" i="2" s="1"/>
  <c r="S393" i="2"/>
  <c r="R393" i="2" s="1"/>
  <c r="S394" i="2" s="1"/>
  <c r="AH392" i="2"/>
  <c r="AI393" i="2" s="1"/>
  <c r="AG392" i="2"/>
  <c r="AE393" i="2" l="1"/>
  <c r="AF394" i="2" s="1"/>
  <c r="AG393" i="2"/>
  <c r="T394" i="2"/>
  <c r="AK393" i="2"/>
  <c r="AH393" i="2"/>
  <c r="AI394" i="2" s="1"/>
  <c r="AT392" i="2"/>
  <c r="BB393" i="2" s="1"/>
  <c r="AL392" i="2"/>
  <c r="BA392" i="2" s="1"/>
  <c r="R394" i="2"/>
  <c r="O394" i="2"/>
  <c r="AL393" i="2" l="1"/>
  <c r="BA393" i="2" s="1"/>
  <c r="AG394" i="2"/>
  <c r="AT393" i="2"/>
  <c r="BB394" i="2" s="1"/>
  <c r="AV393" i="2"/>
  <c r="AR393" i="2" s="1"/>
  <c r="AW393" i="2" s="1"/>
  <c r="AU393" i="2" s="1"/>
  <c r="AV394" i="2" s="1"/>
  <c r="AR394" i="2" s="1"/>
  <c r="AW394" i="2" s="1"/>
  <c r="AU394" i="2" s="1"/>
  <c r="AK394" i="2"/>
  <c r="AH394" i="2"/>
  <c r="AI395" i="2" s="1"/>
  <c r="T395" i="2"/>
  <c r="S395" i="2"/>
  <c r="I395" i="2"/>
  <c r="X395" i="2"/>
  <c r="AS395" i="2"/>
  <c r="N395" i="2"/>
  <c r="AO395" i="2"/>
  <c r="AN395" i="2"/>
  <c r="AE394" i="2"/>
  <c r="AL394" i="2" l="1"/>
  <c r="BA394" i="2" s="1"/>
  <c r="AT394" i="2"/>
  <c r="BB395" i="2" s="1"/>
  <c r="Q395" i="2"/>
  <c r="O395" i="2" s="1"/>
  <c r="AS396" i="2" s="1"/>
  <c r="AF395" i="2"/>
  <c r="AK395" i="2" s="1"/>
  <c r="AN396" i="2" l="1"/>
  <c r="X396" i="2"/>
  <c r="R395" i="2"/>
  <c r="I396" i="2"/>
  <c r="AO396" i="2"/>
  <c r="N396" i="2"/>
  <c r="AH395" i="2"/>
  <c r="AM396" i="2" s="1"/>
  <c r="AV395" i="2"/>
  <c r="AR395" i="2" s="1"/>
  <c r="AW395" i="2" s="1"/>
  <c r="Q396" i="2" l="1"/>
  <c r="O396" i="2" s="1"/>
  <c r="X397" i="2" s="1"/>
  <c r="S396" i="2"/>
  <c r="AG395" i="2"/>
  <c r="AE395" i="2"/>
  <c r="AL395" i="2" s="1"/>
  <c r="BA395" i="2" s="1"/>
  <c r="T396" i="2"/>
  <c r="AN397" i="2" l="1"/>
  <c r="AS397" i="2"/>
  <c r="I397" i="2"/>
  <c r="N397" i="2"/>
  <c r="AO397" i="2"/>
  <c r="AJ396" i="2"/>
  <c r="AT395" i="2" s="1"/>
  <c r="BB396" i="2" s="1"/>
  <c r="AF396" i="2"/>
  <c r="R396" i="2"/>
  <c r="T397" i="2" s="1"/>
  <c r="Q397" i="2" l="1"/>
  <c r="O397" i="2" s="1"/>
  <c r="AG396" i="2"/>
  <c r="AI396" i="2"/>
  <c r="AK396" i="2" s="1"/>
  <c r="S397" i="2"/>
  <c r="AE396" i="2"/>
  <c r="AF397" i="2" s="1"/>
  <c r="AV396" i="2"/>
  <c r="AR396" i="2" s="1"/>
  <c r="AW396" i="2" s="1"/>
  <c r="AU396" i="2" s="1"/>
  <c r="I398" i="2" l="1"/>
  <c r="AS398" i="2"/>
  <c r="R397" i="2"/>
  <c r="S398" i="2" s="1"/>
  <c r="AN398" i="2"/>
  <c r="AO398" i="2"/>
  <c r="AH396" i="2"/>
  <c r="AT396" i="2" s="1"/>
  <c r="BB397" i="2" s="1"/>
  <c r="X398" i="2"/>
  <c r="N398" i="2"/>
  <c r="Q398" i="2" l="1"/>
  <c r="O398" i="2" s="1"/>
  <c r="X399" i="2" s="1"/>
  <c r="AE397" i="2"/>
  <c r="AF398" i="2" s="1"/>
  <c r="AG397" i="2"/>
  <c r="T398" i="2"/>
  <c r="AL396" i="2"/>
  <c r="BA396" i="2" s="1"/>
  <c r="AI397" i="2"/>
  <c r="AK397" i="2" s="1"/>
  <c r="AV397" i="2"/>
  <c r="AR397" i="2" s="1"/>
  <c r="AW397" i="2" s="1"/>
  <c r="AN399" i="2" l="1"/>
  <c r="AO399" i="2"/>
  <c r="I399" i="2"/>
  <c r="R398" i="2"/>
  <c r="T399" i="2" s="1"/>
  <c r="N399" i="2"/>
  <c r="AS399" i="2"/>
  <c r="AH397" i="2"/>
  <c r="AU397" i="2"/>
  <c r="AE398" i="2" l="1"/>
  <c r="AF399" i="2" s="1"/>
  <c r="Q399" i="2"/>
  <c r="O399" i="2" s="1"/>
  <c r="AS400" i="2" s="1"/>
  <c r="AG398" i="2"/>
  <c r="S399" i="2"/>
  <c r="AL397" i="2"/>
  <c r="BA397" i="2" s="1"/>
  <c r="AM398" i="2"/>
  <c r="AT397" i="2"/>
  <c r="BB398" i="2" s="1"/>
  <c r="AI398" i="2"/>
  <c r="AK398" i="2" s="1"/>
  <c r="R399" i="2" l="1"/>
  <c r="T400" i="2" s="1"/>
  <c r="AN400" i="2"/>
  <c r="N400" i="2"/>
  <c r="I400" i="2"/>
  <c r="X400" i="2"/>
  <c r="AO400" i="2"/>
  <c r="AH398" i="2"/>
  <c r="AM399" i="2" s="1"/>
  <c r="AV398" i="2"/>
  <c r="AR398" i="2" s="1"/>
  <c r="AW398" i="2" s="1"/>
  <c r="AU398" i="2" s="1"/>
  <c r="AG399" i="2" l="1"/>
  <c r="AE399" i="2"/>
  <c r="AF400" i="2" s="1"/>
  <c r="S400" i="2"/>
  <c r="Q400" i="2"/>
  <c r="O400" i="2" s="1"/>
  <c r="X401" i="2" s="1"/>
  <c r="AI399" i="2"/>
  <c r="AH399" i="2" s="1"/>
  <c r="AM400" i="2" s="1"/>
  <c r="AT398" i="2"/>
  <c r="BB399" i="2" s="1"/>
  <c r="AL398" i="2"/>
  <c r="BA398" i="2" s="1"/>
  <c r="AS401" i="2" l="1"/>
  <c r="R400" i="2"/>
  <c r="AG400" i="2" s="1"/>
  <c r="AN401" i="2"/>
  <c r="AO401" i="2"/>
  <c r="I401" i="2"/>
  <c r="N401" i="2"/>
  <c r="AV399" i="2"/>
  <c r="AR399" i="2" s="1"/>
  <c r="AW399" i="2" s="1"/>
  <c r="AU399" i="2" s="1"/>
  <c r="AK399" i="2"/>
  <c r="AT399" i="2"/>
  <c r="BB400" i="2" s="1"/>
  <c r="AL399" i="2"/>
  <c r="AI400" i="2"/>
  <c r="Q401" i="2" l="1"/>
  <c r="O401" i="2" s="1"/>
  <c r="N402" i="2" s="1"/>
  <c r="T401" i="2"/>
  <c r="S401" i="2"/>
  <c r="AE400" i="2"/>
  <c r="AF401" i="2" s="1"/>
  <c r="BA399" i="2"/>
  <c r="AV400" i="2"/>
  <c r="AR400" i="2" s="1"/>
  <c r="AW400" i="2" s="1"/>
  <c r="AK400" i="2"/>
  <c r="AH400" i="2"/>
  <c r="AS402" i="2" l="1"/>
  <c r="AL400" i="2"/>
  <c r="BA400" i="2" s="1"/>
  <c r="X402" i="2"/>
  <c r="AN402" i="2"/>
  <c r="I402" i="2"/>
  <c r="Q402" i="2" s="1"/>
  <c r="O402" i="2" s="1"/>
  <c r="N403" i="2" s="1"/>
  <c r="AO402" i="2"/>
  <c r="R401" i="2"/>
  <c r="S402" i="2" s="1"/>
  <c r="AT400" i="2"/>
  <c r="BB401" i="2" s="1"/>
  <c r="AU400" i="2"/>
  <c r="AI401" i="2"/>
  <c r="T402" i="2" l="1"/>
  <c r="R402" i="2" s="1"/>
  <c r="AE401" i="2"/>
  <c r="AF402" i="2" s="1"/>
  <c r="AG401" i="2"/>
  <c r="AN403" i="2"/>
  <c r="I403" i="2"/>
  <c r="Q403" i="2" s="1"/>
  <c r="O403" i="2" s="1"/>
  <c r="X403" i="2"/>
  <c r="AO403" i="2"/>
  <c r="AS403" i="2"/>
  <c r="AV401" i="2"/>
  <c r="AR401" i="2" s="1"/>
  <c r="AW401" i="2" s="1"/>
  <c r="AK401" i="2"/>
  <c r="AH401" i="2"/>
  <c r="AL401" i="2" l="1"/>
  <c r="BA401" i="2" s="1"/>
  <c r="AN404" i="2"/>
  <c r="AO404" i="2"/>
  <c r="AS404" i="2"/>
  <c r="X404" i="2"/>
  <c r="I404" i="2"/>
  <c r="N404" i="2"/>
  <c r="AT401" i="2"/>
  <c r="BB402" i="2" s="1"/>
  <c r="T403" i="2"/>
  <c r="AG402" i="2"/>
  <c r="AE402" i="2"/>
  <c r="AF403" i="2" s="1"/>
  <c r="S403" i="2"/>
  <c r="AU401" i="2"/>
  <c r="AI402" i="2"/>
  <c r="Q404" i="2" l="1"/>
  <c r="O404" i="2" s="1"/>
  <c r="R403" i="2"/>
  <c r="AV402" i="2"/>
  <c r="AR402" i="2" s="1"/>
  <c r="AW402" i="2" s="1"/>
  <c r="AK402" i="2"/>
  <c r="AH402" i="2"/>
  <c r="AM403" i="2" s="1"/>
  <c r="AE403" i="2" l="1"/>
  <c r="AF404" i="2" s="1"/>
  <c r="S404" i="2"/>
  <c r="AG403" i="2"/>
  <c r="T404" i="2"/>
  <c r="AL402" i="2"/>
  <c r="BA402" i="2" s="1"/>
  <c r="AT402" i="2"/>
  <c r="BB403" i="2" s="1"/>
  <c r="X405" i="2"/>
  <c r="AU402" i="2"/>
  <c r="I405" i="2"/>
  <c r="AI403" i="2"/>
  <c r="AO405" i="2"/>
  <c r="AS405" i="2"/>
  <c r="N405" i="2"/>
  <c r="AN405" i="2"/>
  <c r="R404" i="2" l="1"/>
  <c r="T405" i="2" s="1"/>
  <c r="Q405" i="2"/>
  <c r="O405" i="2" s="1"/>
  <c r="AN406" i="2" s="1"/>
  <c r="AV403" i="2"/>
  <c r="AR403" i="2" s="1"/>
  <c r="AW403" i="2" s="1"/>
  <c r="AH403" i="2"/>
  <c r="AM404" i="2" s="1"/>
  <c r="AK403" i="2"/>
  <c r="AE404" i="2" l="1"/>
  <c r="AF405" i="2" s="1"/>
  <c r="S405" i="2"/>
  <c r="R405" i="2" s="1"/>
  <c r="T406" i="2" s="1"/>
  <c r="AG404" i="2"/>
  <c r="AS406" i="2"/>
  <c r="AL403" i="2"/>
  <c r="BA403" i="2" s="1"/>
  <c r="AT403" i="2"/>
  <c r="BB404" i="2" s="1"/>
  <c r="AU403" i="2"/>
  <c r="AI404" i="2"/>
  <c r="AO406" i="2"/>
  <c r="I406" i="2"/>
  <c r="X406" i="2"/>
  <c r="N406" i="2"/>
  <c r="S406" i="2" l="1"/>
  <c r="AE405" i="2"/>
  <c r="AF406" i="2" s="1"/>
  <c r="AG405" i="2"/>
  <c r="AV404" i="2"/>
  <c r="AR404" i="2" s="1"/>
  <c r="AW404" i="2" s="1"/>
  <c r="AK404" i="2"/>
  <c r="AH404" i="2"/>
  <c r="Q406" i="2"/>
  <c r="O406" i="2" s="1"/>
  <c r="AS407" i="2" l="1"/>
  <c r="AL404" i="2"/>
  <c r="BA404" i="2" s="1"/>
  <c r="AT404" i="2"/>
  <c r="BB405" i="2" s="1"/>
  <c r="AU404" i="2"/>
  <c r="R406" i="2"/>
  <c r="AI405" i="2"/>
  <c r="AN407" i="2"/>
  <c r="N407" i="2"/>
  <c r="I407" i="2"/>
  <c r="X407" i="2"/>
  <c r="AO407" i="2"/>
  <c r="S407" i="2" l="1"/>
  <c r="AG406" i="2"/>
  <c r="Q407" i="2"/>
  <c r="O407" i="2" s="1"/>
  <c r="AV405" i="2"/>
  <c r="AR405" i="2" s="1"/>
  <c r="AW405" i="2" s="1"/>
  <c r="AK405" i="2"/>
  <c r="AH405" i="2"/>
  <c r="T407" i="2"/>
  <c r="AE406" i="2"/>
  <c r="N408" i="2" l="1"/>
  <c r="AL405" i="2"/>
  <c r="BA405" i="2" s="1"/>
  <c r="AT405" i="2"/>
  <c r="BB406" i="2" s="1"/>
  <c r="AF407" i="2"/>
  <c r="R407" i="2"/>
  <c r="AU405" i="2"/>
  <c r="AI406" i="2"/>
  <c r="AN408" i="2"/>
  <c r="I408" i="2"/>
  <c r="Q408" i="2" s="1"/>
  <c r="X408" i="2"/>
  <c r="AO408" i="2"/>
  <c r="AS408" i="2"/>
  <c r="S408" i="2" l="1"/>
  <c r="AG407" i="2"/>
  <c r="T408" i="2"/>
  <c r="AE407" i="2"/>
  <c r="AK406" i="2"/>
  <c r="AH406" i="2"/>
  <c r="AV406" i="2"/>
  <c r="AR406" i="2" s="1"/>
  <c r="AW406" i="2" s="1"/>
  <c r="AU406" i="2" s="1"/>
  <c r="O408" i="2"/>
  <c r="R408" i="2" l="1"/>
  <c r="T409" i="2" s="1"/>
  <c r="AL406" i="2"/>
  <c r="BA406" i="2" s="1"/>
  <c r="AT406" i="2"/>
  <c r="BB407" i="2" s="1"/>
  <c r="AF408" i="2"/>
  <c r="AI407" i="2"/>
  <c r="I409" i="2"/>
  <c r="AN409" i="2"/>
  <c r="AS409" i="2"/>
  <c r="X409" i="2"/>
  <c r="N409" i="2"/>
  <c r="AO409" i="2"/>
  <c r="AE408" i="2" l="1"/>
  <c r="AF409" i="2" s="1"/>
  <c r="S409" i="2"/>
  <c r="AG408" i="2"/>
  <c r="AK407" i="2"/>
  <c r="AH407" i="2"/>
  <c r="AV407" i="2"/>
  <c r="AR407" i="2" s="1"/>
  <c r="AW407" i="2" s="1"/>
  <c r="Q409" i="2"/>
  <c r="R409" i="2" s="1"/>
  <c r="AE409" i="2" l="1"/>
  <c r="AF410" i="2" s="1"/>
  <c r="AG409" i="2"/>
  <c r="AL407" i="2"/>
  <c r="BA407" i="2" s="1"/>
  <c r="AJ408" i="2"/>
  <c r="AI408" i="2" s="1"/>
  <c r="T410" i="2"/>
  <c r="S410" i="2"/>
  <c r="O409" i="2"/>
  <c r="AT407" i="2" l="1"/>
  <c r="BB408" i="2" s="1"/>
  <c r="AN410" i="2"/>
  <c r="AK408" i="2"/>
  <c r="AH408" i="2"/>
  <c r="N410" i="2"/>
  <c r="X410" i="2"/>
  <c r="AO410" i="2"/>
  <c r="I410" i="2"/>
  <c r="AS410" i="2"/>
  <c r="AL408" i="2" l="1"/>
  <c r="BA408" i="2" s="1"/>
  <c r="AT408" i="2"/>
  <c r="BB409" i="2" s="1"/>
  <c r="Q410" i="2"/>
  <c r="R410" i="2" s="1"/>
  <c r="AE410" i="2" s="1"/>
  <c r="AF411" i="2" s="1"/>
  <c r="AI409" i="2"/>
  <c r="AV408" i="2"/>
  <c r="AR408" i="2" s="1"/>
  <c r="AW408" i="2" s="1"/>
  <c r="AU408" i="2" s="1"/>
  <c r="O410" i="2"/>
  <c r="AN411" i="2" l="1"/>
  <c r="T411" i="2"/>
  <c r="AG410" i="2"/>
  <c r="S411" i="2"/>
  <c r="AV409" i="2"/>
  <c r="AR409" i="2" s="1"/>
  <c r="AW409" i="2" s="1"/>
  <c r="AK409" i="2"/>
  <c r="AH409" i="2"/>
  <c r="AS411" i="2"/>
  <c r="X411" i="2"/>
  <c r="AO411" i="2"/>
  <c r="N411" i="2"/>
  <c r="I411" i="2"/>
  <c r="AL409" i="2" l="1"/>
  <c r="BA409" i="2" s="1"/>
  <c r="AT409" i="2"/>
  <c r="BB410" i="2" s="1"/>
  <c r="AU409" i="2"/>
  <c r="AI410" i="2"/>
  <c r="AM410" i="2"/>
  <c r="Q411" i="2"/>
  <c r="R411" i="2" s="1"/>
  <c r="T412" i="2" l="1"/>
  <c r="AG411" i="2"/>
  <c r="AV410" i="2"/>
  <c r="AR410" i="2" s="1"/>
  <c r="AW410" i="2" s="1"/>
  <c r="AK410" i="2"/>
  <c r="AH410" i="2"/>
  <c r="AT410" i="2" s="1"/>
  <c r="BB411" i="2" s="1"/>
  <c r="S412" i="2"/>
  <c r="O411" i="2"/>
  <c r="AE411" i="2"/>
  <c r="AM411" i="2" l="1"/>
  <c r="AL410" i="2"/>
  <c r="BA410" i="2" s="1"/>
  <c r="AF412" i="2"/>
  <c r="AU410" i="2"/>
  <c r="AI411" i="2"/>
  <c r="I412" i="2"/>
  <c r="AN412" i="2"/>
  <c r="AO412" i="2"/>
  <c r="N412" i="2"/>
  <c r="AS412" i="2"/>
  <c r="X412" i="2"/>
  <c r="AV411" i="2" l="1"/>
  <c r="AR411" i="2" s="1"/>
  <c r="AW411" i="2" s="1"/>
  <c r="AU411" i="2" s="1"/>
  <c r="AK411" i="2"/>
  <c r="AH411" i="2"/>
  <c r="Q412" i="2"/>
  <c r="R412" i="2" s="1"/>
  <c r="S413" i="2" l="1"/>
  <c r="AG412" i="2"/>
  <c r="AL411" i="2"/>
  <c r="BA411" i="2" s="1"/>
  <c r="AT411" i="2"/>
  <c r="BB412" i="2" s="1"/>
  <c r="AI412" i="2"/>
  <c r="AK412" i="2" s="1"/>
  <c r="AE412" i="2"/>
  <c r="O412" i="2"/>
  <c r="T413" i="2"/>
  <c r="N413" i="2" l="1"/>
  <c r="AF413" i="2"/>
  <c r="AH412" i="2"/>
  <c r="AI413" i="2" s="1"/>
  <c r="AV412" i="2"/>
  <c r="AR412" i="2" s="1"/>
  <c r="AW412" i="2" s="1"/>
  <c r="AS413" i="2"/>
  <c r="AN413" i="2"/>
  <c r="AO413" i="2"/>
  <c r="X413" i="2"/>
  <c r="I413" i="2"/>
  <c r="Q413" i="2" l="1"/>
  <c r="R413" i="2" s="1"/>
  <c r="S414" i="2" s="1"/>
  <c r="AT412" i="2"/>
  <c r="BB413" i="2" s="1"/>
  <c r="AL412" i="2"/>
  <c r="BA412" i="2" s="1"/>
  <c r="AU412" i="2"/>
  <c r="AK413" i="2"/>
  <c r="O413" i="2" l="1"/>
  <c r="AO414" i="2" s="1"/>
  <c r="AE413" i="2"/>
  <c r="AH413" i="2"/>
  <c r="AI414" i="2" s="1"/>
  <c r="AG413" i="2"/>
  <c r="T414" i="2"/>
  <c r="AV413" i="2"/>
  <c r="AR413" i="2" s="1"/>
  <c r="AW413" i="2" s="1"/>
  <c r="AU413" i="2" s="1"/>
  <c r="AS414" i="2" l="1"/>
  <c r="I414" i="2"/>
  <c r="AN414" i="2"/>
  <c r="AM414" i="2"/>
  <c r="N414" i="2"/>
  <c r="X414" i="2"/>
  <c r="AL413" i="2"/>
  <c r="BA413" i="2" s="1"/>
  <c r="AT413" i="2"/>
  <c r="AF414" i="2"/>
  <c r="BB414" i="2" l="1"/>
  <c r="AK414" i="2"/>
  <c r="Q414" i="2"/>
  <c r="O414" i="2" s="1"/>
  <c r="N415" i="2" s="1"/>
  <c r="AV414" i="2"/>
  <c r="AR414" i="2" s="1"/>
  <c r="AW414" i="2" s="1"/>
  <c r="AU414" i="2" s="1"/>
  <c r="AN415" i="2"/>
  <c r="AS415" i="2"/>
  <c r="R414" i="2"/>
  <c r="X415" i="2" l="1"/>
  <c r="AO415" i="2"/>
  <c r="I415" i="2"/>
  <c r="AE414" i="2"/>
  <c r="AF415" i="2" s="1"/>
  <c r="AG414" i="2"/>
  <c r="AH414" i="2"/>
  <c r="AI415" i="2" s="1"/>
  <c r="Q415" i="2"/>
  <c r="O415" i="2" s="1"/>
  <c r="S415" i="2"/>
  <c r="T415" i="2"/>
  <c r="AM415" i="2" l="1"/>
  <c r="AN416" i="2"/>
  <c r="AT414" i="2"/>
  <c r="BB415" i="2" s="1"/>
  <c r="AL414" i="2"/>
  <c r="BA414" i="2" s="1"/>
  <c r="R415" i="2"/>
  <c r="AO416" i="2"/>
  <c r="N416" i="2"/>
  <c r="AS416" i="2"/>
  <c r="I416" i="2"/>
  <c r="X416" i="2"/>
  <c r="AK415" i="2"/>
  <c r="S416" i="2" l="1"/>
  <c r="AG415" i="2"/>
  <c r="AV415" i="2"/>
  <c r="AR415" i="2" s="1"/>
  <c r="AW415" i="2" s="1"/>
  <c r="AU415" i="2" s="1"/>
  <c r="Q416" i="2"/>
  <c r="O416" i="2" s="1"/>
  <c r="AE415" i="2"/>
  <c r="T416" i="2"/>
  <c r="AH415" i="2"/>
  <c r="AI416" i="2" s="1"/>
  <c r="AN417" i="2"/>
  <c r="R416" i="2" l="1"/>
  <c r="T417" i="2" s="1"/>
  <c r="AT415" i="2"/>
  <c r="BB416" i="2" s="1"/>
  <c r="I417" i="2"/>
  <c r="AS417" i="2"/>
  <c r="AO417" i="2"/>
  <c r="X417" i="2"/>
  <c r="N417" i="2"/>
  <c r="AF416" i="2"/>
  <c r="AK416" i="2" s="1"/>
  <c r="AL415" i="2"/>
  <c r="BA415" i="2" s="1"/>
  <c r="S417" i="2" l="1"/>
  <c r="AH416" i="2"/>
  <c r="AI417" i="2" s="1"/>
  <c r="AG416" i="2"/>
  <c r="Q417" i="2"/>
  <c r="AE416" i="2"/>
  <c r="AF417" i="2" s="1"/>
  <c r="AV416" i="2"/>
  <c r="AR416" i="2" s="1"/>
  <c r="AW416" i="2" s="1"/>
  <c r="AU416" i="2" s="1"/>
  <c r="R417" i="2" l="1"/>
  <c r="T418" i="2" s="1"/>
  <c r="O417" i="2"/>
  <c r="AO418" i="2" s="1"/>
  <c r="AK417" i="2"/>
  <c r="AL416" i="2"/>
  <c r="BA416" i="2" s="1"/>
  <c r="AT416" i="2"/>
  <c r="BB417" i="2" s="1"/>
  <c r="S418" i="2" l="1"/>
  <c r="AG417" i="2"/>
  <c r="AH417" i="2"/>
  <c r="AI418" i="2" s="1"/>
  <c r="AE417" i="2"/>
  <c r="AF418" i="2" s="1"/>
  <c r="AS418" i="2"/>
  <c r="N418" i="2"/>
  <c r="X418" i="2"/>
  <c r="I418" i="2"/>
  <c r="AV417" i="2"/>
  <c r="AR417" i="2" s="1"/>
  <c r="AW417" i="2" s="1"/>
  <c r="AU417" i="2" s="1"/>
  <c r="AN418" i="2"/>
  <c r="AK418" i="2" l="1"/>
  <c r="AT417" i="2"/>
  <c r="BB418" i="2" s="1"/>
  <c r="AL417" i="2"/>
  <c r="BA417" i="2" s="1"/>
  <c r="Q418" i="2"/>
  <c r="R418" i="2" s="1"/>
  <c r="AE418" i="2" s="1"/>
  <c r="AF419" i="2" s="1"/>
  <c r="AV418" i="2" l="1"/>
  <c r="AR418" i="2" s="1"/>
  <c r="AW418" i="2" s="1"/>
  <c r="AU418" i="2" s="1"/>
  <c r="O418" i="2"/>
  <c r="N419" i="2" s="1"/>
  <c r="T419" i="2"/>
  <c r="S419" i="2"/>
  <c r="AH418" i="2"/>
  <c r="AI419" i="2" s="1"/>
  <c r="AG418" i="2"/>
  <c r="AM419" i="2"/>
  <c r="AT418" i="2" l="1"/>
  <c r="AO419" i="2"/>
  <c r="AS419" i="2"/>
  <c r="AN419" i="2"/>
  <c r="AL418" i="2"/>
  <c r="BA418" i="2" s="1"/>
  <c r="I419" i="2"/>
  <c r="Q419" i="2" s="1"/>
  <c r="R419" i="2" s="1"/>
  <c r="X419" i="2"/>
  <c r="BB419" i="2" l="1"/>
  <c r="AV419" i="2"/>
  <c r="AR419" i="2" s="1"/>
  <c r="AW419" i="2" s="1"/>
  <c r="AK419" i="2"/>
  <c r="S420" i="2"/>
  <c r="AG419" i="2"/>
  <c r="AH419" i="2"/>
  <c r="O419" i="2"/>
  <c r="AN420" i="2" s="1"/>
  <c r="AE419" i="2"/>
  <c r="T420" i="2"/>
  <c r="N420" i="2" l="1"/>
  <c r="AL419" i="2"/>
  <c r="BA419" i="2" s="1"/>
  <c r="I420" i="2"/>
  <c r="X420" i="2"/>
  <c r="AJ420" i="2"/>
  <c r="AT419" i="2" s="1"/>
  <c r="AF420" i="2"/>
  <c r="AO420" i="2"/>
  <c r="AS420" i="2"/>
  <c r="Q420" i="2" l="1"/>
  <c r="R420" i="2" s="1"/>
  <c r="T421" i="2" s="1"/>
  <c r="BB420" i="2"/>
  <c r="AI420" i="2"/>
  <c r="AK420" i="2" s="1"/>
  <c r="AV420" i="2"/>
  <c r="AR420" i="2" s="1"/>
  <c r="AW420" i="2" s="1"/>
  <c r="O420" i="2" l="1"/>
  <c r="N421" i="2" s="1"/>
  <c r="AE420" i="2"/>
  <c r="AF421" i="2" s="1"/>
  <c r="AG420" i="2"/>
  <c r="S421" i="2"/>
  <c r="AH420" i="2"/>
  <c r="AI421" i="2" s="1"/>
  <c r="AU420" i="2"/>
  <c r="AN421" i="2"/>
  <c r="X421" i="2" l="1"/>
  <c r="I421" i="2"/>
  <c r="AK421" i="2" s="1"/>
  <c r="AO421" i="2"/>
  <c r="AS421" i="2"/>
  <c r="AT420" i="2"/>
  <c r="AL420" i="2"/>
  <c r="BA420" i="2" s="1"/>
  <c r="Q421" i="2" l="1"/>
  <c r="R421" i="2" s="1"/>
  <c r="T422" i="2" s="1"/>
  <c r="BB421" i="2"/>
  <c r="AV421" i="2"/>
  <c r="AR421" i="2" s="1"/>
  <c r="AW421" i="2" s="1"/>
  <c r="AU421" i="2" s="1"/>
  <c r="AE421" i="2" l="1"/>
  <c r="AF422" i="2" s="1"/>
  <c r="O421" i="2"/>
  <c r="AS422" i="2" s="1"/>
  <c r="AH421" i="2"/>
  <c r="AI422" i="2" s="1"/>
  <c r="AG421" i="2"/>
  <c r="S422" i="2"/>
  <c r="AN422" i="2"/>
  <c r="AM422" i="2"/>
  <c r="X422" i="2" l="1"/>
  <c r="N422" i="2"/>
  <c r="I422" i="2"/>
  <c r="AK422" i="2" s="1"/>
  <c r="AO422" i="2"/>
  <c r="AL421" i="2"/>
  <c r="BA421" i="2" s="1"/>
  <c r="AT421" i="2"/>
  <c r="BB422" i="2" s="1"/>
  <c r="Q422" i="2" l="1"/>
  <c r="R422" i="2" s="1"/>
  <c r="AE422" i="2" s="1"/>
  <c r="AF423" i="2" s="1"/>
  <c r="AV422" i="2"/>
  <c r="AR422" i="2" s="1"/>
  <c r="AW422" i="2" s="1"/>
  <c r="AU422" i="2" s="1"/>
  <c r="S423" i="2" l="1"/>
  <c r="T423" i="2"/>
  <c r="AG422" i="2"/>
  <c r="AH422" i="2"/>
  <c r="AI423" i="2" s="1"/>
  <c r="O422" i="2"/>
  <c r="X423" i="2" s="1"/>
  <c r="AO423" i="2" l="1"/>
  <c r="N423" i="2"/>
  <c r="AM423" i="2"/>
  <c r="I423" i="2"/>
  <c r="AK423" i="2" s="1"/>
  <c r="AT422" i="2"/>
  <c r="AL422" i="2"/>
  <c r="BA422" i="2" s="1"/>
  <c r="AS423" i="2"/>
  <c r="AN423" i="2"/>
  <c r="Q423" i="2" l="1"/>
  <c r="R423" i="2" s="1"/>
  <c r="AH423" i="2" s="1"/>
  <c r="AI424" i="2" s="1"/>
  <c r="AV423" i="2"/>
  <c r="AR423" i="2" s="1"/>
  <c r="AW423" i="2" s="1"/>
  <c r="BB423" i="2"/>
  <c r="AG423" i="2" l="1"/>
  <c r="O423" i="2"/>
  <c r="AE423" i="2"/>
  <c r="T424" i="2"/>
  <c r="S424" i="2"/>
  <c r="AU423" i="2"/>
  <c r="N424" i="2"/>
  <c r="AS424" i="2" l="1"/>
  <c r="AM424" i="2"/>
  <c r="I424" i="2"/>
  <c r="Q424" i="2" s="1"/>
  <c r="R424" i="2" s="1"/>
  <c r="S425" i="2" s="1"/>
  <c r="AN424" i="2"/>
  <c r="X424" i="2"/>
  <c r="AO424" i="2"/>
  <c r="AT423" i="2"/>
  <c r="AL423" i="2"/>
  <c r="BA423" i="2" s="1"/>
  <c r="AF424" i="2"/>
  <c r="AK424" i="2" l="1"/>
  <c r="BB424" i="2"/>
  <c r="AV424" i="2"/>
  <c r="AR424" i="2" s="1"/>
  <c r="AW424" i="2" s="1"/>
  <c r="AU424" i="2" s="1"/>
  <c r="O424" i="2"/>
  <c r="AS425" i="2" s="1"/>
  <c r="T425" i="2"/>
  <c r="AH424" i="2"/>
  <c r="AI425" i="2" s="1"/>
  <c r="AE424" i="2"/>
  <c r="AF425" i="2" s="1"/>
  <c r="AG424" i="2"/>
  <c r="AN425" i="2" l="1"/>
  <c r="X425" i="2"/>
  <c r="I425" i="2"/>
  <c r="AK425" i="2" s="1"/>
  <c r="AT424" i="2"/>
  <c r="AO425" i="2"/>
  <c r="N425" i="2"/>
  <c r="AM425" i="2"/>
  <c r="AL424" i="2"/>
  <c r="BA424" i="2" s="1"/>
  <c r="AV425" i="2" l="1"/>
  <c r="AR425" i="2" s="1"/>
  <c r="AW425" i="2" s="1"/>
  <c r="BB425" i="2"/>
  <c r="Q425" i="2"/>
  <c r="R425" i="2" s="1"/>
  <c r="AE425" i="2" s="1"/>
  <c r="AF426" i="2" s="1"/>
  <c r="AU425" i="2" l="1"/>
  <c r="O425" i="2"/>
  <c r="I426" i="2" s="1"/>
  <c r="T426" i="2"/>
  <c r="AG425" i="2"/>
  <c r="S426" i="2"/>
  <c r="AH425" i="2"/>
  <c r="AI426" i="2" s="1"/>
  <c r="AM426" i="2"/>
  <c r="AS426" i="2" l="1"/>
  <c r="X426" i="2"/>
  <c r="N426" i="2"/>
  <c r="Q426" i="2" s="1"/>
  <c r="R426" i="2" s="1"/>
  <c r="AH426" i="2" s="1"/>
  <c r="AI427" i="2" s="1"/>
  <c r="AO426" i="2"/>
  <c r="AN426" i="2"/>
  <c r="AK426" i="2"/>
  <c r="AL425" i="2"/>
  <c r="BA425" i="2" s="1"/>
  <c r="AT425" i="2"/>
  <c r="AV426" i="2" l="1"/>
  <c r="AR426" i="2" s="1"/>
  <c r="AW426" i="2" s="1"/>
  <c r="BB426" i="2"/>
  <c r="AG426" i="2"/>
  <c r="AE426" i="2"/>
  <c r="AF427" i="2" s="1"/>
  <c r="O426" i="2"/>
  <c r="S427" i="2"/>
  <c r="T427" i="2"/>
  <c r="AN427" i="2"/>
  <c r="AU426" i="2" l="1"/>
  <c r="AO427" i="2"/>
  <c r="AM427" i="2"/>
  <c r="N427" i="2"/>
  <c r="AS427" i="2"/>
  <c r="AT426" i="2"/>
  <c r="AL426" i="2"/>
  <c r="BA426" i="2" s="1"/>
  <c r="I427" i="2"/>
  <c r="AK427" i="2" s="1"/>
  <c r="X427" i="2"/>
  <c r="BB427" i="2" l="1"/>
  <c r="Q427" i="2"/>
  <c r="R427" i="2" s="1"/>
  <c r="AH427" i="2" s="1"/>
  <c r="AI428" i="2" s="1"/>
  <c r="AV427" i="2"/>
  <c r="AR427" i="2" s="1"/>
  <c r="AW427" i="2" s="1"/>
  <c r="AU427" i="2" s="1"/>
  <c r="O427" i="2" l="1"/>
  <c r="N428" i="2" s="1"/>
  <c r="AE427" i="2"/>
  <c r="AF428" i="2" s="1"/>
  <c r="AG427" i="2"/>
  <c r="S428" i="2"/>
  <c r="T428" i="2"/>
  <c r="AN428" i="2"/>
  <c r="AS428" i="2" l="1"/>
  <c r="AT427" i="2"/>
  <c r="AO428" i="2"/>
  <c r="X428" i="2"/>
  <c r="AL427" i="2"/>
  <c r="BA427" i="2" s="1"/>
  <c r="I428" i="2"/>
  <c r="Q428" i="2" s="1"/>
  <c r="O428" i="2" s="1"/>
  <c r="I429" i="2" s="1"/>
  <c r="BB428" i="2" l="1"/>
  <c r="R428" i="2"/>
  <c r="AG428" i="2" s="1"/>
  <c r="AV428" i="2"/>
  <c r="AR428" i="2" s="1"/>
  <c r="AW428" i="2" s="1"/>
  <c r="AS429" i="2"/>
  <c r="AN429" i="2"/>
  <c r="X429" i="2"/>
  <c r="AO429" i="2"/>
  <c r="N429" i="2"/>
  <c r="Q429" i="2" s="1"/>
  <c r="O429" i="2" s="1"/>
  <c r="AN430" i="2" s="1"/>
  <c r="AK428" i="2"/>
  <c r="AU428" i="2" l="1"/>
  <c r="AE428" i="2"/>
  <c r="AH428" i="2"/>
  <c r="AI429" i="2" s="1"/>
  <c r="T429" i="2"/>
  <c r="S429" i="2"/>
  <c r="AS430" i="2"/>
  <c r="I430" i="2"/>
  <c r="AO430" i="2"/>
  <c r="N430" i="2"/>
  <c r="X430" i="2"/>
  <c r="AT428" i="2" l="1"/>
  <c r="BB429" i="2" s="1"/>
  <c r="AF429" i="2"/>
  <c r="AK429" i="2" s="1"/>
  <c r="AL428" i="2"/>
  <c r="BA428" i="2" s="1"/>
  <c r="R429" i="2"/>
  <c r="T430" i="2" s="1"/>
  <c r="Q430" i="2"/>
  <c r="O430" i="2" s="1"/>
  <c r="AS431" i="2" s="1"/>
  <c r="AG429" i="2" l="1"/>
  <c r="AH429" i="2"/>
  <c r="AI430" i="2" s="1"/>
  <c r="AE429" i="2"/>
  <c r="AF430" i="2" s="1"/>
  <c r="AV429" i="2"/>
  <c r="AR429" i="2" s="1"/>
  <c r="AW429" i="2" s="1"/>
  <c r="AU429" i="2" s="1"/>
  <c r="S430" i="2"/>
  <c r="R430" i="2" s="1"/>
  <c r="S431" i="2" s="1"/>
  <c r="AO431" i="2"/>
  <c r="AN431" i="2"/>
  <c r="X431" i="2"/>
  <c r="I431" i="2"/>
  <c r="N431" i="2"/>
  <c r="AL429" i="2" l="1"/>
  <c r="BA429" i="2" s="1"/>
  <c r="T431" i="2"/>
  <c r="AH430" i="2"/>
  <c r="AI431" i="2" s="1"/>
  <c r="AG430" i="2"/>
  <c r="AE430" i="2"/>
  <c r="AT430" i="2" s="1"/>
  <c r="BB431" i="2" s="1"/>
  <c r="AK430" i="2"/>
  <c r="AT429" i="2"/>
  <c r="BB430" i="2" s="1"/>
  <c r="Q431" i="2"/>
  <c r="R431" i="2" s="1"/>
  <c r="AH431" i="2" s="1"/>
  <c r="AF431" i="2" l="1"/>
  <c r="AK431" i="2" s="1"/>
  <c r="AL430" i="2"/>
  <c r="BA430" i="2" s="1"/>
  <c r="AV430" i="2"/>
  <c r="AR430" i="2" s="1"/>
  <c r="AW430" i="2" s="1"/>
  <c r="AU430" i="2" s="1"/>
  <c r="AV431" i="2" s="1"/>
  <c r="AR431" i="2" s="1"/>
  <c r="AW431" i="2" s="1"/>
  <c r="O431" i="2"/>
  <c r="I432" i="2" s="1"/>
  <c r="AG431" i="2"/>
  <c r="S432" i="2"/>
  <c r="T432" i="2"/>
  <c r="AE431" i="2" l="1"/>
  <c r="AF432" i="2" s="1"/>
  <c r="AS432" i="2"/>
  <c r="N432" i="2"/>
  <c r="Q432" i="2" s="1"/>
  <c r="R432" i="2" s="1"/>
  <c r="X432" i="2"/>
  <c r="AN432" i="2"/>
  <c r="AO432" i="2"/>
  <c r="AJ432" i="2" l="1"/>
  <c r="AI432" i="2" s="1"/>
  <c r="AK432" i="2" s="1"/>
  <c r="AL431" i="2"/>
  <c r="BA431" i="2" s="1"/>
  <c r="AG432" i="2"/>
  <c r="O432" i="2"/>
  <c r="AE432" i="2"/>
  <c r="T433" i="2"/>
  <c r="S433" i="2"/>
  <c r="AT431" i="2" l="1"/>
  <c r="BB432" i="2" s="1"/>
  <c r="AH432" i="2"/>
  <c r="AI433" i="2" s="1"/>
  <c r="AF433" i="2"/>
  <c r="X433" i="2"/>
  <c r="AN433" i="2"/>
  <c r="I433" i="2"/>
  <c r="AO433" i="2"/>
  <c r="AS433" i="2"/>
  <c r="N433" i="2"/>
  <c r="AL432" i="2" l="1"/>
  <c r="BA432" i="2" s="1"/>
  <c r="AT432" i="2"/>
  <c r="BB433" i="2" s="1"/>
  <c r="AV432" i="2"/>
  <c r="AR432" i="2" s="1"/>
  <c r="AW432" i="2" s="1"/>
  <c r="AU432" i="2" s="1"/>
  <c r="AV433" i="2" s="1"/>
  <c r="AR433" i="2" s="1"/>
  <c r="AW433" i="2" s="1"/>
  <c r="Q433" i="2"/>
  <c r="R433" i="2" s="1"/>
  <c r="AK433" i="2"/>
  <c r="AU433" i="2" l="1"/>
  <c r="AE433" i="2"/>
  <c r="AF434" i="2" s="1"/>
  <c r="AG433" i="2"/>
  <c r="AH433" i="2"/>
  <c r="AI434" i="2" s="1"/>
  <c r="S434" i="2"/>
  <c r="T434" i="2"/>
  <c r="O433" i="2"/>
  <c r="AN434" i="2" l="1"/>
  <c r="AT433" i="2"/>
  <c r="AL433" i="2"/>
  <c r="BA433" i="2" s="1"/>
  <c r="N434" i="2"/>
  <c r="AM434" i="2"/>
  <c r="AO434" i="2"/>
  <c r="I434" i="2"/>
  <c r="X434" i="2"/>
  <c r="AS434" i="2"/>
  <c r="BB434" i="2" l="1"/>
  <c r="Q434" i="2"/>
  <c r="R434" i="2" s="1"/>
  <c r="AK434" i="2"/>
  <c r="AV434" i="2"/>
  <c r="AR434" i="2" s="1"/>
  <c r="AW434" i="2" s="1"/>
  <c r="AU434" i="2" s="1"/>
  <c r="AE434" i="2" l="1"/>
  <c r="AF435" i="2" s="1"/>
  <c r="AG434" i="2"/>
  <c r="O434" i="2"/>
  <c r="AH434" i="2"/>
  <c r="AI435" i="2" s="1"/>
  <c r="T435" i="2"/>
  <c r="S435" i="2"/>
  <c r="AT434" i="2" l="1"/>
  <c r="AL434" i="2"/>
  <c r="BA434" i="2" s="1"/>
  <c r="I435" i="2"/>
  <c r="AK435" i="2" s="1"/>
  <c r="AN435" i="2"/>
  <c r="AS435" i="2"/>
  <c r="X435" i="2"/>
  <c r="AO435" i="2"/>
  <c r="N435" i="2"/>
  <c r="BB435" i="2" l="1"/>
  <c r="Q435" i="2"/>
  <c r="R435" i="2" s="1"/>
  <c r="AV435" i="2"/>
  <c r="AR435" i="2" s="1"/>
  <c r="AW435" i="2" s="1"/>
  <c r="AU435" i="2" l="1"/>
  <c r="AH435" i="2"/>
  <c r="AI436" i="2" s="1"/>
  <c r="AG435" i="2"/>
  <c r="AE435" i="2"/>
  <c r="O435" i="2"/>
  <c r="AS436" i="2" s="1"/>
  <c r="S436" i="2"/>
  <c r="T436" i="2"/>
  <c r="AN436" i="2"/>
  <c r="AO436" i="2" l="1"/>
  <c r="AT435" i="2"/>
  <c r="BB436" i="2" s="1"/>
  <c r="N436" i="2"/>
  <c r="AF436" i="2"/>
  <c r="AL435" i="2"/>
  <c r="BA435" i="2" s="1"/>
  <c r="I436" i="2"/>
  <c r="X436" i="2"/>
  <c r="AV436" i="2" l="1"/>
  <c r="AR436" i="2" s="1"/>
  <c r="AW436" i="2" s="1"/>
  <c r="AK436" i="2"/>
  <c r="Q436" i="2"/>
  <c r="O436" i="2" s="1"/>
  <c r="AS437" i="2" l="1"/>
  <c r="AU436" i="2"/>
  <c r="AN437" i="2"/>
  <c r="AO437" i="2"/>
  <c r="I437" i="2"/>
  <c r="R436" i="2"/>
  <c r="N437" i="2"/>
  <c r="X437" i="2"/>
  <c r="S437" i="2" l="1"/>
  <c r="AG436" i="2"/>
  <c r="AH436" i="2"/>
  <c r="AI437" i="2" s="1"/>
  <c r="Q437" i="2"/>
  <c r="O437" i="2" s="1"/>
  <c r="AE436" i="2"/>
  <c r="T437" i="2"/>
  <c r="AT436" i="2" l="1"/>
  <c r="BB437" i="2" s="1"/>
  <c r="R437" i="2"/>
  <c r="AG437" i="2" s="1"/>
  <c r="AM437" i="2"/>
  <c r="AF437" i="2"/>
  <c r="AK437" i="2" s="1"/>
  <c r="AL436" i="2"/>
  <c r="BA436" i="2" s="1"/>
  <c r="AH437" i="2"/>
  <c r="AI438" i="2" s="1"/>
  <c r="AS438" i="2"/>
  <c r="X438" i="2"/>
  <c r="AO438" i="2"/>
  <c r="I438" i="2"/>
  <c r="N438" i="2"/>
  <c r="AN438" i="2"/>
  <c r="S438" i="2" l="1"/>
  <c r="T438" i="2"/>
  <c r="AE437" i="2"/>
  <c r="AF438" i="2" s="1"/>
  <c r="AV437" i="2"/>
  <c r="AR437" i="2" s="1"/>
  <c r="AW437" i="2" s="1"/>
  <c r="AU437" i="2" s="1"/>
  <c r="Q438" i="2"/>
  <c r="O438" i="2" s="1"/>
  <c r="AK438" i="2" l="1"/>
  <c r="AT437" i="2"/>
  <c r="BB438" i="2" s="1"/>
  <c r="AL437" i="2"/>
  <c r="BA437" i="2" s="1"/>
  <c r="R438" i="2"/>
  <c r="AS439" i="2"/>
  <c r="AN439" i="2"/>
  <c r="I439" i="2"/>
  <c r="AO439" i="2"/>
  <c r="X439" i="2"/>
  <c r="N439" i="2"/>
  <c r="AV438" i="2" l="1"/>
  <c r="AR438" i="2" s="1"/>
  <c r="AW438" i="2" s="1"/>
  <c r="AU438" i="2" s="1"/>
  <c r="T439" i="2"/>
  <c r="AG438" i="2"/>
  <c r="AE438" i="2"/>
  <c r="AF439" i="2" s="1"/>
  <c r="S439" i="2"/>
  <c r="AH438" i="2"/>
  <c r="AI439" i="2" s="1"/>
  <c r="Q439" i="2"/>
  <c r="R439" i="2" l="1"/>
  <c r="T440" i="2" s="1"/>
  <c r="AT438" i="2"/>
  <c r="BB439" i="2" s="1"/>
  <c r="AL438" i="2"/>
  <c r="BA438" i="2" s="1"/>
  <c r="O439" i="2"/>
  <c r="AN440" i="2" s="1"/>
  <c r="AK439" i="2"/>
  <c r="AH439" i="2" l="1"/>
  <c r="AI440" i="2" s="1"/>
  <c r="AE439" i="2"/>
  <c r="S440" i="2"/>
  <c r="AG439" i="2"/>
  <c r="N440" i="2"/>
  <c r="AF440" i="2"/>
  <c r="X440" i="2"/>
  <c r="I440" i="2"/>
  <c r="AO440" i="2"/>
  <c r="AS440" i="2"/>
  <c r="AV439" i="2"/>
  <c r="AR439" i="2" s="1"/>
  <c r="AW439" i="2" s="1"/>
  <c r="AU439" i="2" s="1"/>
  <c r="AT439" i="2" l="1"/>
  <c r="AV440" i="2" s="1"/>
  <c r="AR440" i="2" s="1"/>
  <c r="AW440" i="2" s="1"/>
  <c r="AL439" i="2"/>
  <c r="BA439" i="2" s="1"/>
  <c r="Q440" i="2"/>
  <c r="O440" i="2" s="1"/>
  <c r="X441" i="2" s="1"/>
  <c r="AK440" i="2"/>
  <c r="BB440" i="2" l="1"/>
  <c r="AU440" i="2" s="1"/>
  <c r="AN441" i="2"/>
  <c r="AO441" i="2"/>
  <c r="I441" i="2"/>
  <c r="N441" i="2"/>
  <c r="AS441" i="2"/>
  <c r="R440" i="2"/>
  <c r="AH440" i="2" s="1"/>
  <c r="AI441" i="2" s="1"/>
  <c r="AE440" i="2" l="1"/>
  <c r="AT440" i="2" s="1"/>
  <c r="BB441" i="2" s="1"/>
  <c r="T441" i="2"/>
  <c r="AG440" i="2"/>
  <c r="Q441" i="2"/>
  <c r="O441" i="2" s="1"/>
  <c r="S441" i="2"/>
  <c r="AF441" i="2" l="1"/>
  <c r="AL440" i="2"/>
  <c r="BA440" i="2" s="1"/>
  <c r="R441" i="2"/>
  <c r="S442" i="2" s="1"/>
  <c r="I442" i="2"/>
  <c r="AN442" i="2"/>
  <c r="AV441" i="2"/>
  <c r="AR441" i="2" s="1"/>
  <c r="AW441" i="2" s="1"/>
  <c r="AU441" i="2" s="1"/>
  <c r="X442" i="2"/>
  <c r="AS442" i="2"/>
  <c r="AO442" i="2"/>
  <c r="N442" i="2"/>
  <c r="AE441" i="2" l="1"/>
  <c r="AF442" i="2" s="1"/>
  <c r="AK441" i="2"/>
  <c r="AH441" i="2"/>
  <c r="AI442" i="2" s="1"/>
  <c r="AG441" i="2"/>
  <c r="T442" i="2"/>
  <c r="Q442" i="2"/>
  <c r="R442" i="2" l="1"/>
  <c r="T443" i="2" s="1"/>
  <c r="AT441" i="2"/>
  <c r="BB442" i="2" s="1"/>
  <c r="AL441" i="2"/>
  <c r="BA441" i="2" s="1"/>
  <c r="AK442" i="2"/>
  <c r="O442" i="2"/>
  <c r="AN443" i="2"/>
  <c r="AS443" i="2" l="1"/>
  <c r="S443" i="2"/>
  <c r="AE442" i="2"/>
  <c r="AF443" i="2" s="1"/>
  <c r="AH442" i="2"/>
  <c r="AI443" i="2" s="1"/>
  <c r="AG442" i="2"/>
  <c r="AV442" i="2"/>
  <c r="AR442" i="2" s="1"/>
  <c r="AW442" i="2" s="1"/>
  <c r="AU442" i="2" s="1"/>
  <c r="AO443" i="2"/>
  <c r="I443" i="2"/>
  <c r="N443" i="2"/>
  <c r="X443" i="2"/>
  <c r="AM443" i="2" l="1"/>
  <c r="AT442" i="2"/>
  <c r="BB443" i="2" s="1"/>
  <c r="AK443" i="2"/>
  <c r="AL442" i="2"/>
  <c r="BA442" i="2" s="1"/>
  <c r="Q443" i="2"/>
  <c r="R443" i="2" s="1"/>
  <c r="T444" i="2" s="1"/>
  <c r="AV443" i="2" l="1"/>
  <c r="AR443" i="2" s="1"/>
  <c r="AW443" i="2" s="1"/>
  <c r="AG443" i="2"/>
  <c r="AE443" i="2"/>
  <c r="AF444" i="2" s="1"/>
  <c r="AH443" i="2"/>
  <c r="O443" i="2"/>
  <c r="X444" i="2" s="1"/>
  <c r="S444" i="2"/>
  <c r="AO444" i="2" l="1"/>
  <c r="I444" i="2"/>
  <c r="AL443" i="2"/>
  <c r="BA443" i="2" s="1"/>
  <c r="AJ444" i="2"/>
  <c r="AT443" i="2" s="1"/>
  <c r="AS444" i="2"/>
  <c r="AN444" i="2"/>
  <c r="N444" i="2"/>
  <c r="Q444" i="2" l="1"/>
  <c r="R444" i="2" s="1"/>
  <c r="S445" i="2" s="1"/>
  <c r="AI444" i="2"/>
  <c r="AK444" i="2" s="1"/>
  <c r="AV444" i="2"/>
  <c r="AR444" i="2" s="1"/>
  <c r="AW444" i="2" s="1"/>
  <c r="BB444" i="2"/>
  <c r="O444" i="2" l="1"/>
  <c r="AO445" i="2" s="1"/>
  <c r="AE444" i="2"/>
  <c r="AF445" i="2" s="1"/>
  <c r="AG444" i="2"/>
  <c r="T445" i="2"/>
  <c r="AH444" i="2"/>
  <c r="AI445" i="2" s="1"/>
  <c r="AU444" i="2"/>
  <c r="AN445" i="2" l="1"/>
  <c r="N445" i="2"/>
  <c r="I445" i="2"/>
  <c r="AS445" i="2"/>
  <c r="X445" i="2"/>
  <c r="AL444" i="2"/>
  <c r="BA444" i="2" s="1"/>
  <c r="AT444" i="2"/>
  <c r="BB445" i="2" l="1"/>
  <c r="Q445" i="2"/>
  <c r="R445" i="2" s="1"/>
  <c r="AG445" i="2" s="1"/>
  <c r="AK445" i="2"/>
  <c r="AV445" i="2"/>
  <c r="AR445" i="2" s="1"/>
  <c r="AW445" i="2" s="1"/>
  <c r="AU445" i="2" s="1"/>
  <c r="O445" i="2" l="1"/>
  <c r="I446" i="2" s="1"/>
  <c r="AE445" i="2"/>
  <c r="AF446" i="2" s="1"/>
  <c r="AH445" i="2"/>
  <c r="AI446" i="2" s="1"/>
  <c r="S446" i="2"/>
  <c r="T446" i="2"/>
  <c r="AS446" i="2" l="1"/>
  <c r="X446" i="2"/>
  <c r="N446" i="2"/>
  <c r="Q446" i="2" s="1"/>
  <c r="R446" i="2" s="1"/>
  <c r="AG446" i="2" s="1"/>
  <c r="AO446" i="2"/>
  <c r="AN446" i="2"/>
  <c r="AL445" i="2"/>
  <c r="BA445" i="2" s="1"/>
  <c r="AT445" i="2"/>
  <c r="AK446" i="2"/>
  <c r="AV446" i="2" l="1"/>
  <c r="AR446" i="2" s="1"/>
  <c r="AW446" i="2" s="1"/>
  <c r="BB446" i="2"/>
  <c r="AH446" i="2"/>
  <c r="AI447" i="2" s="1"/>
  <c r="T447" i="2"/>
  <c r="S447" i="2"/>
  <c r="AE446" i="2"/>
  <c r="AF447" i="2" s="1"/>
  <c r="O446" i="2"/>
  <c r="X447" i="2" s="1"/>
  <c r="AU446" i="2" l="1"/>
  <c r="AN447" i="2"/>
  <c r="AL446" i="2"/>
  <c r="BA446" i="2" s="1"/>
  <c r="AT446" i="2"/>
  <c r="N447" i="2"/>
  <c r="I447" i="2"/>
  <c r="AK447" i="2" s="1"/>
  <c r="AO447" i="2"/>
  <c r="AS447" i="2"/>
  <c r="Q447" i="2" l="1"/>
  <c r="O447" i="2" s="1"/>
  <c r="AN448" i="2" s="1"/>
  <c r="AV447" i="2"/>
  <c r="AR447" i="2" s="1"/>
  <c r="AW447" i="2" s="1"/>
  <c r="BB447" i="2"/>
  <c r="I448" i="2" l="1"/>
  <c r="N448" i="2"/>
  <c r="AS448" i="2"/>
  <c r="AO448" i="2"/>
  <c r="R447" i="2"/>
  <c r="T448" i="2" s="1"/>
  <c r="X448" i="2"/>
  <c r="AU447" i="2"/>
  <c r="S448" i="2" l="1"/>
  <c r="AG447" i="2"/>
  <c r="Q448" i="2"/>
  <c r="O448" i="2" s="1"/>
  <c r="X449" i="2" s="1"/>
  <c r="AH447" i="2"/>
  <c r="AI448" i="2" s="1"/>
  <c r="AE447" i="2"/>
  <c r="AF448" i="2" s="1"/>
  <c r="AN449" i="2"/>
  <c r="R448" i="2"/>
  <c r="AS449" i="2"/>
  <c r="AO449" i="2" l="1"/>
  <c r="N449" i="2"/>
  <c r="I449" i="2"/>
  <c r="AK448" i="2"/>
  <c r="AL447" i="2"/>
  <c r="BA447" i="2" s="1"/>
  <c r="AT447" i="2"/>
  <c r="BB448" i="2" s="1"/>
  <c r="T449" i="2"/>
  <c r="AG448" i="2"/>
  <c r="S449" i="2"/>
  <c r="AH448" i="2"/>
  <c r="AI449" i="2" s="1"/>
  <c r="AE448" i="2"/>
  <c r="Q449" i="2" l="1"/>
  <c r="O449" i="2" s="1"/>
  <c r="N450" i="2" s="1"/>
  <c r="AV448" i="2"/>
  <c r="AR448" i="2" s="1"/>
  <c r="AW448" i="2" s="1"/>
  <c r="AU448" i="2" s="1"/>
  <c r="AT448" i="2"/>
  <c r="BB449" i="2" s="1"/>
  <c r="AF449" i="2"/>
  <c r="AK449" i="2" s="1"/>
  <c r="AL448" i="2"/>
  <c r="BA448" i="2" s="1"/>
  <c r="AS450" i="2"/>
  <c r="R449" i="2"/>
  <c r="AN450" i="2" l="1"/>
  <c r="AO450" i="2"/>
  <c r="X450" i="2"/>
  <c r="I450" i="2"/>
  <c r="Q450" i="2" s="1"/>
  <c r="AV449" i="2"/>
  <c r="AR449" i="2" s="1"/>
  <c r="AW449" i="2" s="1"/>
  <c r="AU449" i="2" s="1"/>
  <c r="T450" i="2"/>
  <c r="AG449" i="2"/>
  <c r="AE449" i="2"/>
  <c r="AH449" i="2"/>
  <c r="AI450" i="2" s="1"/>
  <c r="S450" i="2"/>
  <c r="R450" i="2" l="1"/>
  <c r="S451" i="2" s="1"/>
  <c r="AT449" i="2"/>
  <c r="BB450" i="2" s="1"/>
  <c r="AF450" i="2"/>
  <c r="AK450" i="2" s="1"/>
  <c r="AL449" i="2"/>
  <c r="BA449" i="2" s="1"/>
  <c r="O450" i="2"/>
  <c r="AH450" i="2" l="1"/>
  <c r="AI451" i="2" s="1"/>
  <c r="T451" i="2"/>
  <c r="AG450" i="2"/>
  <c r="AE450" i="2"/>
  <c r="AV450" i="2"/>
  <c r="AR450" i="2" s="1"/>
  <c r="AW450" i="2" s="1"/>
  <c r="AU450" i="2" s="1"/>
  <c r="X451" i="2"/>
  <c r="AN451" i="2"/>
  <c r="I451" i="2"/>
  <c r="AO451" i="2"/>
  <c r="N451" i="2"/>
  <c r="AS451" i="2"/>
  <c r="AT450" i="2" l="1"/>
  <c r="BB451" i="2" s="1"/>
  <c r="AF451" i="2"/>
  <c r="AK451" i="2" s="1"/>
  <c r="AL450" i="2"/>
  <c r="BA450" i="2" s="1"/>
  <c r="Q451" i="2"/>
  <c r="R451" i="2" s="1"/>
  <c r="AV451" i="2" l="1"/>
  <c r="AR451" i="2" s="1"/>
  <c r="AW451" i="2" s="1"/>
  <c r="AU451" i="2" s="1"/>
  <c r="S452" i="2"/>
  <c r="AG451" i="2"/>
  <c r="O451" i="2"/>
  <c r="AH451" i="2"/>
  <c r="AI452" i="2" s="1"/>
  <c r="AE451" i="2"/>
  <c r="T452" i="2"/>
  <c r="AT451" i="2" l="1"/>
  <c r="AF452" i="2"/>
  <c r="AL451" i="2"/>
  <c r="BA451" i="2" s="1"/>
  <c r="AO452" i="2"/>
  <c r="AN452" i="2"/>
  <c r="AS452" i="2"/>
  <c r="N452" i="2"/>
  <c r="X452" i="2"/>
  <c r="I452" i="2"/>
  <c r="BB452" i="2" l="1"/>
  <c r="AK452" i="2"/>
  <c r="Q452" i="2"/>
  <c r="R452" i="2" s="1"/>
  <c r="AV452" i="2"/>
  <c r="AR452" i="2" s="1"/>
  <c r="AW452" i="2" s="1"/>
  <c r="S453" i="2" l="1"/>
  <c r="AG452" i="2"/>
  <c r="O452" i="2"/>
  <c r="AH452" i="2"/>
  <c r="AI453" i="2" s="1"/>
  <c r="AE452" i="2"/>
  <c r="T453" i="2"/>
  <c r="AU452" i="2"/>
  <c r="AT452" i="2" l="1"/>
  <c r="AF453" i="2"/>
  <c r="AL452" i="2"/>
  <c r="BA452" i="2" s="1"/>
  <c r="N453" i="2"/>
  <c r="AN453" i="2"/>
  <c r="X453" i="2"/>
  <c r="I453" i="2"/>
  <c r="AO453" i="2"/>
  <c r="AS453" i="2"/>
  <c r="BB453" i="2" l="1"/>
  <c r="Q453" i="2"/>
  <c r="R453" i="2" s="1"/>
  <c r="AG453" i="2" s="1"/>
  <c r="AK453" i="2"/>
  <c r="AV453" i="2"/>
  <c r="AR453" i="2" s="1"/>
  <c r="AW453" i="2" s="1"/>
  <c r="AE453" i="2" l="1"/>
  <c r="AH453" i="2"/>
  <c r="AI454" i="2" s="1"/>
  <c r="S454" i="2"/>
  <c r="T454" i="2"/>
  <c r="O453" i="2"/>
  <c r="AN454" i="2"/>
  <c r="AU453" i="2"/>
  <c r="AO454" i="2" l="1"/>
  <c r="AT453" i="2"/>
  <c r="AF454" i="2"/>
  <c r="AL453" i="2"/>
  <c r="BA453" i="2" s="1"/>
  <c r="N454" i="2"/>
  <c r="I454" i="2"/>
  <c r="AS454" i="2"/>
  <c r="X454" i="2"/>
  <c r="BB454" i="2" l="1"/>
  <c r="Q454" i="2"/>
  <c r="R454" i="2" s="1"/>
  <c r="AE454" i="2" s="1"/>
  <c r="AF455" i="2" s="1"/>
  <c r="AK454" i="2"/>
  <c r="AV454" i="2"/>
  <c r="AR454" i="2" s="1"/>
  <c r="AW454" i="2" s="1"/>
  <c r="O454" i="2" l="1"/>
  <c r="AS455" i="2" s="1"/>
  <c r="T455" i="2"/>
  <c r="AG454" i="2"/>
  <c r="S455" i="2"/>
  <c r="AH454" i="2"/>
  <c r="AI455" i="2" s="1"/>
  <c r="AU454" i="2"/>
  <c r="AM455" i="2"/>
  <c r="AN455" i="2" l="1"/>
  <c r="X455" i="2"/>
  <c r="I455" i="2"/>
  <c r="AK455" i="2" s="1"/>
  <c r="AO455" i="2"/>
  <c r="N455" i="2"/>
  <c r="AT454" i="2"/>
  <c r="AL454" i="2"/>
  <c r="BA454" i="2" s="1"/>
  <c r="BB455" i="2" l="1"/>
  <c r="Q455" i="2"/>
  <c r="R455" i="2" s="1"/>
  <c r="AE455" i="2" s="1"/>
  <c r="AF456" i="2" s="1"/>
  <c r="AV455" i="2"/>
  <c r="AR455" i="2" s="1"/>
  <c r="AW455" i="2" s="1"/>
  <c r="O455" i="2" l="1"/>
  <c r="AN456" i="2" s="1"/>
  <c r="AH455" i="2"/>
  <c r="AL455" i="2" s="1"/>
  <c r="BA455" i="2" s="1"/>
  <c r="S456" i="2"/>
  <c r="T456" i="2"/>
  <c r="AG455" i="2"/>
  <c r="AJ456" i="2" l="1"/>
  <c r="AI456" i="2" s="1"/>
  <c r="AM456" i="2"/>
  <c r="N456" i="2"/>
  <c r="AS456" i="2"/>
  <c r="AO456" i="2"/>
  <c r="X456" i="2"/>
  <c r="I456" i="2"/>
  <c r="AT455" i="2" l="1"/>
  <c r="BB456" i="2" s="1"/>
  <c r="AK456" i="2"/>
  <c r="Q456" i="2"/>
  <c r="R456" i="2" s="1"/>
  <c r="AG456" i="2" s="1"/>
  <c r="AV456" i="2" l="1"/>
  <c r="AR456" i="2" s="1"/>
  <c r="AW456" i="2" s="1"/>
  <c r="AU456" i="2" s="1"/>
  <c r="AH456" i="2"/>
  <c r="AI457" i="2" s="1"/>
  <c r="AE456" i="2"/>
  <c r="AF457" i="2" s="1"/>
  <c r="O456" i="2"/>
  <c r="AS457" i="2" s="1"/>
  <c r="T457" i="2"/>
  <c r="S457" i="2"/>
  <c r="AN457" i="2"/>
  <c r="N457" i="2" l="1"/>
  <c r="X457" i="2"/>
  <c r="I457" i="2"/>
  <c r="AO457" i="2"/>
  <c r="AT456" i="2"/>
  <c r="BB457" i="2" s="1"/>
  <c r="AL456" i="2"/>
  <c r="BA456" i="2" s="1"/>
  <c r="AK457" i="2"/>
  <c r="Q457" i="2" l="1"/>
  <c r="R457" i="2" s="1"/>
  <c r="T458" i="2" s="1"/>
  <c r="AV457" i="2"/>
  <c r="AR457" i="2" s="1"/>
  <c r="AW457" i="2" s="1"/>
  <c r="AU457" i="2" s="1"/>
  <c r="AG457" i="2"/>
  <c r="AE457" i="2"/>
  <c r="O457" i="2"/>
  <c r="AN458" i="2" s="1"/>
  <c r="AH457" i="2"/>
  <c r="AI458" i="2" s="1"/>
  <c r="S458" i="2" l="1"/>
  <c r="AS458" i="2"/>
  <c r="AM458" i="2"/>
  <c r="AO458" i="2"/>
  <c r="AT457" i="2"/>
  <c r="X458" i="2"/>
  <c r="AF458" i="2"/>
  <c r="AL457" i="2"/>
  <c r="BA457" i="2" s="1"/>
  <c r="I458" i="2"/>
  <c r="N458" i="2"/>
  <c r="BB458" i="2" l="1"/>
  <c r="AK458" i="2"/>
  <c r="Q458" i="2"/>
  <c r="R458" i="2" s="1"/>
  <c r="AV458" i="2"/>
  <c r="AR458" i="2" s="1"/>
  <c r="AW458" i="2" s="1"/>
  <c r="O458" i="2"/>
  <c r="AH458" i="2"/>
  <c r="AI459" i="2" s="1"/>
  <c r="AE458" i="2"/>
  <c r="AU458" i="2" l="1"/>
  <c r="AT458" i="2"/>
  <c r="S459" i="2"/>
  <c r="AG458" i="2"/>
  <c r="AL458" i="2"/>
  <c r="BA458" i="2" s="1"/>
  <c r="T459" i="2"/>
  <c r="X459" i="2"/>
  <c r="AN459" i="2"/>
  <c r="N459" i="2"/>
  <c r="AS459" i="2"/>
  <c r="AO459" i="2"/>
  <c r="I459" i="2"/>
  <c r="AF459" i="2"/>
  <c r="BB459" i="2" l="1"/>
  <c r="AK459" i="2"/>
  <c r="Q459" i="2"/>
  <c r="R459" i="2" s="1"/>
  <c r="AG459" i="2" s="1"/>
  <c r="AV459" i="2"/>
  <c r="AR459" i="2" s="1"/>
  <c r="AW459" i="2" s="1"/>
  <c r="AU459" i="2" s="1"/>
  <c r="AE459" i="2" l="1"/>
  <c r="AH459" i="2"/>
  <c r="AI460" i="2" s="1"/>
  <c r="S460" i="2"/>
  <c r="T460" i="2"/>
  <c r="O459" i="2"/>
  <c r="AT459" i="2" l="1"/>
  <c r="AF460" i="2"/>
  <c r="AL459" i="2"/>
  <c r="BA459" i="2" s="1"/>
  <c r="N460" i="2"/>
  <c r="AN460" i="2"/>
  <c r="X460" i="2"/>
  <c r="AO460" i="2"/>
  <c r="AS460" i="2"/>
  <c r="I460" i="2"/>
  <c r="BB460" i="2" l="1"/>
  <c r="Q460" i="2"/>
  <c r="R460" i="2" s="1"/>
  <c r="AE460" i="2" s="1"/>
  <c r="AV460" i="2"/>
  <c r="AR460" i="2" s="1"/>
  <c r="AW460" i="2" s="1"/>
  <c r="AK460" i="2"/>
  <c r="AH460" i="2" l="1"/>
  <c r="AI461" i="2" s="1"/>
  <c r="O460" i="2"/>
  <c r="I461" i="2" s="1"/>
  <c r="T461" i="2"/>
  <c r="AG460" i="2"/>
  <c r="S461" i="2"/>
  <c r="AU460" i="2"/>
  <c r="AS461" i="2"/>
  <c r="AF461" i="2"/>
  <c r="AN461" i="2" l="1"/>
  <c r="AL460" i="2"/>
  <c r="BA460" i="2" s="1"/>
  <c r="AT460" i="2"/>
  <c r="X461" i="2"/>
  <c r="N461" i="2"/>
  <c r="Q461" i="2" s="1"/>
  <c r="R461" i="2" s="1"/>
  <c r="AO461" i="2"/>
  <c r="AK461" i="2"/>
  <c r="BB461" i="2" l="1"/>
  <c r="AV461" i="2"/>
  <c r="AR461" i="2" s="1"/>
  <c r="AW461" i="2" s="1"/>
  <c r="S462" i="2"/>
  <c r="AG461" i="2"/>
  <c r="O461" i="2"/>
  <c r="AS462" i="2" s="1"/>
  <c r="AH461" i="2"/>
  <c r="AI462" i="2" s="1"/>
  <c r="AE461" i="2"/>
  <c r="T462" i="2"/>
  <c r="AU461" i="2" l="1"/>
  <c r="I462" i="2"/>
  <c r="AT461" i="2"/>
  <c r="AF462" i="2"/>
  <c r="AL461" i="2"/>
  <c r="BA461" i="2" s="1"/>
  <c r="AO462" i="2"/>
  <c r="AN462" i="2"/>
  <c r="X462" i="2"/>
  <c r="N462" i="2"/>
  <c r="AK462" i="2" l="1"/>
  <c r="BB462" i="2"/>
  <c r="Q462" i="2"/>
  <c r="R462" i="2" s="1"/>
  <c r="AG462" i="2" s="1"/>
  <c r="AV462" i="2"/>
  <c r="AR462" i="2" s="1"/>
  <c r="AW462" i="2" s="1"/>
  <c r="AU462" i="2" s="1"/>
  <c r="AE462" i="2" l="1"/>
  <c r="AF463" i="2" s="1"/>
  <c r="AH462" i="2"/>
  <c r="AI463" i="2" s="1"/>
  <c r="S463" i="2"/>
  <c r="T463" i="2"/>
  <c r="O462" i="2"/>
  <c r="AM463" i="2" l="1"/>
  <c r="AL462" i="2"/>
  <c r="BA462" i="2" s="1"/>
  <c r="AN463" i="2"/>
  <c r="AT462" i="2"/>
  <c r="N463" i="2"/>
  <c r="I463" i="2"/>
  <c r="AO463" i="2"/>
  <c r="X463" i="2"/>
  <c r="AS463" i="2"/>
  <c r="Q463" i="2" l="1"/>
  <c r="O463" i="2" s="1"/>
  <c r="N464" i="2" s="1"/>
  <c r="AK463" i="2"/>
  <c r="BB463" i="2"/>
  <c r="AV463" i="2"/>
  <c r="AR463" i="2" s="1"/>
  <c r="AW463" i="2" s="1"/>
  <c r="AU463" i="2" s="1"/>
  <c r="AS464" i="2" l="1"/>
  <c r="R463" i="2"/>
  <c r="T464" i="2" s="1"/>
  <c r="AN464" i="2"/>
  <c r="AO464" i="2"/>
  <c r="I464" i="2"/>
  <c r="Q464" i="2" s="1"/>
  <c r="X464" i="2"/>
  <c r="S464" i="2" l="1"/>
  <c r="R464" i="2" s="1"/>
  <c r="AG463" i="2"/>
  <c r="AE463" i="2"/>
  <c r="AH463" i="2"/>
  <c r="AI464" i="2" s="1"/>
  <c r="O464" i="2"/>
  <c r="S465" i="2" l="1"/>
  <c r="T465" i="2"/>
  <c r="AH464" i="2"/>
  <c r="AI465" i="2" s="1"/>
  <c r="AG464" i="2"/>
  <c r="AL463" i="2"/>
  <c r="BA463" i="2" s="1"/>
  <c r="AT463" i="2"/>
  <c r="AF464" i="2"/>
  <c r="X465" i="2"/>
  <c r="AN465" i="2"/>
  <c r="I465" i="2"/>
  <c r="AS465" i="2"/>
  <c r="AO465" i="2"/>
  <c r="N465" i="2"/>
  <c r="AK464" i="2" l="1"/>
  <c r="AE464" i="2"/>
  <c r="BB464" i="2"/>
  <c r="AV464" i="2"/>
  <c r="AR464" i="2" s="1"/>
  <c r="AW464" i="2" s="1"/>
  <c r="AU464" i="2" s="1"/>
  <c r="Q465" i="2"/>
  <c r="R465" i="2" s="1"/>
  <c r="AH465" i="2" s="1"/>
  <c r="AI466" i="2" s="1"/>
  <c r="AF465" i="2" l="1"/>
  <c r="AK465" i="2" s="1"/>
  <c r="AL464" i="2"/>
  <c r="BA464" i="2" s="1"/>
  <c r="AT464" i="2"/>
  <c r="O465" i="2"/>
  <c r="AS466" i="2" s="1"/>
  <c r="S466" i="2"/>
  <c r="AG465" i="2"/>
  <c r="AN466" i="2"/>
  <c r="T466" i="2"/>
  <c r="AE465" i="2" l="1"/>
  <c r="AL465" i="2" s="1"/>
  <c r="BA465" i="2" s="1"/>
  <c r="N466" i="2"/>
  <c r="AO466" i="2"/>
  <c r="I466" i="2"/>
  <c r="X466" i="2"/>
  <c r="AV465" i="2"/>
  <c r="AR465" i="2" s="1"/>
  <c r="AW465" i="2" s="1"/>
  <c r="BB465" i="2"/>
  <c r="AU465" i="2" l="1"/>
  <c r="AF466" i="2"/>
  <c r="AK466" i="2" s="1"/>
  <c r="AT465" i="2"/>
  <c r="BB466" i="2" s="1"/>
  <c r="Q466" i="2"/>
  <c r="R466" i="2" s="1"/>
  <c r="AH466" i="2" s="1"/>
  <c r="AI467" i="2" s="1"/>
  <c r="AV466" i="2" l="1"/>
  <c r="AR466" i="2" s="1"/>
  <c r="AW466" i="2" s="1"/>
  <c r="AU466" i="2" s="1"/>
  <c r="O466" i="2"/>
  <c r="AO467" i="2" s="1"/>
  <c r="AG466" i="2"/>
  <c r="AE466" i="2"/>
  <c r="AF467" i="2" s="1"/>
  <c r="S467" i="2"/>
  <c r="T467" i="2"/>
  <c r="AM467" i="2" l="1"/>
  <c r="AT466" i="2"/>
  <c r="AL466" i="2"/>
  <c r="BA466" i="2" s="1"/>
  <c r="N467" i="2"/>
  <c r="X467" i="2"/>
  <c r="I467" i="2"/>
  <c r="Q467" i="2" s="1"/>
  <c r="R467" i="2" s="1"/>
  <c r="AG467" i="2" s="1"/>
  <c r="AN467" i="2"/>
  <c r="AS467" i="2"/>
  <c r="AK467" i="2" l="1"/>
  <c r="O467" i="2"/>
  <c r="AS468" i="2" s="1"/>
  <c r="AH467" i="2"/>
  <c r="AE467" i="2"/>
  <c r="AF468" i="2" s="1"/>
  <c r="BB467" i="2"/>
  <c r="AV467" i="2"/>
  <c r="AR467" i="2" s="1"/>
  <c r="AW467" i="2" s="1"/>
  <c r="S468" i="2"/>
  <c r="T468" i="2"/>
  <c r="AJ468" i="2" l="1"/>
  <c r="AI468" i="2" s="1"/>
  <c r="X468" i="2"/>
  <c r="N468" i="2"/>
  <c r="I468" i="2"/>
  <c r="AO468" i="2"/>
  <c r="AN468" i="2"/>
  <c r="AL467" i="2"/>
  <c r="BA467" i="2" s="1"/>
  <c r="AT467" i="2" l="1"/>
  <c r="BB468" i="2" s="1"/>
  <c r="AK468" i="2"/>
  <c r="Q468" i="2"/>
  <c r="R468" i="2" s="1"/>
  <c r="S469" i="2" s="1"/>
  <c r="AE468" i="2" l="1"/>
  <c r="AF469" i="2" s="1"/>
  <c r="AH468" i="2"/>
  <c r="AI469" i="2" s="1"/>
  <c r="O468" i="2"/>
  <c r="AO469" i="2" s="1"/>
  <c r="AG468" i="2"/>
  <c r="AV468" i="2"/>
  <c r="AR468" i="2" s="1"/>
  <c r="AW468" i="2" s="1"/>
  <c r="AU468" i="2" s="1"/>
  <c r="T469" i="2"/>
  <c r="AN469" i="2"/>
  <c r="AT468" i="2" l="1"/>
  <c r="AL468" i="2"/>
  <c r="BA468" i="2" s="1"/>
  <c r="N469" i="2"/>
  <c r="X469" i="2"/>
  <c r="I469" i="2"/>
  <c r="AK469" i="2" s="1"/>
  <c r="AS469" i="2"/>
  <c r="BB469" i="2" l="1"/>
  <c r="AV469" i="2"/>
  <c r="AR469" i="2" s="1"/>
  <c r="AW469" i="2" s="1"/>
  <c r="Q469" i="2"/>
  <c r="R469" i="2" s="1"/>
  <c r="T470" i="2" s="1"/>
  <c r="AU469" i="2" l="1"/>
  <c r="AE469" i="2"/>
  <c r="O469" i="2"/>
  <c r="AO470" i="2" s="1"/>
  <c r="AH469" i="2"/>
  <c r="AI470" i="2" s="1"/>
  <c r="AG469" i="2"/>
  <c r="S470" i="2"/>
  <c r="AM470" i="2"/>
  <c r="AS470" i="2"/>
  <c r="X470" i="2" l="1"/>
  <c r="I470" i="2"/>
  <c r="AT469" i="2"/>
  <c r="AF470" i="2"/>
  <c r="AL469" i="2"/>
  <c r="BA469" i="2" s="1"/>
  <c r="N470" i="2"/>
  <c r="Q470" i="2" s="1"/>
  <c r="R470" i="2" s="1"/>
  <c r="AG470" i="2" s="1"/>
  <c r="AN470" i="2"/>
  <c r="BB470" i="2" s="1"/>
  <c r="AK470" i="2"/>
  <c r="AV470" i="2" l="1"/>
  <c r="AR470" i="2" s="1"/>
  <c r="AW470" i="2" s="1"/>
  <c r="AU470" i="2" s="1"/>
  <c r="O470" i="2"/>
  <c r="T471" i="2"/>
  <c r="S471" i="2"/>
  <c r="AE470" i="2"/>
  <c r="AH470" i="2"/>
  <c r="AI471" i="2" s="1"/>
  <c r="AN471" i="2" l="1"/>
  <c r="AT470" i="2"/>
  <c r="AL470" i="2"/>
  <c r="BA470" i="2" s="1"/>
  <c r="AO471" i="2"/>
  <c r="I471" i="2"/>
  <c r="N471" i="2"/>
  <c r="X471" i="2"/>
  <c r="AS471" i="2"/>
  <c r="AF471" i="2"/>
  <c r="BB471" i="2" l="1"/>
  <c r="AK471" i="2"/>
  <c r="Q471" i="2"/>
  <c r="R471" i="2" s="1"/>
  <c r="AG471" i="2" s="1"/>
  <c r="AV471" i="2"/>
  <c r="AR471" i="2" s="1"/>
  <c r="AW471" i="2" s="1"/>
  <c r="AU471" i="2" s="1"/>
  <c r="O471" i="2" l="1"/>
  <c r="T472" i="2"/>
  <c r="AH471" i="2"/>
  <c r="AI472" i="2" s="1"/>
  <c r="AE471" i="2"/>
  <c r="S472" i="2"/>
  <c r="AL471" i="2" l="1"/>
  <c r="BA471" i="2" s="1"/>
  <c r="AN472" i="2"/>
  <c r="AT471" i="2"/>
  <c r="AO472" i="2"/>
  <c r="X472" i="2"/>
  <c r="I472" i="2"/>
  <c r="N472" i="2"/>
  <c r="AS472" i="2"/>
  <c r="AF472" i="2"/>
  <c r="BB472" i="2" l="1"/>
  <c r="AK472" i="2"/>
  <c r="Q472" i="2"/>
  <c r="R472" i="2" s="1"/>
  <c r="AG472" i="2" s="1"/>
  <c r="AV472" i="2"/>
  <c r="AR472" i="2" s="1"/>
  <c r="AW472" i="2" s="1"/>
  <c r="O472" i="2" l="1"/>
  <c r="AN473" i="2" s="1"/>
  <c r="AU472" i="2"/>
  <c r="T473" i="2"/>
  <c r="AE472" i="2"/>
  <c r="AH472" i="2"/>
  <c r="AI473" i="2" s="1"/>
  <c r="S473" i="2"/>
  <c r="AS473" i="2" l="1"/>
  <c r="I473" i="2"/>
  <c r="AO473" i="2"/>
  <c r="N473" i="2"/>
  <c r="X473" i="2"/>
  <c r="AT472" i="2"/>
  <c r="AL472" i="2"/>
  <c r="BA472" i="2" s="1"/>
  <c r="AF473" i="2"/>
  <c r="Q473" i="2" l="1"/>
  <c r="R473" i="2" s="1"/>
  <c r="AG473" i="2" s="1"/>
  <c r="BB473" i="2"/>
  <c r="AK473" i="2"/>
  <c r="AV473" i="2"/>
  <c r="AR473" i="2" s="1"/>
  <c r="AW473" i="2" s="1"/>
  <c r="O473" i="2" l="1"/>
  <c r="AN474" i="2" s="1"/>
  <c r="AU473" i="2"/>
  <c r="AE473" i="2"/>
  <c r="T474" i="2"/>
  <c r="AH473" i="2"/>
  <c r="AI474" i="2" s="1"/>
  <c r="S474" i="2"/>
  <c r="X474" i="2" l="1"/>
  <c r="I474" i="2"/>
  <c r="N474" i="2"/>
  <c r="AS474" i="2"/>
  <c r="AO474" i="2"/>
  <c r="AT473" i="2"/>
  <c r="AL473" i="2"/>
  <c r="BA473" i="2" s="1"/>
  <c r="AF474" i="2"/>
  <c r="AK474" i="2" s="1"/>
  <c r="Q474" i="2" l="1"/>
  <c r="R474" i="2" s="1"/>
  <c r="AG474" i="2" s="1"/>
  <c r="BB474" i="2"/>
  <c r="AV474" i="2"/>
  <c r="AR474" i="2" s="1"/>
  <c r="AW474" i="2" s="1"/>
  <c r="AU474" i="2" s="1"/>
  <c r="AE474" i="2" l="1"/>
  <c r="AH474" i="2"/>
  <c r="AI475" i="2" s="1"/>
  <c r="T475" i="2"/>
  <c r="S475" i="2"/>
  <c r="O474" i="2"/>
  <c r="X475" i="2" s="1"/>
  <c r="AM475" i="2"/>
  <c r="AT474" i="2" l="1"/>
  <c r="I475" i="2"/>
  <c r="AF475" i="2"/>
  <c r="AL474" i="2"/>
  <c r="BA474" i="2" s="1"/>
  <c r="AS475" i="2"/>
  <c r="AN475" i="2"/>
  <c r="N475" i="2"/>
  <c r="Q475" i="2" s="1"/>
  <c r="R475" i="2" s="1"/>
  <c r="AH475" i="2" s="1"/>
  <c r="AI476" i="2" s="1"/>
  <c r="AO475" i="2"/>
  <c r="AK475" i="2" l="1"/>
  <c r="AV475" i="2"/>
  <c r="AR475" i="2" s="1"/>
  <c r="AW475" i="2" s="1"/>
  <c r="BB475" i="2"/>
  <c r="O475" i="2"/>
  <c r="X476" i="2" s="1"/>
  <c r="AE475" i="2"/>
  <c r="AL475" i="2" s="1"/>
  <c r="T476" i="2"/>
  <c r="AG475" i="2"/>
  <c r="S476" i="2"/>
  <c r="BA475" i="2" l="1"/>
  <c r="I476" i="2"/>
  <c r="AO476" i="2"/>
  <c r="AN476" i="2"/>
  <c r="AS476" i="2"/>
  <c r="AF476" i="2"/>
  <c r="AK476" i="2" s="1"/>
  <c r="N476" i="2"/>
  <c r="Q476" i="2" s="1"/>
  <c r="R476" i="2" s="1"/>
  <c r="AG476" i="2" s="1"/>
  <c r="AU475" i="2"/>
  <c r="AT475" i="2"/>
  <c r="BB476" i="2" l="1"/>
  <c r="AV476" i="2"/>
  <c r="AR476" i="2" s="1"/>
  <c r="AW476" i="2" s="1"/>
  <c r="AU476" i="2" s="1"/>
  <c r="O476" i="2"/>
  <c r="I477" i="2" s="1"/>
  <c r="T477" i="2"/>
  <c r="AE476" i="2"/>
  <c r="AH476" i="2"/>
  <c r="AI477" i="2" s="1"/>
  <c r="S477" i="2"/>
  <c r="AS477" i="2" l="1"/>
  <c r="N477" i="2"/>
  <c r="Q477" i="2" s="1"/>
  <c r="R477" i="2" s="1"/>
  <c r="X477" i="2"/>
  <c r="AO477" i="2"/>
  <c r="AN477" i="2"/>
  <c r="AT476" i="2"/>
  <c r="AL476" i="2"/>
  <c r="BA476" i="2" s="1"/>
  <c r="AM477" i="2"/>
  <c r="AF477" i="2"/>
  <c r="AK477" i="2" s="1"/>
  <c r="BB477" i="2" l="1"/>
  <c r="O477" i="2"/>
  <c r="I478" i="2" s="1"/>
  <c r="T478" i="2"/>
  <c r="AG477" i="2"/>
  <c r="AH477" i="2"/>
  <c r="AI478" i="2" s="1"/>
  <c r="S478" i="2"/>
  <c r="AV477" i="2"/>
  <c r="AR477" i="2" s="1"/>
  <c r="AW477" i="2" s="1"/>
  <c r="AU477" i="2" s="1"/>
  <c r="AE477" i="2"/>
  <c r="X478" i="2" l="1"/>
  <c r="N478" i="2"/>
  <c r="Q478" i="2" s="1"/>
  <c r="R478" i="2" s="1"/>
  <c r="AN478" i="2"/>
  <c r="AS478" i="2"/>
  <c r="AO478" i="2"/>
  <c r="AL477" i="2"/>
  <c r="BA477" i="2" s="1"/>
  <c r="AT477" i="2"/>
  <c r="AF478" i="2"/>
  <c r="AK478" i="2" s="1"/>
  <c r="BB478" i="2" l="1"/>
  <c r="S479" i="2"/>
  <c r="AG478" i="2"/>
  <c r="AH478" i="2"/>
  <c r="AI479" i="2" s="1"/>
  <c r="O478" i="2"/>
  <c r="AS479" i="2" s="1"/>
  <c r="AV478" i="2"/>
  <c r="AR478" i="2" s="1"/>
  <c r="AW478" i="2" s="1"/>
  <c r="AU478" i="2" s="1"/>
  <c r="T479" i="2"/>
  <c r="AE478" i="2"/>
  <c r="AT478" i="2" l="1"/>
  <c r="AL478" i="2"/>
  <c r="BA478" i="2" s="1"/>
  <c r="I479" i="2"/>
  <c r="AN479" i="2"/>
  <c r="X479" i="2"/>
  <c r="AO479" i="2"/>
  <c r="AM479" i="2"/>
  <c r="N479" i="2"/>
  <c r="AF479" i="2"/>
  <c r="BB479" i="2" l="1"/>
  <c r="AK479" i="2"/>
  <c r="Q479" i="2"/>
  <c r="R479" i="2" s="1"/>
  <c r="AG479" i="2" s="1"/>
  <c r="AV479" i="2"/>
  <c r="AR479" i="2" s="1"/>
  <c r="AW479" i="2" s="1"/>
  <c r="O479" i="2" l="1"/>
  <c r="T480" i="2"/>
  <c r="AH479" i="2"/>
  <c r="AE479" i="2"/>
  <c r="S480" i="2"/>
  <c r="AM480" i="2" l="1"/>
  <c r="AS480" i="2"/>
  <c r="AF480" i="2"/>
  <c r="AL479" i="2"/>
  <c r="BA479" i="2" s="1"/>
  <c r="AN480" i="2"/>
  <c r="X480" i="2"/>
  <c r="AO480" i="2"/>
  <c r="I480" i="2"/>
  <c r="N480" i="2"/>
  <c r="AJ480" i="2"/>
  <c r="AT479" i="2" s="1"/>
  <c r="BB480" i="2" l="1"/>
  <c r="Q480" i="2"/>
  <c r="R480" i="2" s="1"/>
  <c r="AV480" i="2"/>
  <c r="AR480" i="2" s="1"/>
  <c r="AW480" i="2" s="1"/>
  <c r="AI480" i="2"/>
  <c r="AK480" i="2" s="1"/>
  <c r="AU480" i="2" l="1"/>
  <c r="T481" i="2"/>
  <c r="AG480" i="2"/>
  <c r="O480" i="2"/>
  <c r="S481" i="2"/>
  <c r="AE480" i="2"/>
  <c r="AH480" i="2"/>
  <c r="AM481" i="2"/>
  <c r="I481" i="2" l="1"/>
  <c r="AT480" i="2"/>
  <c r="AF481" i="2"/>
  <c r="AL480" i="2"/>
  <c r="BA480" i="2" s="1"/>
  <c r="N481" i="2"/>
  <c r="AO481" i="2"/>
  <c r="X481" i="2"/>
  <c r="AN481" i="2"/>
  <c r="AS481" i="2"/>
  <c r="AI481" i="2"/>
  <c r="BB481" i="2" l="1"/>
  <c r="AK481" i="2"/>
  <c r="Q481" i="2"/>
  <c r="R481" i="2" s="1"/>
  <c r="AH481" i="2" s="1"/>
  <c r="AV481" i="2"/>
  <c r="AR481" i="2" s="1"/>
  <c r="AW481" i="2" s="1"/>
  <c r="T482" i="2" l="1"/>
  <c r="AG481" i="2"/>
  <c r="S482" i="2"/>
  <c r="O481" i="2"/>
  <c r="I482" i="2" s="1"/>
  <c r="AE481" i="2"/>
  <c r="AF482" i="2" s="1"/>
  <c r="AU481" i="2"/>
  <c r="AI482" i="2"/>
  <c r="AO482" i="2" l="1"/>
  <c r="AL481" i="2"/>
  <c r="BA481" i="2" s="1"/>
  <c r="N482" i="2"/>
  <c r="Q482" i="2" s="1"/>
  <c r="R482" i="2" s="1"/>
  <c r="AG482" i="2" s="1"/>
  <c r="AT481" i="2"/>
  <c r="AN482" i="2"/>
  <c r="AS482" i="2"/>
  <c r="X482" i="2"/>
  <c r="AK482" i="2"/>
  <c r="O482" i="2" l="1"/>
  <c r="N483" i="2" s="1"/>
  <c r="AV482" i="2"/>
  <c r="AR482" i="2" s="1"/>
  <c r="AW482" i="2" s="1"/>
  <c r="AE482" i="2"/>
  <c r="AF483" i="2" s="1"/>
  <c r="AH482" i="2"/>
  <c r="AI483" i="2" s="1"/>
  <c r="BB482" i="2"/>
  <c r="AN483" i="2"/>
  <c r="T483" i="2"/>
  <c r="S483" i="2"/>
  <c r="AM483" i="2"/>
  <c r="AS483" i="2" l="1"/>
  <c r="X483" i="2"/>
  <c r="I483" i="2"/>
  <c r="AK483" i="2" s="1"/>
  <c r="AO483" i="2"/>
  <c r="AT482" i="2"/>
  <c r="BB483" i="2" s="1"/>
  <c r="AU482" i="2"/>
  <c r="AL482" i="2"/>
  <c r="BA482" i="2" s="1"/>
  <c r="Q483" i="2"/>
  <c r="R483" i="2" s="1"/>
  <c r="AV483" i="2" l="1"/>
  <c r="AR483" i="2" s="1"/>
  <c r="AW483" i="2" s="1"/>
  <c r="AU483" i="2" s="1"/>
  <c r="S484" i="2"/>
  <c r="AG483" i="2"/>
  <c r="AH483" i="2"/>
  <c r="AI484" i="2" s="1"/>
  <c r="O483" i="2"/>
  <c r="AE483" i="2"/>
  <c r="T484" i="2"/>
  <c r="AO484" i="2" l="1"/>
  <c r="AT483" i="2"/>
  <c r="AF484" i="2"/>
  <c r="AL483" i="2"/>
  <c r="BA483" i="2" s="1"/>
  <c r="N484" i="2"/>
  <c r="AN484" i="2"/>
  <c r="AS484" i="2"/>
  <c r="X484" i="2"/>
  <c r="I484" i="2"/>
  <c r="BB484" i="2" l="1"/>
  <c r="Q484" i="2"/>
  <c r="R484" i="2" s="1"/>
  <c r="AK484" i="2"/>
  <c r="AV484" i="2"/>
  <c r="AR484" i="2" s="1"/>
  <c r="AW484" i="2" s="1"/>
  <c r="S485" i="2" l="1"/>
  <c r="AG484" i="2"/>
  <c r="AH484" i="2"/>
  <c r="AI485" i="2" s="1"/>
  <c r="AE484" i="2"/>
  <c r="AF485" i="2" s="1"/>
  <c r="O484" i="2"/>
  <c r="T485" i="2"/>
  <c r="AU484" i="2"/>
  <c r="AM485" i="2"/>
  <c r="AO485" i="2" l="1"/>
  <c r="AT484" i="2"/>
  <c r="AL484" i="2"/>
  <c r="BA484" i="2" s="1"/>
  <c r="I485" i="2"/>
  <c r="AK485" i="2" s="1"/>
  <c r="X485" i="2"/>
  <c r="AN485" i="2"/>
  <c r="AS485" i="2"/>
  <c r="N485" i="2"/>
  <c r="BB485" i="2" l="1"/>
  <c r="Q485" i="2"/>
  <c r="O485" i="2" s="1"/>
  <c r="AS486" i="2" s="1"/>
  <c r="AV485" i="2"/>
  <c r="AR485" i="2" s="1"/>
  <c r="AW485" i="2" s="1"/>
  <c r="AU485" i="2" l="1"/>
  <c r="R485" i="2"/>
  <c r="T486" i="2" s="1"/>
  <c r="X486" i="2"/>
  <c r="AO486" i="2"/>
  <c r="I486" i="2"/>
  <c r="N486" i="2"/>
  <c r="AN486" i="2"/>
  <c r="AH485" i="2" l="1"/>
  <c r="AM486" i="2" s="1"/>
  <c r="AE485" i="2"/>
  <c r="S486" i="2"/>
  <c r="AG485" i="2"/>
  <c r="Q486" i="2"/>
  <c r="O486" i="2" s="1"/>
  <c r="AS487" i="2" s="1"/>
  <c r="AI486" i="2" l="1"/>
  <c r="AT485" i="2"/>
  <c r="BB486" i="2" s="1"/>
  <c r="AL485" i="2"/>
  <c r="BA485" i="2" s="1"/>
  <c r="AF486" i="2"/>
  <c r="X487" i="2"/>
  <c r="AN487" i="2"/>
  <c r="N487" i="2"/>
  <c r="I487" i="2"/>
  <c r="AO487" i="2"/>
  <c r="R486" i="2"/>
  <c r="Q487" i="2" l="1"/>
  <c r="AV486" i="2"/>
  <c r="AR486" i="2" s="1"/>
  <c r="AW486" i="2" s="1"/>
  <c r="AU486" i="2" s="1"/>
  <c r="AK486" i="2"/>
  <c r="AH486" i="2"/>
  <c r="AI487" i="2" s="1"/>
  <c r="AG486" i="2"/>
  <c r="S487" i="2"/>
  <c r="T487" i="2"/>
  <c r="AE486" i="2"/>
  <c r="O487" i="2"/>
  <c r="AM487" i="2" l="1"/>
  <c r="AT486" i="2"/>
  <c r="BB487" i="2" s="1"/>
  <c r="R487" i="2"/>
  <c r="T488" i="2" s="1"/>
  <c r="AN488" i="2"/>
  <c r="AF487" i="2"/>
  <c r="AK487" i="2" s="1"/>
  <c r="AL486" i="2"/>
  <c r="BA486" i="2" s="1"/>
  <c r="X488" i="2"/>
  <c r="AS488" i="2"/>
  <c r="AO488" i="2"/>
  <c r="N488" i="2"/>
  <c r="I488" i="2"/>
  <c r="AV487" i="2" l="1"/>
  <c r="AR487" i="2" s="1"/>
  <c r="AW487" i="2" s="1"/>
  <c r="AU487" i="2" s="1"/>
  <c r="AH487" i="2"/>
  <c r="AI488" i="2" s="1"/>
  <c r="AG487" i="2"/>
  <c r="S488" i="2"/>
  <c r="AE487" i="2"/>
  <c r="Q488" i="2"/>
  <c r="R488" i="2" l="1"/>
  <c r="S489" i="2" s="1"/>
  <c r="O488" i="2"/>
  <c r="I489" i="2" s="1"/>
  <c r="AF488" i="2"/>
  <c r="AT487" i="2"/>
  <c r="AL487" i="2"/>
  <c r="BA487" i="2" s="1"/>
  <c r="AG488" i="2" l="1"/>
  <c r="T489" i="2"/>
  <c r="AH488" i="2"/>
  <c r="AI489" i="2" s="1"/>
  <c r="AN489" i="2"/>
  <c r="AO489" i="2"/>
  <c r="AS489" i="2"/>
  <c r="X489" i="2"/>
  <c r="N489" i="2"/>
  <c r="Q489" i="2" s="1"/>
  <c r="R489" i="2" s="1"/>
  <c r="AG489" i="2" s="1"/>
  <c r="AK488" i="2"/>
  <c r="AE488" i="2"/>
  <c r="BB488" i="2"/>
  <c r="AV488" i="2"/>
  <c r="AR488" i="2" s="1"/>
  <c r="AW488" i="2" s="1"/>
  <c r="AU488" i="2" l="1"/>
  <c r="AF489" i="2"/>
  <c r="AK489" i="2" s="1"/>
  <c r="AT488" i="2"/>
  <c r="AL488" i="2"/>
  <c r="BA488" i="2" s="1"/>
  <c r="O489" i="2"/>
  <c r="AS490" i="2" s="1"/>
  <c r="T490" i="2"/>
  <c r="S490" i="2"/>
  <c r="AH489" i="2"/>
  <c r="AI490" i="2" s="1"/>
  <c r="AE489" i="2" l="1"/>
  <c r="AT489" i="2" s="1"/>
  <c r="BB489" i="2"/>
  <c r="AV489" i="2"/>
  <c r="AR489" i="2" s="1"/>
  <c r="AW489" i="2" s="1"/>
  <c r="AU489" i="2" s="1"/>
  <c r="X490" i="2"/>
  <c r="AN490" i="2"/>
  <c r="I490" i="2"/>
  <c r="AO490" i="2"/>
  <c r="N490" i="2"/>
  <c r="AL489" i="2" l="1"/>
  <c r="BA489" i="2" s="1"/>
  <c r="AF490" i="2"/>
  <c r="AK490" i="2" s="1"/>
  <c r="BB490" i="2"/>
  <c r="AV490" i="2"/>
  <c r="AR490" i="2" s="1"/>
  <c r="AW490" i="2" s="1"/>
  <c r="Q490" i="2"/>
  <c r="R490" i="2" s="1"/>
  <c r="AG490" i="2" s="1"/>
  <c r="AU490" i="2" l="1"/>
  <c r="O490" i="2"/>
  <c r="AH490" i="2"/>
  <c r="AI491" i="2" s="1"/>
  <c r="S491" i="2"/>
  <c r="T491" i="2"/>
  <c r="AE490" i="2"/>
  <c r="AS491" i="2" l="1"/>
  <c r="AT490" i="2"/>
  <c r="AL490" i="2"/>
  <c r="BA490" i="2" s="1"/>
  <c r="I491" i="2"/>
  <c r="AN491" i="2"/>
  <c r="N491" i="2"/>
  <c r="X491" i="2"/>
  <c r="AO491" i="2"/>
  <c r="AM491" i="2"/>
  <c r="AF491" i="2"/>
  <c r="BB491" i="2" l="1"/>
  <c r="AK491" i="2"/>
  <c r="Q491" i="2"/>
  <c r="AV491" i="2"/>
  <c r="AR491" i="2" s="1"/>
  <c r="AW491" i="2" s="1"/>
  <c r="R491" i="2"/>
  <c r="AG491" i="2" s="1"/>
  <c r="O491" i="2"/>
  <c r="AN492" i="2" l="1"/>
  <c r="AS492" i="2"/>
  <c r="N492" i="2"/>
  <c r="I492" i="2"/>
  <c r="X492" i="2"/>
  <c r="AO492" i="2"/>
  <c r="AH491" i="2"/>
  <c r="AE491" i="2"/>
  <c r="S492" i="2"/>
  <c r="T492" i="2"/>
  <c r="AL491" i="2" l="1"/>
  <c r="BA491" i="2" s="1"/>
  <c r="Q492" i="2"/>
  <c r="R492" i="2" s="1"/>
  <c r="AJ492" i="2"/>
  <c r="AI492" i="2" s="1"/>
  <c r="AH492" i="2" s="1"/>
  <c r="AI493" i="2" s="1"/>
  <c r="AF492" i="2"/>
  <c r="O492" i="2"/>
  <c r="AN493" i="2" l="1"/>
  <c r="S493" i="2"/>
  <c r="AG492" i="2"/>
  <c r="AT491" i="2"/>
  <c r="BB492" i="2" s="1"/>
  <c r="T493" i="2"/>
  <c r="AK492" i="2"/>
  <c r="AE492" i="2"/>
  <c r="AT492" i="2" s="1"/>
  <c r="I493" i="2"/>
  <c r="AO493" i="2"/>
  <c r="AS493" i="2"/>
  <c r="X493" i="2"/>
  <c r="N493" i="2"/>
  <c r="BB493" i="2" l="1"/>
  <c r="AF493" i="2"/>
  <c r="AK493" i="2" s="1"/>
  <c r="AL492" i="2"/>
  <c r="BA492" i="2" s="1"/>
  <c r="Q493" i="2"/>
  <c r="R493" i="2" s="1"/>
  <c r="AV492" i="2"/>
  <c r="AR492" i="2" s="1"/>
  <c r="AW492" i="2" s="1"/>
  <c r="AU492" i="2" s="1"/>
  <c r="AV493" i="2" s="1"/>
  <c r="AR493" i="2" s="1"/>
  <c r="AW493" i="2" s="1"/>
  <c r="AU493" i="2" s="1"/>
  <c r="T494" i="2" l="1"/>
  <c r="AG493" i="2"/>
  <c r="S494" i="2"/>
  <c r="AH493" i="2"/>
  <c r="AI494" i="2" s="1"/>
  <c r="O493" i="2"/>
  <c r="AE493" i="2"/>
  <c r="AS494" i="2"/>
  <c r="X494" i="2" l="1"/>
  <c r="AT493" i="2"/>
  <c r="AF494" i="2"/>
  <c r="AL493" i="2"/>
  <c r="BA493" i="2" s="1"/>
  <c r="I494" i="2"/>
  <c r="AN494" i="2"/>
  <c r="N494" i="2"/>
  <c r="AO494" i="2"/>
  <c r="BB494" i="2" l="1"/>
  <c r="AK494" i="2"/>
  <c r="AV494" i="2"/>
  <c r="AR494" i="2" s="1"/>
  <c r="AW494" i="2" s="1"/>
  <c r="Q494" i="2"/>
  <c r="AU494" i="2" l="1"/>
  <c r="R494" i="2"/>
  <c r="O494" i="2"/>
  <c r="T495" i="2" l="1"/>
  <c r="AG494" i="2"/>
  <c r="S495" i="2"/>
  <c r="AN495" i="2"/>
  <c r="AO495" i="2"/>
  <c r="I495" i="2"/>
  <c r="X495" i="2"/>
  <c r="AS495" i="2"/>
  <c r="N495" i="2"/>
  <c r="AE494" i="2"/>
  <c r="AH494" i="2"/>
  <c r="AI495" i="2" s="1"/>
  <c r="AT494" i="2" l="1"/>
  <c r="BB495" i="2" s="1"/>
  <c r="AL494" i="2"/>
  <c r="BA494" i="2" s="1"/>
  <c r="Q495" i="2"/>
  <c r="R495" i="2" s="1"/>
  <c r="AG495" i="2" s="1"/>
  <c r="AF495" i="2"/>
  <c r="AK495" i="2" s="1"/>
  <c r="AV495" i="2" l="1"/>
  <c r="AR495" i="2" s="1"/>
  <c r="AW495" i="2" s="1"/>
  <c r="AU495" i="2" s="1"/>
  <c r="O495" i="2"/>
  <c r="S496" i="2"/>
  <c r="AH495" i="2"/>
  <c r="AI496" i="2" s="1"/>
  <c r="AE495" i="2"/>
  <c r="T496" i="2"/>
  <c r="AO496" i="2" l="1"/>
  <c r="AT495" i="2"/>
  <c r="AL495" i="2"/>
  <c r="BA495" i="2" s="1"/>
  <c r="X496" i="2"/>
  <c r="AS496" i="2"/>
  <c r="AN496" i="2"/>
  <c r="N496" i="2"/>
  <c r="I496" i="2"/>
  <c r="AF496" i="2"/>
  <c r="BB496" i="2" l="1"/>
  <c r="AK496" i="2"/>
  <c r="Q496" i="2"/>
  <c r="AV496" i="2"/>
  <c r="AR496" i="2" s="1"/>
  <c r="AW496" i="2" s="1"/>
  <c r="AU496" i="2" s="1"/>
  <c r="R496" i="2" l="1"/>
  <c r="AG496" i="2" s="1"/>
  <c r="O496" i="2"/>
  <c r="I497" i="2" l="1"/>
  <c r="AN497" i="2"/>
  <c r="AO497" i="2"/>
  <c r="AS497" i="2"/>
  <c r="X497" i="2"/>
  <c r="N497" i="2"/>
  <c r="AH496" i="2"/>
  <c r="AI497" i="2" s="1"/>
  <c r="T497" i="2"/>
  <c r="S497" i="2"/>
  <c r="AE496" i="2"/>
  <c r="AT496" i="2" l="1"/>
  <c r="BB497" i="2" s="1"/>
  <c r="AL496" i="2"/>
  <c r="BA496" i="2" s="1"/>
  <c r="Q497" i="2"/>
  <c r="R497" i="2" s="1"/>
  <c r="AG497" i="2" s="1"/>
  <c r="AF497" i="2"/>
  <c r="AK497" i="2" s="1"/>
  <c r="AV497" i="2" l="1"/>
  <c r="AR497" i="2" s="1"/>
  <c r="AW497" i="2" s="1"/>
  <c r="AU497" i="2" s="1"/>
  <c r="AE497" i="2"/>
  <c r="AH497" i="2"/>
  <c r="AI498" i="2" s="1"/>
  <c r="S498" i="2"/>
  <c r="T498" i="2"/>
  <c r="O497" i="2"/>
  <c r="AT497" i="2" l="1"/>
  <c r="AL497" i="2"/>
  <c r="BA497" i="2" s="1"/>
  <c r="X498" i="2"/>
  <c r="AO498" i="2"/>
  <c r="AS498" i="2"/>
  <c r="AN498" i="2"/>
  <c r="I498" i="2"/>
  <c r="N498" i="2"/>
  <c r="AF498" i="2"/>
  <c r="BB498" i="2" l="1"/>
  <c r="Q498" i="2"/>
  <c r="R498" i="2" s="1"/>
  <c r="AE498" i="2" s="1"/>
  <c r="AF499" i="2" s="1"/>
  <c r="AV498" i="2"/>
  <c r="AR498" i="2" s="1"/>
  <c r="AW498" i="2" s="1"/>
  <c r="AK498" i="2"/>
  <c r="AH498" i="2" l="1"/>
  <c r="AI499" i="2" s="1"/>
  <c r="O498" i="2"/>
  <c r="AO499" i="2" s="1"/>
  <c r="S499" i="2"/>
  <c r="AG498" i="2"/>
  <c r="T499" i="2"/>
  <c r="AS499" i="2"/>
  <c r="AU498" i="2"/>
  <c r="AN499" i="2"/>
  <c r="X499" i="2" l="1"/>
  <c r="AL498" i="2"/>
  <c r="BA498" i="2" s="1"/>
  <c r="I499" i="2"/>
  <c r="AK499" i="2" s="1"/>
  <c r="AT498" i="2"/>
  <c r="BB499" i="2" s="1"/>
  <c r="N499" i="2"/>
  <c r="Q499" i="2" l="1"/>
  <c r="R499" i="2" s="1"/>
  <c r="AH499" i="2" s="1"/>
  <c r="AI500" i="2" s="1"/>
  <c r="AV499" i="2"/>
  <c r="AR499" i="2" s="1"/>
  <c r="AW499" i="2" s="1"/>
  <c r="AU499" i="2" s="1"/>
  <c r="O499" i="2"/>
  <c r="AG499" i="2"/>
  <c r="AN500" i="2"/>
  <c r="AE499" i="2" l="1"/>
  <c r="AF500" i="2" s="1"/>
  <c r="T500" i="2"/>
  <c r="S500" i="2"/>
  <c r="AS500" i="2"/>
  <c r="AO500" i="2"/>
  <c r="I500" i="2"/>
  <c r="X500" i="2"/>
  <c r="N500" i="2"/>
  <c r="AK500" i="2" l="1"/>
  <c r="AT499" i="2"/>
  <c r="BB500" i="2" s="1"/>
  <c r="AL499" i="2"/>
  <c r="BA499" i="2" s="1"/>
  <c r="Q500" i="2"/>
  <c r="R500" i="2" s="1"/>
  <c r="AG500" i="2" s="1"/>
  <c r="O500" i="2" l="1"/>
  <c r="AO501" i="2" s="1"/>
  <c r="AV500" i="2"/>
  <c r="AR500" i="2" s="1"/>
  <c r="AW500" i="2" s="1"/>
  <c r="AU500" i="2" s="1"/>
  <c r="S501" i="2"/>
  <c r="AH500" i="2"/>
  <c r="AI501" i="2" s="1"/>
  <c r="AE500" i="2"/>
  <c r="T501" i="2"/>
  <c r="AN501" i="2" l="1"/>
  <c r="AS501" i="2"/>
  <c r="N501" i="2"/>
  <c r="I501" i="2"/>
  <c r="X501" i="2"/>
  <c r="AT500" i="2"/>
  <c r="AL500" i="2"/>
  <c r="BA500" i="2" s="1"/>
  <c r="Q501" i="2"/>
  <c r="AF501" i="2"/>
  <c r="AK501" i="2" l="1"/>
  <c r="BB501" i="2"/>
  <c r="AV501" i="2"/>
  <c r="AR501" i="2" s="1"/>
  <c r="AW501" i="2" s="1"/>
  <c r="AU501" i="2" s="1"/>
  <c r="O501" i="2"/>
  <c r="R501" i="2"/>
  <c r="AG501" i="2" s="1"/>
  <c r="T502" i="2" l="1"/>
  <c r="AH501" i="2"/>
  <c r="AI502" i="2" s="1"/>
  <c r="AE501" i="2"/>
  <c r="S502" i="2"/>
  <c r="AN502" i="2"/>
  <c r="AS502" i="2"/>
  <c r="I502" i="2"/>
  <c r="AO502" i="2"/>
  <c r="X502" i="2"/>
  <c r="N502" i="2"/>
  <c r="AT501" i="2" l="1"/>
  <c r="BB502" i="2" s="1"/>
  <c r="AL501" i="2"/>
  <c r="BA501" i="2" s="1"/>
  <c r="Q502" i="2"/>
  <c r="R502" i="2" s="1"/>
  <c r="AG502" i="2" s="1"/>
  <c r="AF502" i="2"/>
  <c r="AK502" i="2" s="1"/>
  <c r="AV502" i="2" l="1"/>
  <c r="AR502" i="2" s="1"/>
  <c r="AW502" i="2" s="1"/>
  <c r="AU502" i="2" s="1"/>
  <c r="O502" i="2"/>
  <c r="AS503" i="2" s="1"/>
  <c r="T503" i="2"/>
  <c r="S503" i="2"/>
  <c r="AE502" i="2"/>
  <c r="AH502" i="2"/>
  <c r="AI503" i="2" s="1"/>
  <c r="AO503" i="2" l="1"/>
  <c r="AT502" i="2"/>
  <c r="AL502" i="2"/>
  <c r="BA502" i="2" s="1"/>
  <c r="X503" i="2"/>
  <c r="AN503" i="2"/>
  <c r="N503" i="2"/>
  <c r="I503" i="2"/>
  <c r="AM503" i="2"/>
  <c r="AF503" i="2"/>
  <c r="BB503" i="2" l="1"/>
  <c r="AV503" i="2"/>
  <c r="AR503" i="2" s="1"/>
  <c r="AW503" i="2" s="1"/>
  <c r="Q503" i="2"/>
  <c r="R503" i="2" s="1"/>
  <c r="AE503" i="2" s="1"/>
  <c r="AK503" i="2"/>
  <c r="AF504" i="2" l="1"/>
  <c r="S504" i="2"/>
  <c r="AG503" i="2"/>
  <c r="AH503" i="2"/>
  <c r="AL503" i="2" s="1"/>
  <c r="BA503" i="2" s="1"/>
  <c r="O503" i="2"/>
  <c r="T504" i="2"/>
  <c r="AJ504" i="2" l="1"/>
  <c r="AI504" i="2" s="1"/>
  <c r="I504" i="2"/>
  <c r="N504" i="2"/>
  <c r="AO504" i="2"/>
  <c r="X504" i="2"/>
  <c r="AS504" i="2"/>
  <c r="AN504" i="2"/>
  <c r="Q504" i="2"/>
  <c r="R504" i="2" s="1"/>
  <c r="AG504" i="2" s="1"/>
  <c r="AK504" i="2" l="1"/>
  <c r="AT503" i="2"/>
  <c r="AV504" i="2" s="1"/>
  <c r="AR504" i="2" s="1"/>
  <c r="AW504" i="2" s="1"/>
  <c r="O504" i="2"/>
  <c r="I505" i="2" s="1"/>
  <c r="S505" i="2"/>
  <c r="T505" i="2"/>
  <c r="AH504" i="2"/>
  <c r="AI505" i="2" s="1"/>
  <c r="AE504" i="2"/>
  <c r="AO505" i="2" l="1"/>
  <c r="BB504" i="2"/>
  <c r="AU504" i="2" s="1"/>
  <c r="AS505" i="2"/>
  <c r="AN505" i="2"/>
  <c r="X505" i="2"/>
  <c r="N505" i="2"/>
  <c r="Q505" i="2" s="1"/>
  <c r="R505" i="2" s="1"/>
  <c r="AG505" i="2" s="1"/>
  <c r="AT504" i="2"/>
  <c r="AL504" i="2"/>
  <c r="BA504" i="2" s="1"/>
  <c r="AF505" i="2"/>
  <c r="AK505" i="2" s="1"/>
  <c r="BB505" i="2" l="1"/>
  <c r="O505" i="2"/>
  <c r="AV505" i="2"/>
  <c r="AR505" i="2" s="1"/>
  <c r="AW505" i="2" s="1"/>
  <c r="S506" i="2"/>
  <c r="AE505" i="2"/>
  <c r="T506" i="2"/>
  <c r="AH505" i="2"/>
  <c r="AI506" i="2" s="1"/>
  <c r="AU505" i="2" l="1"/>
  <c r="N506" i="2"/>
  <c r="AT505" i="2"/>
  <c r="AL505" i="2"/>
  <c r="BA505" i="2" s="1"/>
  <c r="X506" i="2"/>
  <c r="AS506" i="2"/>
  <c r="I506" i="2"/>
  <c r="AO506" i="2"/>
  <c r="AN506" i="2"/>
  <c r="AF506" i="2"/>
  <c r="Q506" i="2" l="1"/>
  <c r="R506" i="2" s="1"/>
  <c r="AG506" i="2" s="1"/>
  <c r="AK506" i="2"/>
  <c r="BB506" i="2"/>
  <c r="AV506" i="2"/>
  <c r="AR506" i="2" s="1"/>
  <c r="AW506" i="2" s="1"/>
  <c r="AU506" i="2" s="1"/>
  <c r="O506" i="2" l="1"/>
  <c r="AS507" i="2" s="1"/>
  <c r="S507" i="2"/>
  <c r="AH506" i="2"/>
  <c r="AI507" i="2" s="1"/>
  <c r="T507" i="2"/>
  <c r="AE506" i="2"/>
  <c r="N507" i="2" l="1"/>
  <c r="X507" i="2"/>
  <c r="AN507" i="2"/>
  <c r="AO507" i="2"/>
  <c r="I507" i="2"/>
  <c r="AT506" i="2"/>
  <c r="AL506" i="2"/>
  <c r="BA506" i="2" s="1"/>
  <c r="AF507" i="2"/>
  <c r="AK507" i="2" s="1"/>
  <c r="Q507" i="2" l="1"/>
  <c r="BB507" i="2"/>
  <c r="R507" i="2"/>
  <c r="AG507" i="2" s="1"/>
  <c r="O507" i="2"/>
  <c r="AV507" i="2"/>
  <c r="AR507" i="2" s="1"/>
  <c r="AW507" i="2" s="1"/>
  <c r="AU507" i="2" s="1"/>
  <c r="I508" i="2" l="1"/>
  <c r="N508" i="2"/>
  <c r="AN508" i="2"/>
  <c r="X508" i="2"/>
  <c r="AS508" i="2"/>
  <c r="AO508" i="2"/>
  <c r="S508" i="2"/>
  <c r="AE507" i="2"/>
  <c r="AH507" i="2"/>
  <c r="AI508" i="2" s="1"/>
  <c r="T508" i="2"/>
  <c r="AT507" i="2" l="1"/>
  <c r="BB508" i="2" s="1"/>
  <c r="AL507" i="2"/>
  <c r="BA507" i="2" s="1"/>
  <c r="AF508" i="2"/>
  <c r="AK508" i="2" s="1"/>
  <c r="Q508" i="2"/>
  <c r="R508" i="2" s="1"/>
  <c r="AG508" i="2" s="1"/>
  <c r="AV508" i="2" l="1"/>
  <c r="AR508" i="2" s="1"/>
  <c r="AW508" i="2" s="1"/>
  <c r="AU508" i="2" s="1"/>
  <c r="O508" i="2"/>
  <c r="AS509" i="2" s="1"/>
  <c r="S509" i="2"/>
  <c r="T509" i="2"/>
  <c r="AH508" i="2"/>
  <c r="AI509" i="2" s="1"/>
  <c r="AE508" i="2"/>
  <c r="N509" i="2" l="1"/>
  <c r="AT508" i="2"/>
  <c r="AL508" i="2"/>
  <c r="BA508" i="2" s="1"/>
  <c r="X509" i="2"/>
  <c r="AO509" i="2"/>
  <c r="I509" i="2"/>
  <c r="AN509" i="2"/>
  <c r="AF509" i="2"/>
  <c r="AK509" i="2" l="1"/>
  <c r="Q509" i="2"/>
  <c r="O509" i="2" s="1"/>
  <c r="X510" i="2" s="1"/>
  <c r="BB509" i="2"/>
  <c r="AV509" i="2"/>
  <c r="AR509" i="2" s="1"/>
  <c r="AW509" i="2" s="1"/>
  <c r="AU509" i="2" s="1"/>
  <c r="R509" i="2" l="1"/>
  <c r="T510" i="2" s="1"/>
  <c r="AS510" i="2"/>
  <c r="I510" i="2"/>
  <c r="AN510" i="2"/>
  <c r="N510" i="2"/>
  <c r="AO510" i="2"/>
  <c r="AE509" i="2"/>
  <c r="AF510" i="2" s="1"/>
  <c r="AG509" i="2"/>
  <c r="S510" i="2"/>
  <c r="AH509" i="2"/>
  <c r="AI510" i="2" s="1"/>
  <c r="Q510" i="2" l="1"/>
  <c r="AT509" i="2"/>
  <c r="BB510" i="2" s="1"/>
  <c r="AL509" i="2"/>
  <c r="BA509" i="2" s="1"/>
  <c r="AK510" i="2"/>
  <c r="O510" i="2" l="1"/>
  <c r="AS511" i="2" s="1"/>
  <c r="R510" i="2"/>
  <c r="AV510" i="2"/>
  <c r="AR510" i="2" s="1"/>
  <c r="AW510" i="2" s="1"/>
  <c r="AU510" i="2" s="1"/>
  <c r="AN511" i="2" l="1"/>
  <c r="X511" i="2"/>
  <c r="AO511" i="2"/>
  <c r="I511" i="2"/>
  <c r="N511" i="2"/>
  <c r="T511" i="2"/>
  <c r="AE510" i="2"/>
  <c r="S511" i="2"/>
  <c r="AG510" i="2"/>
  <c r="AH510" i="2"/>
  <c r="AI511" i="2" s="1"/>
  <c r="Q511" i="2" l="1"/>
  <c r="R511" i="2" s="1"/>
  <c r="AT510" i="2"/>
  <c r="BB511" i="2" s="1"/>
  <c r="AF511" i="2"/>
  <c r="AK511" i="2" s="1"/>
  <c r="AL510" i="2"/>
  <c r="BA510" i="2" s="1"/>
  <c r="O511" i="2" l="1"/>
  <c r="AS512" i="2" s="1"/>
  <c r="T512" i="2"/>
  <c r="AG511" i="2"/>
  <c r="AH511" i="2"/>
  <c r="AI512" i="2" s="1"/>
  <c r="S512" i="2"/>
  <c r="AV511" i="2"/>
  <c r="AR511" i="2" s="1"/>
  <c r="AW511" i="2" s="1"/>
  <c r="AU511" i="2" s="1"/>
  <c r="AN512" i="2"/>
  <c r="AE511" i="2"/>
  <c r="X512" i="2" l="1"/>
  <c r="AT511" i="2"/>
  <c r="BB512" i="2" s="1"/>
  <c r="I512" i="2"/>
  <c r="N512" i="2"/>
  <c r="AO512" i="2"/>
  <c r="AF512" i="2"/>
  <c r="AL511" i="2"/>
  <c r="BA511" i="2" s="1"/>
  <c r="Q512" i="2" l="1"/>
  <c r="R512" i="2" s="1"/>
  <c r="S513" i="2" s="1"/>
  <c r="AV512" i="2"/>
  <c r="AR512" i="2" s="1"/>
  <c r="AW512" i="2" s="1"/>
  <c r="AU512" i="2" s="1"/>
  <c r="O512" i="2"/>
  <c r="N513" i="2" s="1"/>
  <c r="AE512" i="2"/>
  <c r="AH512" i="2"/>
  <c r="AI513" i="2" s="1"/>
  <c r="AG512" i="2"/>
  <c r="AK512" i="2"/>
  <c r="X513" i="2"/>
  <c r="AN513" i="2" l="1"/>
  <c r="T513" i="2"/>
  <c r="I513" i="2"/>
  <c r="Q513" i="2" s="1"/>
  <c r="R513" i="2" s="1"/>
  <c r="AH513" i="2" s="1"/>
  <c r="AI514" i="2" s="1"/>
  <c r="AO513" i="2"/>
  <c r="AL512" i="2"/>
  <c r="BA512" i="2" s="1"/>
  <c r="AS513" i="2"/>
  <c r="AF513" i="2"/>
  <c r="AK513" i="2" s="1"/>
  <c r="AT512" i="2"/>
  <c r="AV513" i="2" l="1"/>
  <c r="AR513" i="2" s="1"/>
  <c r="AW513" i="2" s="1"/>
  <c r="AG513" i="2"/>
  <c r="BB513" i="2"/>
  <c r="S514" i="2"/>
  <c r="O513" i="2"/>
  <c r="AS514" i="2" s="1"/>
  <c r="T514" i="2"/>
  <c r="AE513" i="2"/>
  <c r="AT513" i="2" s="1"/>
  <c r="I514" i="2" l="1"/>
  <c r="X514" i="2"/>
  <c r="AU513" i="2"/>
  <c r="AN514" i="2"/>
  <c r="BB514" i="2" s="1"/>
  <c r="AO514" i="2"/>
  <c r="N514" i="2"/>
  <c r="AL513" i="2"/>
  <c r="BA513" i="2" s="1"/>
  <c r="AF514" i="2"/>
  <c r="AK514" i="2" l="1"/>
  <c r="Q514" i="2"/>
  <c r="R514" i="2" s="1"/>
  <c r="S515" i="2" s="1"/>
  <c r="AV514" i="2"/>
  <c r="AR514" i="2" s="1"/>
  <c r="AW514" i="2" s="1"/>
  <c r="AU514" i="2" s="1"/>
  <c r="AE514" i="2"/>
  <c r="AF515" i="2" s="1"/>
  <c r="O514" i="2"/>
  <c r="AO515" i="2" s="1"/>
  <c r="AH514" i="2"/>
  <c r="AI515" i="2" s="1"/>
  <c r="AG514" i="2"/>
  <c r="T515" i="2" l="1"/>
  <c r="N515" i="2"/>
  <c r="X515" i="2"/>
  <c r="AL514" i="2"/>
  <c r="BA514" i="2" s="1"/>
  <c r="I515" i="2"/>
  <c r="AK515" i="2" s="1"/>
  <c r="AT514" i="2"/>
  <c r="AS515" i="2"/>
  <c r="AN515" i="2"/>
  <c r="Q515" i="2" l="1"/>
  <c r="R515" i="2" s="1"/>
  <c r="S516" i="2" s="1"/>
  <c r="AV515" i="2"/>
  <c r="AR515" i="2" s="1"/>
  <c r="AW515" i="2" s="1"/>
  <c r="BB515" i="2"/>
  <c r="T516" i="2" l="1"/>
  <c r="AE515" i="2"/>
  <c r="AF516" i="2" s="1"/>
  <c r="O515" i="2"/>
  <c r="X516" i="2" s="1"/>
  <c r="AH515" i="2"/>
  <c r="AG515" i="2"/>
  <c r="AJ516" i="2" s="1"/>
  <c r="AI516" i="2" s="1"/>
  <c r="AS516" i="2"/>
  <c r="AN516" i="2"/>
  <c r="I516" i="2" l="1"/>
  <c r="AK516" i="2" s="1"/>
  <c r="AL515" i="2"/>
  <c r="BA515" i="2" s="1"/>
  <c r="AO516" i="2"/>
  <c r="N516" i="2"/>
  <c r="AT515" i="2"/>
  <c r="AV516" i="2" s="1"/>
  <c r="AR516" i="2" s="1"/>
  <c r="AW516" i="2" s="1"/>
  <c r="Q516" i="2" l="1"/>
  <c r="R516" i="2" s="1"/>
  <c r="AH516" i="2" s="1"/>
  <c r="AI517" i="2" s="1"/>
  <c r="AE516" i="2"/>
  <c r="O516" i="2"/>
  <c r="AS517" i="2" s="1"/>
  <c r="AG516" i="2"/>
  <c r="BB516" i="2"/>
  <c r="AU516" i="2" s="1"/>
  <c r="AO517" i="2"/>
  <c r="T517" i="2" l="1"/>
  <c r="S517" i="2"/>
  <c r="AN517" i="2"/>
  <c r="AL516" i="2"/>
  <c r="BA516" i="2" s="1"/>
  <c r="N517" i="2"/>
  <c r="AT516" i="2"/>
  <c r="BB517" i="2" s="1"/>
  <c r="AF517" i="2"/>
  <c r="X517" i="2"/>
  <c r="I517" i="2"/>
  <c r="Q517" i="2" l="1"/>
  <c r="R517" i="2" s="1"/>
  <c r="AE517" i="2" s="1"/>
  <c r="AF518" i="2" s="1"/>
  <c r="AV517" i="2"/>
  <c r="AR517" i="2" s="1"/>
  <c r="AW517" i="2" s="1"/>
  <c r="AU517" i="2" s="1"/>
  <c r="AK517" i="2"/>
  <c r="AG517" i="2"/>
  <c r="AH517" i="2"/>
  <c r="AI518" i="2" s="1"/>
  <c r="O517" i="2"/>
  <c r="AM518" i="2" s="1"/>
  <c r="T518" i="2" l="1"/>
  <c r="S518" i="2"/>
  <c r="AL517" i="2"/>
  <c r="BA517" i="2" s="1"/>
  <c r="AT517" i="2"/>
  <c r="X518" i="2"/>
  <c r="AS518" i="2"/>
  <c r="AN518" i="2"/>
  <c r="AO518" i="2"/>
  <c r="N518" i="2"/>
  <c r="I518" i="2"/>
  <c r="AK518" i="2" l="1"/>
  <c r="Q518" i="2"/>
  <c r="R518" i="2" s="1"/>
  <c r="AG518" i="2" s="1"/>
  <c r="AV518" i="2"/>
  <c r="AR518" i="2" s="1"/>
  <c r="AW518" i="2" s="1"/>
  <c r="BB518" i="2"/>
  <c r="T519" i="2" l="1"/>
  <c r="AU518" i="2"/>
  <c r="AE518" i="2"/>
  <c r="AF519" i="2" s="1"/>
  <c r="O518" i="2"/>
  <c r="AO519" i="2" s="1"/>
  <c r="S519" i="2"/>
  <c r="AH518" i="2"/>
  <c r="AI519" i="2" s="1"/>
  <c r="X519" i="2" l="1"/>
  <c r="N519" i="2"/>
  <c r="AS519" i="2"/>
  <c r="AT518" i="2"/>
  <c r="AL518" i="2"/>
  <c r="BA518" i="2" s="1"/>
  <c r="I519" i="2"/>
  <c r="AN519" i="2"/>
  <c r="BB519" i="2" l="1"/>
  <c r="AV519" i="2"/>
  <c r="AR519" i="2" s="1"/>
  <c r="AW519" i="2" s="1"/>
  <c r="Q519" i="2"/>
  <c r="AK519" i="2"/>
  <c r="AU519" i="2" l="1"/>
  <c r="R519" i="2"/>
  <c r="O519" i="2"/>
  <c r="AN520" i="2" l="1"/>
  <c r="I520" i="2"/>
  <c r="AS520" i="2"/>
  <c r="N520" i="2"/>
  <c r="AO520" i="2"/>
  <c r="X520" i="2"/>
  <c r="T520" i="2"/>
  <c r="S520" i="2"/>
  <c r="AG519" i="2"/>
  <c r="AH519" i="2"/>
  <c r="AI520" i="2" s="1"/>
  <c r="AE519" i="2"/>
  <c r="AT519" i="2" l="1"/>
  <c r="BB520" i="2" s="1"/>
  <c r="AF520" i="2"/>
  <c r="AK520" i="2" s="1"/>
  <c r="AL519" i="2"/>
  <c r="BA519" i="2" s="1"/>
  <c r="Q520" i="2"/>
  <c r="R520" i="2" s="1"/>
  <c r="AV520" i="2" l="1"/>
  <c r="AR520" i="2" s="1"/>
  <c r="AW520" i="2" s="1"/>
  <c r="AU520" i="2" s="1"/>
  <c r="AH520" i="2"/>
  <c r="AI521" i="2" s="1"/>
  <c r="T521" i="2"/>
  <c r="AE520" i="2"/>
  <c r="S521" i="2"/>
  <c r="AG520" i="2"/>
  <c r="O520" i="2"/>
  <c r="AF521" i="2" l="1"/>
  <c r="AL520" i="2"/>
  <c r="BA520" i="2" s="1"/>
  <c r="X521" i="2"/>
  <c r="I521" i="2"/>
  <c r="AO521" i="2"/>
  <c r="AN521" i="2"/>
  <c r="AT520" i="2"/>
  <c r="AS521" i="2"/>
  <c r="N521" i="2"/>
  <c r="AK521" i="2" l="1"/>
  <c r="Q521" i="2"/>
  <c r="R521" i="2" s="1"/>
  <c r="BB521" i="2"/>
  <c r="AV521" i="2"/>
  <c r="AR521" i="2" s="1"/>
  <c r="AW521" i="2" s="1"/>
  <c r="AU521" i="2" s="1"/>
  <c r="AG521" i="2" l="1"/>
  <c r="S522" i="2"/>
  <c r="AE521" i="2"/>
  <c r="AH521" i="2"/>
  <c r="AI522" i="2" s="1"/>
  <c r="T522" i="2"/>
  <c r="O521" i="2"/>
  <c r="AT521" i="2" l="1"/>
  <c r="N522" i="2"/>
  <c r="I522" i="2"/>
  <c r="AN522" i="2"/>
  <c r="AS522" i="2"/>
  <c r="AO522" i="2"/>
  <c r="X522" i="2"/>
  <c r="AF522" i="2"/>
  <c r="AL521" i="2"/>
  <c r="BA521" i="2" s="1"/>
  <c r="Q522" i="2" l="1"/>
  <c r="R522" i="2" s="1"/>
  <c r="AG522" i="2" s="1"/>
  <c r="AK522" i="2"/>
  <c r="AV522" i="2"/>
  <c r="AR522" i="2" s="1"/>
  <c r="AW522" i="2" s="1"/>
  <c r="AU522" i="2" s="1"/>
  <c r="BB522" i="2"/>
  <c r="O522" i="2" l="1"/>
  <c r="X523" i="2" s="1"/>
  <c r="AH522" i="2"/>
  <c r="AI523" i="2" s="1"/>
  <c r="AE522" i="2"/>
  <c r="AF523" i="2" s="1"/>
  <c r="S523" i="2"/>
  <c r="T523" i="2"/>
  <c r="AN523" i="2"/>
  <c r="AS523" i="2"/>
  <c r="AO523" i="2" l="1"/>
  <c r="I523" i="2"/>
  <c r="AK523" i="2" s="1"/>
  <c r="N523" i="2"/>
  <c r="AT522" i="2"/>
  <c r="AV523" i="2" s="1"/>
  <c r="AR523" i="2" s="1"/>
  <c r="AW523" i="2" s="1"/>
  <c r="AL522" i="2"/>
  <c r="BA522" i="2" s="1"/>
  <c r="Q523" i="2" l="1"/>
  <c r="O523" i="2" s="1"/>
  <c r="X524" i="2" s="1"/>
  <c r="R523" i="2"/>
  <c r="AG523" i="2" s="1"/>
  <c r="BB523" i="2"/>
  <c r="AS524" i="2"/>
  <c r="AU523" i="2"/>
  <c r="AH523" i="2"/>
  <c r="AI524" i="2" s="1"/>
  <c r="I524" i="2" l="1"/>
  <c r="AO524" i="2"/>
  <c r="N524" i="2"/>
  <c r="AN524" i="2"/>
  <c r="S524" i="2"/>
  <c r="AE523" i="2"/>
  <c r="AF524" i="2" s="1"/>
  <c r="T524" i="2"/>
  <c r="AS525" i="2"/>
  <c r="Q524" i="2" l="1"/>
  <c r="O524" i="2" s="1"/>
  <c r="N525" i="2" s="1"/>
  <c r="R524" i="2"/>
  <c r="AE524" i="2" s="1"/>
  <c r="AF525" i="2" s="1"/>
  <c r="AL523" i="2"/>
  <c r="BA523" i="2" s="1"/>
  <c r="AT523" i="2"/>
  <c r="BB524" i="2" s="1"/>
  <c r="AK524" i="2"/>
  <c r="O525" i="2"/>
  <c r="AS526" i="2" s="1"/>
  <c r="X525" i="2" l="1"/>
  <c r="AO525" i="2"/>
  <c r="AN525" i="2"/>
  <c r="I525" i="2"/>
  <c r="Q525" i="2" s="1"/>
  <c r="S525" i="2"/>
  <c r="AH524" i="2"/>
  <c r="AI525" i="2" s="1"/>
  <c r="AG524" i="2"/>
  <c r="T525" i="2"/>
  <c r="R525" i="2"/>
  <c r="T526" i="2" s="1"/>
  <c r="AV524" i="2"/>
  <c r="AR524" i="2" s="1"/>
  <c r="AW524" i="2" s="1"/>
  <c r="AU524" i="2" s="1"/>
  <c r="AT524" i="2"/>
  <c r="BB525" i="2" s="1"/>
  <c r="AG525" i="2"/>
  <c r="AE525" i="2"/>
  <c r="AF526" i="2" s="1"/>
  <c r="AH525" i="2"/>
  <c r="AI526" i="2" s="1"/>
  <c r="X526" i="2"/>
  <c r="N526" i="2"/>
  <c r="AN526" i="2"/>
  <c r="I526" i="2"/>
  <c r="AO526" i="2"/>
  <c r="AK525" i="2" l="1"/>
  <c r="AL524" i="2"/>
  <c r="BA524" i="2" s="1"/>
  <c r="S526" i="2"/>
  <c r="AV525" i="2"/>
  <c r="AR525" i="2" s="1"/>
  <c r="AW525" i="2" s="1"/>
  <c r="AU525" i="2" s="1"/>
  <c r="AT525" i="2"/>
  <c r="BB526" i="2" s="1"/>
  <c r="AL525" i="2"/>
  <c r="Q526" i="2"/>
  <c r="R526" i="2" s="1"/>
  <c r="AG526" i="2" s="1"/>
  <c r="AK526" i="2"/>
  <c r="BA525" i="2" l="1"/>
  <c r="AV526" i="2"/>
  <c r="AR526" i="2" s="1"/>
  <c r="AW526" i="2" s="1"/>
  <c r="AU526" i="2" s="1"/>
  <c r="O526" i="2"/>
  <c r="AO527" i="2" s="1"/>
  <c r="S527" i="2"/>
  <c r="AE526" i="2"/>
  <c r="AH526" i="2"/>
  <c r="AI527" i="2" s="1"/>
  <c r="T527" i="2"/>
  <c r="AS527" i="2" l="1"/>
  <c r="AN527" i="2"/>
  <c r="I527" i="2"/>
  <c r="X527" i="2"/>
  <c r="N527" i="2"/>
  <c r="AT526" i="2"/>
  <c r="AL526" i="2"/>
  <c r="BA526" i="2" s="1"/>
  <c r="AF527" i="2"/>
  <c r="BB527" i="2" l="1"/>
  <c r="Q527" i="2"/>
  <c r="R527" i="2" s="1"/>
  <c r="AG527" i="2" s="1"/>
  <c r="AK527" i="2"/>
  <c r="AV527" i="2"/>
  <c r="AR527" i="2" s="1"/>
  <c r="AW527" i="2" s="1"/>
  <c r="O527" i="2" l="1"/>
  <c r="N528" i="2" s="1"/>
  <c r="AE527" i="2"/>
  <c r="AF528" i="2" s="1"/>
  <c r="AH527" i="2"/>
  <c r="T528" i="2"/>
  <c r="S528" i="2"/>
  <c r="AN528" i="2" l="1"/>
  <c r="AS528" i="2"/>
  <c r="X528" i="2"/>
  <c r="AO528" i="2"/>
  <c r="I528" i="2"/>
  <c r="AJ528" i="2"/>
  <c r="AI528" i="2" s="1"/>
  <c r="AL527" i="2"/>
  <c r="BA527" i="2" s="1"/>
  <c r="Q528" i="2"/>
  <c r="AK528" i="2" l="1"/>
  <c r="AT527" i="2"/>
  <c r="BB528" i="2" s="1"/>
  <c r="R528" i="2"/>
  <c r="AG528" i="2" s="1"/>
  <c r="O528" i="2"/>
  <c r="AV528" i="2" l="1"/>
  <c r="AR528" i="2" s="1"/>
  <c r="AW528" i="2" s="1"/>
  <c r="AU528" i="2" s="1"/>
  <c r="AN529" i="2"/>
  <c r="X529" i="2"/>
  <c r="N529" i="2"/>
  <c r="I529" i="2"/>
  <c r="AS529" i="2"/>
  <c r="AO529" i="2"/>
  <c r="T529" i="2"/>
  <c r="AE528" i="2"/>
  <c r="AH528" i="2"/>
  <c r="AI529" i="2" s="1"/>
  <c r="S529" i="2"/>
  <c r="AT528" i="2" l="1"/>
  <c r="BB529" i="2" s="1"/>
  <c r="AL528" i="2"/>
  <c r="BA528" i="2" s="1"/>
  <c r="Q529" i="2"/>
  <c r="R529" i="2" s="1"/>
  <c r="AH529" i="2" s="1"/>
  <c r="AI530" i="2" s="1"/>
  <c r="AM529" i="2"/>
  <c r="AF529" i="2"/>
  <c r="O529" i="2"/>
  <c r="AE529" i="2" l="1"/>
  <c r="AF530" i="2" s="1"/>
  <c r="T530" i="2"/>
  <c r="AG529" i="2"/>
  <c r="S530" i="2"/>
  <c r="AK529" i="2"/>
  <c r="AN530" i="2"/>
  <c r="N530" i="2"/>
  <c r="AO530" i="2"/>
  <c r="AS530" i="2"/>
  <c r="X530" i="2"/>
  <c r="I530" i="2"/>
  <c r="AV529" i="2"/>
  <c r="AR529" i="2" s="1"/>
  <c r="AW529" i="2" s="1"/>
  <c r="AU529" i="2" s="1"/>
  <c r="AL529" i="2" l="1"/>
  <c r="BA529" i="2" s="1"/>
  <c r="AT529" i="2"/>
  <c r="BB530" i="2" s="1"/>
  <c r="AK530" i="2"/>
  <c r="Q530" i="2"/>
  <c r="R530" i="2" s="1"/>
  <c r="AG530" i="2" s="1"/>
  <c r="AV530" i="2" l="1"/>
  <c r="AR530" i="2" s="1"/>
  <c r="AW530" i="2" s="1"/>
  <c r="AU530" i="2" s="1"/>
  <c r="O530" i="2"/>
  <c r="I531" i="2" s="1"/>
  <c r="AH530" i="2"/>
  <c r="AI531" i="2" s="1"/>
  <c r="T531" i="2"/>
  <c r="S531" i="2"/>
  <c r="AE530" i="2"/>
  <c r="AN531" i="2"/>
  <c r="AS531" i="2"/>
  <c r="X531" i="2" l="1"/>
  <c r="AO531" i="2"/>
  <c r="N531" i="2"/>
  <c r="Q531" i="2" s="1"/>
  <c r="R531" i="2" s="1"/>
  <c r="AG531" i="2" s="1"/>
  <c r="AT530" i="2"/>
  <c r="BB531" i="2" s="1"/>
  <c r="AL530" i="2"/>
  <c r="BA530" i="2" s="1"/>
  <c r="AF531" i="2"/>
  <c r="AK531" i="2" s="1"/>
  <c r="AV531" i="2" l="1"/>
  <c r="AR531" i="2" s="1"/>
  <c r="AW531" i="2" s="1"/>
  <c r="AU531" i="2" s="1"/>
  <c r="AE531" i="2"/>
  <c r="AH531" i="2"/>
  <c r="AI532" i="2" s="1"/>
  <c r="T532" i="2"/>
  <c r="S532" i="2"/>
  <c r="O531" i="2"/>
  <c r="AM532" i="2" l="1"/>
  <c r="AT531" i="2"/>
  <c r="AL531" i="2"/>
  <c r="BA531" i="2" s="1"/>
  <c r="AN532" i="2"/>
  <c r="AO532" i="2"/>
  <c r="I532" i="2"/>
  <c r="X532" i="2"/>
  <c r="AS532" i="2"/>
  <c r="N532" i="2"/>
  <c r="AF532" i="2"/>
  <c r="BB532" i="2" l="1"/>
  <c r="Q532" i="2"/>
  <c r="R532" i="2" s="1"/>
  <c r="AE532" i="2" s="1"/>
  <c r="AF533" i="2" s="1"/>
  <c r="AK532" i="2"/>
  <c r="AV532" i="2"/>
  <c r="AR532" i="2" s="1"/>
  <c r="AW532" i="2" s="1"/>
  <c r="AH532" i="2" l="1"/>
  <c r="AI533" i="2" s="1"/>
  <c r="O532" i="2"/>
  <c r="T533" i="2"/>
  <c r="AG532" i="2"/>
  <c r="S533" i="2"/>
  <c r="AN533" i="2"/>
  <c r="AS533" i="2"/>
  <c r="AU532" i="2"/>
  <c r="AL532" i="2" l="1"/>
  <c r="BA532" i="2" s="1"/>
  <c r="AT532" i="2"/>
  <c r="BB533" i="2" s="1"/>
  <c r="N533" i="2"/>
  <c r="I533" i="2"/>
  <c r="AK533" i="2" s="1"/>
  <c r="AO533" i="2"/>
  <c r="X533" i="2"/>
  <c r="AV533" i="2"/>
  <c r="AR533" i="2" s="1"/>
  <c r="AW533" i="2" s="1"/>
  <c r="AU533" i="2" l="1"/>
  <c r="Q533" i="2"/>
  <c r="R533" i="2" s="1"/>
  <c r="AE533" i="2" s="1"/>
  <c r="AF534" i="2" s="1"/>
  <c r="AG533" i="2" l="1"/>
  <c r="AH533" i="2"/>
  <c r="AI534" i="2" s="1"/>
  <c r="O533" i="2"/>
  <c r="X534" i="2" s="1"/>
  <c r="T534" i="2"/>
  <c r="S534" i="2"/>
  <c r="AT533" i="2" l="1"/>
  <c r="AL533" i="2"/>
  <c r="BA533" i="2" s="1"/>
  <c r="N534" i="2"/>
  <c r="AO534" i="2"/>
  <c r="I534" i="2"/>
  <c r="AK534" i="2" s="1"/>
  <c r="AN534" i="2"/>
  <c r="AS534" i="2"/>
  <c r="BB534" i="2" l="1"/>
  <c r="AV534" i="2"/>
  <c r="AR534" i="2" s="1"/>
  <c r="AW534" i="2" s="1"/>
  <c r="AU534" i="2" s="1"/>
  <c r="Q534" i="2"/>
  <c r="R534" i="2" l="1"/>
  <c r="O534" i="2"/>
  <c r="I535" i="2" l="1"/>
  <c r="AN535" i="2"/>
  <c r="N535" i="2"/>
  <c r="AS535" i="2"/>
  <c r="AO535" i="2"/>
  <c r="X535" i="2"/>
  <c r="AH534" i="2"/>
  <c r="AI535" i="2" s="1"/>
  <c r="AE534" i="2"/>
  <c r="S535" i="2"/>
  <c r="AG534" i="2"/>
  <c r="T535" i="2"/>
  <c r="AM535" i="2" l="1"/>
  <c r="Q535" i="2"/>
  <c r="R535" i="2" s="1"/>
  <c r="AT534" i="2"/>
  <c r="BB535" i="2" s="1"/>
  <c r="AL534" i="2"/>
  <c r="BA534" i="2" s="1"/>
  <c r="AF535" i="2"/>
  <c r="AK535" i="2" s="1"/>
  <c r="O535" i="2" l="1"/>
  <c r="AO536" i="2" s="1"/>
  <c r="AV535" i="2"/>
  <c r="AR535" i="2" s="1"/>
  <c r="AW535" i="2" s="1"/>
  <c r="AU535" i="2" s="1"/>
  <c r="AE535" i="2"/>
  <c r="AG535" i="2"/>
  <c r="AH535" i="2"/>
  <c r="AI536" i="2" s="1"/>
  <c r="S536" i="2"/>
  <c r="T536" i="2"/>
  <c r="AN536" i="2" l="1"/>
  <c r="I536" i="2"/>
  <c r="N536" i="2"/>
  <c r="X536" i="2"/>
  <c r="AS536" i="2"/>
  <c r="AT535" i="2"/>
  <c r="AF536" i="2"/>
  <c r="AL535" i="2"/>
  <c r="BA535" i="2" s="1"/>
  <c r="Q536" i="2" l="1"/>
  <c r="AK536" i="2"/>
  <c r="R536" i="2"/>
  <c r="O536" i="2"/>
  <c r="BB536" i="2"/>
  <c r="AV536" i="2"/>
  <c r="AR536" i="2" s="1"/>
  <c r="AW536" i="2" s="1"/>
  <c r="AU536" i="2" s="1"/>
  <c r="X537" i="2" l="1"/>
  <c r="AO537" i="2"/>
  <c r="AN537" i="2"/>
  <c r="AS537" i="2"/>
  <c r="I537" i="2"/>
  <c r="N537" i="2"/>
  <c r="Q537" i="2" s="1"/>
  <c r="R537" i="2" s="1"/>
  <c r="AG536" i="2"/>
  <c r="AH536" i="2"/>
  <c r="AI537" i="2" s="1"/>
  <c r="S537" i="2"/>
  <c r="T537" i="2"/>
  <c r="AE536" i="2"/>
  <c r="AG537" i="2" l="1"/>
  <c r="AT536" i="2"/>
  <c r="AF537" i="2"/>
  <c r="AK537" i="2" s="1"/>
  <c r="AL536" i="2"/>
  <c r="BA536" i="2" s="1"/>
  <c r="T538" i="2"/>
  <c r="S538" i="2"/>
  <c r="BB537" i="2"/>
  <c r="AV537" i="2"/>
  <c r="AR537" i="2" s="1"/>
  <c r="AW537" i="2" s="1"/>
  <c r="AU537" i="2" s="1"/>
  <c r="O537" i="2"/>
  <c r="AH537" i="2"/>
  <c r="AI538" i="2" s="1"/>
  <c r="AE537" i="2" l="1"/>
  <c r="AL537" i="2" s="1"/>
  <c r="BA537" i="2" s="1"/>
  <c r="AS538" i="2"/>
  <c r="AO538" i="2"/>
  <c r="X538" i="2"/>
  <c r="I538" i="2"/>
  <c r="N538" i="2"/>
  <c r="AN538" i="2"/>
  <c r="S566" i="2"/>
  <c r="T566" i="2"/>
  <c r="AL566" i="2" s="1"/>
  <c r="AT537" i="2" l="1"/>
  <c r="AV538" i="2" s="1"/>
  <c r="AR538" i="2" s="1"/>
  <c r="AW538" i="2" s="1"/>
  <c r="Q538" i="2"/>
  <c r="R538" i="2" s="1"/>
  <c r="AG538" i="2" s="1"/>
  <c r="AF538" i="2"/>
  <c r="AK538" i="2" s="1"/>
  <c r="O538" i="2"/>
  <c r="I539" i="2" s="1"/>
  <c r="AH538" i="2"/>
  <c r="AI539" i="2" s="1"/>
  <c r="BB538" i="2"/>
  <c r="AE538" i="2"/>
  <c r="AF539" i="2" s="1"/>
  <c r="AK566" i="2"/>
  <c r="S567" i="2"/>
  <c r="T567" i="2"/>
  <c r="AL567" i="2" s="1"/>
  <c r="S539" i="2" l="1"/>
  <c r="AK539" i="2" s="1"/>
  <c r="AN539" i="2"/>
  <c r="AM539" i="2"/>
  <c r="T539" i="2"/>
  <c r="AO539" i="2"/>
  <c r="N539" i="2"/>
  <c r="Q539" i="2" s="1"/>
  <c r="X539" i="2"/>
  <c r="AS539" i="2"/>
  <c r="AU538" i="2"/>
  <c r="AL538" i="2"/>
  <c r="BA538" i="2" s="1"/>
  <c r="AT538" i="2"/>
  <c r="BB539" i="2" s="1"/>
  <c r="BA566" i="2"/>
  <c r="S568" i="2"/>
  <c r="T568" i="2"/>
  <c r="AL568" i="2" s="1"/>
  <c r="AK567" i="2"/>
  <c r="AV539" i="2" l="1"/>
  <c r="AR539" i="2" s="1"/>
  <c r="AW539" i="2" s="1"/>
  <c r="R539" i="2"/>
  <c r="AG539" i="2" s="1"/>
  <c r="O539" i="2"/>
  <c r="BA567" i="2"/>
  <c r="S569" i="2"/>
  <c r="T569" i="2"/>
  <c r="AL569" i="2" s="1"/>
  <c r="AK568" i="2"/>
  <c r="AN540" i="2" l="1"/>
  <c r="I540" i="2"/>
  <c r="AS540" i="2"/>
  <c r="N540" i="2"/>
  <c r="X540" i="2"/>
  <c r="AO540" i="2"/>
  <c r="S540" i="2"/>
  <c r="AH539" i="2"/>
  <c r="T540" i="2"/>
  <c r="AE539" i="2"/>
  <c r="BA568" i="2"/>
  <c r="S570" i="2"/>
  <c r="T570" i="2"/>
  <c r="AL570" i="2" s="1"/>
  <c r="AK569" i="2"/>
  <c r="AL539" i="2" l="1"/>
  <c r="BA539" i="2" s="1"/>
  <c r="Q540" i="2"/>
  <c r="R540" i="2" s="1"/>
  <c r="AG540" i="2" s="1"/>
  <c r="AJ540" i="2"/>
  <c r="AI540" i="2" s="1"/>
  <c r="AF540" i="2"/>
  <c r="BA569" i="2"/>
  <c r="S571" i="2"/>
  <c r="T571" i="2"/>
  <c r="AL571" i="2" s="1"/>
  <c r="AK570" i="2"/>
  <c r="AT539" i="2" l="1"/>
  <c r="BB540" i="2" s="1"/>
  <c r="O540" i="2"/>
  <c r="AS541" i="2" s="1"/>
  <c r="AK540" i="2"/>
  <c r="T541" i="2"/>
  <c r="AH540" i="2"/>
  <c r="AI541" i="2" s="1"/>
  <c r="AE540" i="2"/>
  <c r="S541" i="2"/>
  <c r="S572" i="2"/>
  <c r="T572" i="2"/>
  <c r="AL572" i="2" s="1"/>
  <c r="AK571" i="2"/>
  <c r="BA570" i="2"/>
  <c r="AN541" i="2" l="1"/>
  <c r="AT540" i="2"/>
  <c r="AL540" i="2"/>
  <c r="BA540" i="2" s="1"/>
  <c r="X541" i="2"/>
  <c r="I541" i="2"/>
  <c r="N541" i="2"/>
  <c r="AO541" i="2"/>
  <c r="AV540" i="2"/>
  <c r="AR540" i="2" s="1"/>
  <c r="AW540" i="2" s="1"/>
  <c r="AU540" i="2" s="1"/>
  <c r="AV541" i="2" s="1"/>
  <c r="AR541" i="2" s="1"/>
  <c r="AW541" i="2" s="1"/>
  <c r="AM541" i="2"/>
  <c r="AF541" i="2"/>
  <c r="BA571" i="2"/>
  <c r="AK572" i="2"/>
  <c r="S573" i="2"/>
  <c r="T573" i="2"/>
  <c r="AL573" i="2" s="1"/>
  <c r="BB541" i="2" l="1"/>
  <c r="AK541" i="2"/>
  <c r="Q541" i="2"/>
  <c r="R541" i="2" s="1"/>
  <c r="AG541" i="2" s="1"/>
  <c r="AU541" i="2"/>
  <c r="O541" i="2"/>
  <c r="BA572" i="2"/>
  <c r="S574" i="2"/>
  <c r="T574" i="2"/>
  <c r="AL574" i="2" s="1"/>
  <c r="AK573" i="2"/>
  <c r="AN542" i="2" l="1"/>
  <c r="AS542" i="2"/>
  <c r="X542" i="2"/>
  <c r="AO542" i="2"/>
  <c r="N542" i="2"/>
  <c r="I542" i="2"/>
  <c r="AH541" i="2"/>
  <c r="AI542" i="2" s="1"/>
  <c r="AE541" i="2"/>
  <c r="AT541" i="2" s="1"/>
  <c r="T542" i="2"/>
  <c r="S542" i="2"/>
  <c r="BA573" i="2"/>
  <c r="S575" i="2"/>
  <c r="T575" i="2"/>
  <c r="AL575" i="2" s="1"/>
  <c r="AK574" i="2"/>
  <c r="BB542" i="2" l="1"/>
  <c r="AL541" i="2"/>
  <c r="BA541" i="2" s="1"/>
  <c r="AV542" i="2"/>
  <c r="AR542" i="2" s="1"/>
  <c r="AW542" i="2" s="1"/>
  <c r="AU542" i="2" s="1"/>
  <c r="Q542" i="2"/>
  <c r="AF542" i="2"/>
  <c r="AK542" i="2" s="1"/>
  <c r="BA574" i="2"/>
  <c r="AK575" i="2"/>
  <c r="S576" i="2"/>
  <c r="T576" i="2"/>
  <c r="AL576" i="2" s="1"/>
  <c r="R542" i="2" l="1"/>
  <c r="AG542" i="2" s="1"/>
  <c r="O542" i="2"/>
  <c r="BA575" i="2"/>
  <c r="AK576" i="2"/>
  <c r="S577" i="2"/>
  <c r="T577" i="2"/>
  <c r="AL577" i="2" s="1"/>
  <c r="AN543" i="2" l="1"/>
  <c r="AS543" i="2"/>
  <c r="I543" i="2"/>
  <c r="X543" i="2"/>
  <c r="AO543" i="2"/>
  <c r="N543" i="2"/>
  <c r="AH542" i="2"/>
  <c r="AI543" i="2" s="1"/>
  <c r="S543" i="2"/>
  <c r="AE542" i="2"/>
  <c r="T543" i="2"/>
  <c r="S578" i="2"/>
  <c r="T578" i="2"/>
  <c r="AL578" i="2" s="1"/>
  <c r="AT542" i="2" l="1"/>
  <c r="BB543" i="2" s="1"/>
  <c r="AL542" i="2"/>
  <c r="BA542" i="2" s="1"/>
  <c r="AF543" i="2"/>
  <c r="AK543" i="2" s="1"/>
  <c r="Q543" i="2"/>
  <c r="BA576" i="2"/>
  <c r="R543" i="2" l="1"/>
  <c r="AG543" i="2" s="1"/>
  <c r="O543" i="2"/>
  <c r="AV543" i="2"/>
  <c r="AR543" i="2" s="1"/>
  <c r="AW543" i="2" s="1"/>
  <c r="AU543" i="2" s="1"/>
  <c r="S579" i="2"/>
  <c r="T579" i="2"/>
  <c r="AL579" i="2" s="1"/>
  <c r="AK577" i="2"/>
  <c r="AN544" i="2" l="1"/>
  <c r="N544" i="2"/>
  <c r="AS544" i="2"/>
  <c r="I544" i="2"/>
  <c r="AO544" i="2"/>
  <c r="X544" i="2"/>
  <c r="AH543" i="2"/>
  <c r="AI544" i="2" s="1"/>
  <c r="T544" i="2"/>
  <c r="S544" i="2"/>
  <c r="AE543" i="2"/>
  <c r="BA577" i="2"/>
  <c r="S580" i="2"/>
  <c r="T580" i="2"/>
  <c r="AL580" i="2" s="1"/>
  <c r="AT543" i="2" l="1"/>
  <c r="BB544" i="2" s="1"/>
  <c r="AL543" i="2"/>
  <c r="BA543" i="2" s="1"/>
  <c r="Q544" i="2"/>
  <c r="R544" i="2" s="1"/>
  <c r="AF544" i="2"/>
  <c r="AK544" i="2" s="1"/>
  <c r="AK578" i="2"/>
  <c r="AV544" i="2" l="1"/>
  <c r="AR544" i="2" s="1"/>
  <c r="AW544" i="2" s="1"/>
  <c r="AU544" i="2" s="1"/>
  <c r="S545" i="2"/>
  <c r="AG544" i="2"/>
  <c r="AH544" i="2"/>
  <c r="AI545" i="2" s="1"/>
  <c r="O544" i="2"/>
  <c r="T545" i="2"/>
  <c r="AE544" i="2"/>
  <c r="BA578" i="2"/>
  <c r="S581" i="2"/>
  <c r="T581" i="2"/>
  <c r="AL581" i="2" s="1"/>
  <c r="N545" i="2" l="1"/>
  <c r="AT544" i="2"/>
  <c r="AL544" i="2"/>
  <c r="BA544" i="2" s="1"/>
  <c r="I545" i="2"/>
  <c r="AO545" i="2"/>
  <c r="AN545" i="2"/>
  <c r="X545" i="2"/>
  <c r="AS545" i="2"/>
  <c r="AF545" i="2"/>
  <c r="S582" i="2"/>
  <c r="T582" i="2"/>
  <c r="AL582" i="2" s="1"/>
  <c r="AK579" i="2"/>
  <c r="Q545" i="2" l="1"/>
  <c r="R545" i="2" s="1"/>
  <c r="AE545" i="2" s="1"/>
  <c r="BB545" i="2"/>
  <c r="AV545" i="2"/>
  <c r="AR545" i="2" s="1"/>
  <c r="AW545" i="2" s="1"/>
  <c r="AU545" i="2" s="1"/>
  <c r="AK545" i="2"/>
  <c r="S583" i="2"/>
  <c r="T583" i="2"/>
  <c r="AL583" i="2" s="1"/>
  <c r="BA579" i="2"/>
  <c r="O545" i="2" l="1"/>
  <c r="I546" i="2" s="1"/>
  <c r="S546" i="2"/>
  <c r="AG545" i="2"/>
  <c r="T546" i="2"/>
  <c r="AS546" i="2"/>
  <c r="AH545" i="2"/>
  <c r="AI546" i="2" s="1"/>
  <c r="AF546" i="2"/>
  <c r="AK580" i="2"/>
  <c r="AO546" i="2" l="1"/>
  <c r="N546" i="2"/>
  <c r="X546" i="2"/>
  <c r="AN546" i="2"/>
  <c r="AT545" i="2"/>
  <c r="BB546" i="2" s="1"/>
  <c r="AL545" i="2"/>
  <c r="BA545" i="2" s="1"/>
  <c r="Q546" i="2"/>
  <c r="R546" i="2" s="1"/>
  <c r="AK546" i="2"/>
  <c r="S584" i="2"/>
  <c r="T584" i="2"/>
  <c r="AL584" i="2" s="1"/>
  <c r="BA580" i="2"/>
  <c r="O546" i="2" l="1"/>
  <c r="I547" i="2" s="1"/>
  <c r="AE546" i="2"/>
  <c r="AF547" i="2" s="1"/>
  <c r="AG546" i="2"/>
  <c r="AV546" i="2"/>
  <c r="AR546" i="2" s="1"/>
  <c r="AW546" i="2" s="1"/>
  <c r="AU546" i="2" s="1"/>
  <c r="S547" i="2"/>
  <c r="AH546" i="2"/>
  <c r="AI547" i="2" s="1"/>
  <c r="T547" i="2"/>
  <c r="AS547" i="2"/>
  <c r="AK581" i="2"/>
  <c r="AN547" i="2" l="1"/>
  <c r="X547" i="2"/>
  <c r="AO547" i="2"/>
  <c r="N547" i="2"/>
  <c r="AT546" i="2"/>
  <c r="BB547" i="2" s="1"/>
  <c r="AL546" i="2"/>
  <c r="BA546" i="2" s="1"/>
  <c r="AK547" i="2"/>
  <c r="Q547" i="2"/>
  <c r="O547" i="2" s="1"/>
  <c r="S585" i="2"/>
  <c r="T585" i="2"/>
  <c r="AL585" i="2" s="1"/>
  <c r="BA581" i="2"/>
  <c r="R547" i="2" l="1"/>
  <c r="AG547" i="2" s="1"/>
  <c r="AV547" i="2"/>
  <c r="AR547" i="2" s="1"/>
  <c r="AW547" i="2" s="1"/>
  <c r="AU547" i="2" s="1"/>
  <c r="AN548" i="2"/>
  <c r="AE547" i="2"/>
  <c r="I548" i="2"/>
  <c r="AS548" i="2"/>
  <c r="N548" i="2"/>
  <c r="X548" i="2"/>
  <c r="AO548" i="2"/>
  <c r="AH547" i="2"/>
  <c r="AI548" i="2" s="1"/>
  <c r="AK582" i="2"/>
  <c r="AT547" i="2" l="1"/>
  <c r="BB548" i="2" s="1"/>
  <c r="T548" i="2"/>
  <c r="S548" i="2"/>
  <c r="AL547" i="2"/>
  <c r="BA547" i="2" s="1"/>
  <c r="Q548" i="2"/>
  <c r="R548" i="2" s="1"/>
  <c r="AF548" i="2"/>
  <c r="BA582" i="2"/>
  <c r="S586" i="2"/>
  <c r="T586" i="2"/>
  <c r="AL586" i="2" s="1"/>
  <c r="AE548" i="2" l="1"/>
  <c r="O548" i="2"/>
  <c r="I549" i="2" s="1"/>
  <c r="T549" i="2"/>
  <c r="AG548" i="2"/>
  <c r="AH548" i="2"/>
  <c r="AI549" i="2" s="1"/>
  <c r="S549" i="2"/>
  <c r="AF549" i="2"/>
  <c r="AV548" i="2"/>
  <c r="AR548" i="2" s="1"/>
  <c r="AW548" i="2" s="1"/>
  <c r="AU548" i="2" s="1"/>
  <c r="AK548" i="2"/>
  <c r="AS549" i="2"/>
  <c r="S587" i="2"/>
  <c r="T587" i="2"/>
  <c r="AL587" i="2" s="1"/>
  <c r="AK583" i="2"/>
  <c r="AN549" i="2" l="1"/>
  <c r="X549" i="2"/>
  <c r="N549" i="2"/>
  <c r="AO549" i="2"/>
  <c r="AL548" i="2"/>
  <c r="BA548" i="2" s="1"/>
  <c r="AT548" i="2"/>
  <c r="Q549" i="2"/>
  <c r="R549" i="2" s="1"/>
  <c r="AK549" i="2"/>
  <c r="BA583" i="2"/>
  <c r="S588" i="2"/>
  <c r="T588" i="2"/>
  <c r="AL588" i="2" s="1"/>
  <c r="BB549" i="2" l="1"/>
  <c r="O549" i="2"/>
  <c r="X550" i="2" s="1"/>
  <c r="AV549" i="2"/>
  <c r="AR549" i="2" s="1"/>
  <c r="AW549" i="2" s="1"/>
  <c r="AU549" i="2" s="1"/>
  <c r="S550" i="2"/>
  <c r="AG549" i="2"/>
  <c r="AN550" i="2"/>
  <c r="AE549" i="2"/>
  <c r="AF550" i="2" s="1"/>
  <c r="AH549" i="2"/>
  <c r="AI550" i="2" s="1"/>
  <c r="T550" i="2"/>
  <c r="AS550" i="2"/>
  <c r="S589" i="2"/>
  <c r="T589" i="2"/>
  <c r="AL589" i="2" s="1"/>
  <c r="AK584" i="2"/>
  <c r="AO550" i="2" l="1"/>
  <c r="N550" i="2"/>
  <c r="I550" i="2"/>
  <c r="AK550" i="2" s="1"/>
  <c r="AT549" i="2"/>
  <c r="BB550" i="2" s="1"/>
  <c r="AL549" i="2"/>
  <c r="BA549" i="2" s="1"/>
  <c r="S590" i="2"/>
  <c r="T590" i="2"/>
  <c r="AL590" i="2" s="1"/>
  <c r="BA584" i="2"/>
  <c r="Q550" i="2" l="1"/>
  <c r="R550" i="2" s="1"/>
  <c r="AG550" i="2" s="1"/>
  <c r="AV550" i="2"/>
  <c r="AR550" i="2" s="1"/>
  <c r="AW550" i="2" s="1"/>
  <c r="AU550" i="2" s="1"/>
  <c r="O550" i="2"/>
  <c r="AS551" i="2" s="1"/>
  <c r="AE550" i="2"/>
  <c r="AH550" i="2"/>
  <c r="AI551" i="2" s="1"/>
  <c r="S591" i="2"/>
  <c r="T591" i="2"/>
  <c r="AL591" i="2" s="1"/>
  <c r="AK585" i="2"/>
  <c r="T551" i="2" l="1"/>
  <c r="S551" i="2"/>
  <c r="I551" i="2"/>
  <c r="AT550" i="2"/>
  <c r="AL550" i="2"/>
  <c r="BA550" i="2" s="1"/>
  <c r="AN551" i="2"/>
  <c r="X551" i="2"/>
  <c r="N551" i="2"/>
  <c r="AO551" i="2"/>
  <c r="AF551" i="2"/>
  <c r="S592" i="2"/>
  <c r="T592" i="2"/>
  <c r="AL592" i="2" s="1"/>
  <c r="BA585" i="2"/>
  <c r="AK551" i="2" l="1"/>
  <c r="BB551" i="2"/>
  <c r="Q551" i="2"/>
  <c r="R551" i="2" s="1"/>
  <c r="AV551" i="2"/>
  <c r="AR551" i="2" s="1"/>
  <c r="AW551" i="2" s="1"/>
  <c r="AK586" i="2"/>
  <c r="S593" i="2"/>
  <c r="T593" i="2"/>
  <c r="AL593" i="2" s="1"/>
  <c r="T552" i="2" l="1"/>
  <c r="AG551" i="2"/>
  <c r="AE551" i="2"/>
  <c r="AF552" i="2" s="1"/>
  <c r="AH551" i="2"/>
  <c r="S552" i="2"/>
  <c r="O551" i="2"/>
  <c r="AJ552" i="2"/>
  <c r="AI552" i="2" s="1"/>
  <c r="BA586" i="2"/>
  <c r="AL551" i="2" l="1"/>
  <c r="BA551" i="2" s="1"/>
  <c r="AT551" i="2"/>
  <c r="X552" i="2"/>
  <c r="I552" i="2"/>
  <c r="AO552" i="2"/>
  <c r="N552" i="2"/>
  <c r="AN552" i="2"/>
  <c r="AS552" i="2"/>
  <c r="S594" i="2"/>
  <c r="T594" i="2"/>
  <c r="AL594" i="2" s="1"/>
  <c r="AK587" i="2"/>
  <c r="Q552" i="2" l="1"/>
  <c r="AK552" i="2"/>
  <c r="BB552" i="2"/>
  <c r="AV552" i="2"/>
  <c r="AR552" i="2" s="1"/>
  <c r="AW552" i="2" s="1"/>
  <c r="S595" i="2"/>
  <c r="T595" i="2"/>
  <c r="AL595" i="2" s="1"/>
  <c r="BA587" i="2"/>
  <c r="R552" i="2" l="1"/>
  <c r="O552" i="2"/>
  <c r="AU552" i="2"/>
  <c r="AK588" i="2"/>
  <c r="S596" i="2"/>
  <c r="T596" i="2"/>
  <c r="AL596" i="2" s="1"/>
  <c r="AN553" i="2" l="1"/>
  <c r="N553" i="2"/>
  <c r="AS553" i="2"/>
  <c r="AO553" i="2"/>
  <c r="X553" i="2"/>
  <c r="I553" i="2"/>
  <c r="AG552" i="2"/>
  <c r="AE552" i="2"/>
  <c r="T553" i="2"/>
  <c r="S553" i="2"/>
  <c r="AH552" i="2"/>
  <c r="AI553" i="2" s="1"/>
  <c r="BA588" i="2"/>
  <c r="Q553" i="2" l="1"/>
  <c r="R553" i="2" s="1"/>
  <c r="S554" i="2" s="1"/>
  <c r="O553" i="2"/>
  <c r="AF553" i="2"/>
  <c r="AK553" i="2" s="1"/>
  <c r="AL552" i="2"/>
  <c r="BA552" i="2" s="1"/>
  <c r="AH553" i="2"/>
  <c r="AI554" i="2" s="1"/>
  <c r="AE553" i="2"/>
  <c r="AT552" i="2"/>
  <c r="S597" i="2"/>
  <c r="T597" i="2"/>
  <c r="AL597" i="2" s="1"/>
  <c r="AK589" i="2"/>
  <c r="AG553" i="2" l="1"/>
  <c r="T554" i="2"/>
  <c r="AL553" i="2"/>
  <c r="BA553" i="2" s="1"/>
  <c r="AF554" i="2"/>
  <c r="BB553" i="2"/>
  <c r="AV553" i="2"/>
  <c r="AR553" i="2" s="1"/>
  <c r="AW553" i="2" s="1"/>
  <c r="AU553" i="2" s="1"/>
  <c r="AN554" i="2"/>
  <c r="AT553" i="2"/>
  <c r="I554" i="2"/>
  <c r="AS554" i="2"/>
  <c r="N554" i="2"/>
  <c r="X554" i="2"/>
  <c r="AO554" i="2"/>
  <c r="S598" i="2"/>
  <c r="T598" i="2"/>
  <c r="AL598" i="2" s="1"/>
  <c r="BA589" i="2"/>
  <c r="AK554" i="2" l="1"/>
  <c r="BB554" i="2"/>
  <c r="Q554" i="2"/>
  <c r="R554" i="2" s="1"/>
  <c r="AV554" i="2"/>
  <c r="AR554" i="2" s="1"/>
  <c r="AW554" i="2" s="1"/>
  <c r="AU554" i="2" s="1"/>
  <c r="AK590" i="2"/>
  <c r="T599" i="2"/>
  <c r="AL599" i="2" s="1"/>
  <c r="S599" i="2"/>
  <c r="O554" i="2" l="1"/>
  <c r="N555" i="2" s="1"/>
  <c r="AS555" i="2"/>
  <c r="T555" i="2"/>
  <c r="AG554" i="2"/>
  <c r="AE554" i="2"/>
  <c r="AH554" i="2"/>
  <c r="AI555" i="2" s="1"/>
  <c r="S555" i="2"/>
  <c r="S600" i="2"/>
  <c r="T600" i="2"/>
  <c r="AL600" i="2" s="1"/>
  <c r="BA590" i="2"/>
  <c r="AN555" i="2" l="1"/>
  <c r="AO555" i="2"/>
  <c r="I555" i="2"/>
  <c r="Q555" i="2" s="1"/>
  <c r="O555" i="2" s="1"/>
  <c r="AO556" i="2" s="1"/>
  <c r="X555" i="2"/>
  <c r="AF555" i="2"/>
  <c r="AL554" i="2"/>
  <c r="BA554" i="2" s="1"/>
  <c r="AT554" i="2"/>
  <c r="R555" i="2"/>
  <c r="S556" i="2" s="1"/>
  <c r="AS556" i="2"/>
  <c r="AK591" i="2"/>
  <c r="AN556" i="2" l="1"/>
  <c r="AK555" i="2"/>
  <c r="N556" i="2"/>
  <c r="I556" i="2"/>
  <c r="X556" i="2"/>
  <c r="T556" i="2"/>
  <c r="AG555" i="2"/>
  <c r="AH555" i="2"/>
  <c r="AI556" i="2" s="1"/>
  <c r="AE555" i="2"/>
  <c r="BB555" i="2"/>
  <c r="AV555" i="2"/>
  <c r="AR555" i="2" s="1"/>
  <c r="AW555" i="2" s="1"/>
  <c r="AU555" i="2" s="1"/>
  <c r="S601" i="2"/>
  <c r="T601" i="2"/>
  <c r="AL601" i="2" s="1"/>
  <c r="BA591" i="2"/>
  <c r="Q556" i="2" l="1"/>
  <c r="R556" i="2" s="1"/>
  <c r="T557" i="2" s="1"/>
  <c r="AT555" i="2"/>
  <c r="BB556" i="2" s="1"/>
  <c r="AF556" i="2"/>
  <c r="AK556" i="2" s="1"/>
  <c r="AL555" i="2"/>
  <c r="BA555" i="2" s="1"/>
  <c r="AG556" i="2"/>
  <c r="AH556" i="2"/>
  <c r="AI557" i="2" s="1"/>
  <c r="O556" i="2"/>
  <c r="AK592" i="2"/>
  <c r="S602" i="2"/>
  <c r="T602" i="2"/>
  <c r="AL602" i="2" s="1"/>
  <c r="S557" i="2" l="1"/>
  <c r="AV556" i="2"/>
  <c r="AR556" i="2" s="1"/>
  <c r="AW556" i="2" s="1"/>
  <c r="AU556" i="2" s="1"/>
  <c r="AE556" i="2"/>
  <c r="AT556" i="2" s="1"/>
  <c r="AO557" i="2"/>
  <c r="AN557" i="2"/>
  <c r="X557" i="2"/>
  <c r="I557" i="2"/>
  <c r="AS557" i="2"/>
  <c r="N557" i="2"/>
  <c r="BA592" i="2"/>
  <c r="AL556" i="2" l="1"/>
  <c r="BA556" i="2" s="1"/>
  <c r="AF557" i="2"/>
  <c r="AK557" i="2" s="1"/>
  <c r="BB557" i="2"/>
  <c r="AV557" i="2"/>
  <c r="AR557" i="2" s="1"/>
  <c r="AW557" i="2" s="1"/>
  <c r="Q557" i="2"/>
  <c r="S603" i="2"/>
  <c r="T603" i="2"/>
  <c r="AL603" i="2" s="1"/>
  <c r="AK593" i="2"/>
  <c r="AU557" i="2" l="1"/>
  <c r="R557" i="2"/>
  <c r="AG557" i="2" s="1"/>
  <c r="O557" i="2"/>
  <c r="BA593" i="2"/>
  <c r="S604" i="2"/>
  <c r="T604" i="2"/>
  <c r="AL604" i="2" s="1"/>
  <c r="AN558" i="2" l="1"/>
  <c r="I558" i="2"/>
  <c r="AS558" i="2"/>
  <c r="AO558" i="2"/>
  <c r="X558" i="2"/>
  <c r="N558" i="2"/>
  <c r="AE557" i="2"/>
  <c r="AT557" i="2" s="1"/>
  <c r="T558" i="2"/>
  <c r="S558" i="2"/>
  <c r="AH557" i="2"/>
  <c r="AI558" i="2" s="1"/>
  <c r="AK594" i="2"/>
  <c r="BB558" i="2" l="1"/>
  <c r="AL557" i="2"/>
  <c r="BA557" i="2" s="1"/>
  <c r="Q558" i="2"/>
  <c r="R558" i="2" s="1"/>
  <c r="AH558" i="2" s="1"/>
  <c r="AI559" i="2" s="1"/>
  <c r="AF558" i="2"/>
  <c r="AK558" i="2" s="1"/>
  <c r="BA594" i="2"/>
  <c r="S605" i="2"/>
  <c r="T605" i="2"/>
  <c r="AL605" i="2" s="1"/>
  <c r="S559" i="2" l="1"/>
  <c r="AG558" i="2"/>
  <c r="T559" i="2"/>
  <c r="AE558" i="2"/>
  <c r="O558" i="2"/>
  <c r="AV558" i="2"/>
  <c r="AR558" i="2" s="1"/>
  <c r="AW558" i="2" s="1"/>
  <c r="AU558" i="2" s="1"/>
  <c r="AF559" i="2"/>
  <c r="S606" i="2"/>
  <c r="T606" i="2"/>
  <c r="AL606" i="2" s="1"/>
  <c r="AK595" i="2"/>
  <c r="AN559" i="2" l="1"/>
  <c r="AT558" i="2"/>
  <c r="AL558" i="2"/>
  <c r="BA558" i="2" s="1"/>
  <c r="AO559" i="2"/>
  <c r="I559" i="2"/>
  <c r="N559" i="2"/>
  <c r="X559" i="2"/>
  <c r="AS559" i="2"/>
  <c r="S607" i="2"/>
  <c r="T607" i="2"/>
  <c r="AL607" i="2" s="1"/>
  <c r="BA595" i="2"/>
  <c r="BB559" i="2" l="1"/>
  <c r="AV559" i="2"/>
  <c r="AR559" i="2" s="1"/>
  <c r="AW559" i="2" s="1"/>
  <c r="Q559" i="2"/>
  <c r="R559" i="2" s="1"/>
  <c r="AG559" i="2" s="1"/>
  <c r="AK559" i="2"/>
  <c r="AK596" i="2"/>
  <c r="O559" i="2" l="1"/>
  <c r="AS560" i="2" s="1"/>
  <c r="AU559" i="2"/>
  <c r="S560" i="2"/>
  <c r="T560" i="2"/>
  <c r="AE559" i="2"/>
  <c r="AH559" i="2"/>
  <c r="AI560" i="2" s="1"/>
  <c r="S608" i="2"/>
  <c r="T608" i="2"/>
  <c r="AL608" i="2" s="1"/>
  <c r="BA596" i="2"/>
  <c r="AN560" i="2" l="1"/>
  <c r="AT559" i="2"/>
  <c r="AL559" i="2"/>
  <c r="BA559" i="2" s="1"/>
  <c r="X560" i="2"/>
  <c r="AO560" i="2"/>
  <c r="I560" i="2"/>
  <c r="N560" i="2"/>
  <c r="AF560" i="2"/>
  <c r="S609" i="2"/>
  <c r="T609" i="2"/>
  <c r="AL609" i="2" s="1"/>
  <c r="AK597" i="2"/>
  <c r="BB560" i="2" l="1"/>
  <c r="Q560" i="2"/>
  <c r="R560" i="2" s="1"/>
  <c r="AG560" i="2" s="1"/>
  <c r="AK560" i="2"/>
  <c r="AV560" i="2"/>
  <c r="AR560" i="2" s="1"/>
  <c r="AW560" i="2" s="1"/>
  <c r="O560" i="2"/>
  <c r="S610" i="2"/>
  <c r="T610" i="2"/>
  <c r="AL610" i="2" s="1"/>
  <c r="BA597" i="2"/>
  <c r="AN561" i="2" l="1"/>
  <c r="AU560" i="2"/>
  <c r="T561" i="2"/>
  <c r="AE560" i="2"/>
  <c r="S561" i="2"/>
  <c r="AH560" i="2"/>
  <c r="AI561" i="2" s="1"/>
  <c r="AS561" i="2"/>
  <c r="N561" i="2"/>
  <c r="I561" i="2"/>
  <c r="X561" i="2"/>
  <c r="AO561" i="2"/>
  <c r="S611" i="2"/>
  <c r="T611" i="2"/>
  <c r="AL611" i="2" s="1"/>
  <c r="AK598" i="2"/>
  <c r="AT560" i="2" l="1"/>
  <c r="BB561" i="2" s="1"/>
  <c r="AL560" i="2"/>
  <c r="BA560" i="2" s="1"/>
  <c r="AF561" i="2"/>
  <c r="AK561" i="2" s="1"/>
  <c r="Q561" i="2"/>
  <c r="R561" i="2" s="1"/>
  <c r="AG561" i="2" s="1"/>
  <c r="BA598" i="2"/>
  <c r="T562" i="2" l="1"/>
  <c r="AE561" i="2"/>
  <c r="AH561" i="2"/>
  <c r="AI562" i="2" s="1"/>
  <c r="S562" i="2"/>
  <c r="O561" i="2"/>
  <c r="AV561" i="2"/>
  <c r="AR561" i="2" s="1"/>
  <c r="AW561" i="2" s="1"/>
  <c r="AU561" i="2" s="1"/>
  <c r="S612" i="2"/>
  <c r="T612" i="2"/>
  <c r="AL612" i="2" s="1"/>
  <c r="AK599" i="2"/>
  <c r="AN562" i="2" l="1"/>
  <c r="AT561" i="2"/>
  <c r="AL561" i="2"/>
  <c r="BA561" i="2" s="1"/>
  <c r="AO562" i="2"/>
  <c r="N562" i="2"/>
  <c r="AS562" i="2"/>
  <c r="I562" i="2"/>
  <c r="X562" i="2"/>
  <c r="AF562" i="2"/>
  <c r="S613" i="2"/>
  <c r="T613" i="2"/>
  <c r="AL613" i="2" s="1"/>
  <c r="BA599" i="2"/>
  <c r="BB562" i="2" l="1"/>
  <c r="Q562" i="2"/>
  <c r="R562" i="2" s="1"/>
  <c r="AH562" i="2" s="1"/>
  <c r="AI563" i="2" s="1"/>
  <c r="AK562" i="2"/>
  <c r="AV562" i="2"/>
  <c r="AR562" i="2" s="1"/>
  <c r="AW562" i="2" s="1"/>
  <c r="AU562" i="2" s="1"/>
  <c r="O562" i="2"/>
  <c r="AK600" i="2"/>
  <c r="S614" i="2"/>
  <c r="T614" i="2"/>
  <c r="AL614" i="2" s="1"/>
  <c r="AE562" i="2" l="1"/>
  <c r="AF563" i="2" s="1"/>
  <c r="AN563" i="2"/>
  <c r="S563" i="2"/>
  <c r="AG562" i="2"/>
  <c r="T563" i="2"/>
  <c r="I563" i="2"/>
  <c r="N563" i="2"/>
  <c r="AS563" i="2"/>
  <c r="AO563" i="2"/>
  <c r="X563" i="2"/>
  <c r="BA600" i="2"/>
  <c r="S615" i="2"/>
  <c r="T615" i="2"/>
  <c r="AL615" i="2" s="1"/>
  <c r="AL562" i="2" l="1"/>
  <c r="BA562" i="2" s="1"/>
  <c r="AK563" i="2"/>
  <c r="AT562" i="2"/>
  <c r="BB563" i="2" s="1"/>
  <c r="Q563" i="2"/>
  <c r="R563" i="2" s="1"/>
  <c r="AG563" i="2" s="1"/>
  <c r="AK601" i="2"/>
  <c r="AV563" i="2" l="1"/>
  <c r="AR563" i="2" s="1"/>
  <c r="AW563" i="2" s="1"/>
  <c r="S564" i="2"/>
  <c r="AH563" i="2"/>
  <c r="AE563" i="2"/>
  <c r="T564" i="2"/>
  <c r="O563" i="2"/>
  <c r="BA601" i="2"/>
  <c r="S616" i="2"/>
  <c r="T616" i="2"/>
  <c r="AL616" i="2" s="1"/>
  <c r="AL563" i="2" l="1"/>
  <c r="BA563" i="2" s="1"/>
  <c r="AM564" i="2"/>
  <c r="AN564" i="2"/>
  <c r="AJ564" i="2"/>
  <c r="AT563" i="2" s="1"/>
  <c r="BB564" i="2" s="1"/>
  <c r="I564" i="2"/>
  <c r="AS564" i="2"/>
  <c r="AO564" i="2"/>
  <c r="X564" i="2"/>
  <c r="N564" i="2"/>
  <c r="AF564" i="2"/>
  <c r="S617" i="2"/>
  <c r="T617" i="2"/>
  <c r="AL617" i="2" s="1"/>
  <c r="AK602" i="2"/>
  <c r="Q564" i="2" l="1"/>
  <c r="R564" i="2" s="1"/>
  <c r="AG564" i="2" s="1"/>
  <c r="AV564" i="2"/>
  <c r="AR564" i="2" s="1"/>
  <c r="AW564" i="2" s="1"/>
  <c r="AU564" i="2" s="1"/>
  <c r="O564" i="2"/>
  <c r="AI564" i="2"/>
  <c r="AK564" i="2" s="1"/>
  <c r="BA602" i="2"/>
  <c r="S618" i="2"/>
  <c r="T618" i="2"/>
  <c r="AL618" i="2" s="1"/>
  <c r="AN565" i="2" l="1"/>
  <c r="AO565" i="2"/>
  <c r="N565" i="2"/>
  <c r="X565" i="2"/>
  <c r="I565" i="2"/>
  <c r="AE564" i="2"/>
  <c r="AT564" i="2" s="1"/>
  <c r="T565" i="2"/>
  <c r="S565" i="2"/>
  <c r="AH564" i="2"/>
  <c r="AM565" i="2" s="1"/>
  <c r="S619" i="2"/>
  <c r="T619" i="2"/>
  <c r="AL619" i="2" s="1"/>
  <c r="AK603" i="2"/>
  <c r="AL565" i="2" l="1"/>
  <c r="AL564" i="2"/>
  <c r="BA564" i="2" s="1"/>
  <c r="Q565" i="2"/>
  <c r="AK565" i="2"/>
  <c r="S620" i="2"/>
  <c r="T620" i="2"/>
  <c r="AL620" i="2" s="1"/>
  <c r="BA603" i="2"/>
  <c r="BA565" i="2" l="1"/>
  <c r="AK604" i="2"/>
  <c r="S621" i="2"/>
  <c r="T621" i="2"/>
  <c r="AL621" i="2" s="1"/>
  <c r="BA604" i="2" l="1"/>
  <c r="S622" i="2" l="1"/>
  <c r="T622" i="2"/>
  <c r="AL622" i="2" s="1"/>
  <c r="AK605" i="2"/>
  <c r="BA605" i="2" l="1"/>
  <c r="S623" i="2"/>
  <c r="T623" i="2"/>
  <c r="AL623" i="2" s="1"/>
  <c r="AK606" i="2" l="1"/>
  <c r="BA606" i="2" l="1"/>
  <c r="S624" i="2"/>
  <c r="T624" i="2"/>
  <c r="AL624" i="2" s="1"/>
  <c r="AK607" i="2" l="1"/>
  <c r="BA607" i="2" l="1"/>
  <c r="AK608" i="2" l="1"/>
  <c r="BA608" i="2" l="1"/>
  <c r="AK609" i="2" l="1"/>
  <c r="BA609" i="2" l="1"/>
  <c r="AK610" i="2" l="1"/>
  <c r="BA610" i="2" l="1"/>
  <c r="AK611" i="2" l="1"/>
  <c r="BA611" i="2" l="1"/>
  <c r="AK612" i="2" l="1"/>
  <c r="BA612" i="2" l="1"/>
  <c r="AK613" i="2" l="1"/>
  <c r="BA613" i="2" l="1"/>
  <c r="AK614" i="2" l="1"/>
  <c r="BA614" i="2" l="1"/>
  <c r="AK615" i="2" l="1"/>
  <c r="BA615" i="2" l="1"/>
  <c r="AK616" i="2" l="1"/>
  <c r="BA616" i="2" l="1"/>
  <c r="AK617" i="2" l="1"/>
  <c r="BA617" i="2" l="1"/>
  <c r="AK618" i="2" l="1"/>
  <c r="BA618" i="2" l="1"/>
  <c r="AK619" i="2" l="1"/>
  <c r="BA619" i="2" l="1"/>
  <c r="AK620" i="2" l="1"/>
  <c r="BA620" i="2" l="1"/>
  <c r="AK621" i="2" l="1"/>
  <c r="BA621" i="2" l="1"/>
  <c r="AK622" i="2" l="1"/>
  <c r="BA622" i="2" l="1"/>
  <c r="AK623" i="2" l="1"/>
  <c r="BA623" i="2" l="1"/>
  <c r="AK624" i="2" l="1"/>
  <c r="BA624" i="2" l="1"/>
  <c r="AZ623" i="2" s="1"/>
  <c r="AZ622" i="2" s="1"/>
  <c r="AZ621" i="2" s="1"/>
  <c r="AZ620" i="2" s="1"/>
  <c r="AZ619" i="2" s="1"/>
  <c r="AZ618" i="2" s="1"/>
  <c r="AZ617" i="2" s="1"/>
  <c r="AZ616" i="2" s="1"/>
  <c r="AZ615" i="2" s="1"/>
  <c r="AZ614" i="2" s="1"/>
  <c r="AZ613" i="2" s="1"/>
  <c r="AZ612" i="2" s="1"/>
  <c r="AZ611" i="2" s="1"/>
  <c r="AZ610" i="2" s="1"/>
  <c r="AZ609" i="2" s="1"/>
  <c r="AZ608" i="2" s="1"/>
  <c r="AZ607" i="2" s="1"/>
  <c r="AZ606" i="2" s="1"/>
  <c r="AZ605" i="2" s="1"/>
  <c r="AZ604" i="2" s="1"/>
  <c r="AZ603" i="2" s="1"/>
  <c r="AZ602" i="2" s="1"/>
  <c r="AZ601" i="2" s="1"/>
  <c r="AZ600" i="2" s="1"/>
  <c r="AZ599" i="2" s="1"/>
  <c r="AZ598" i="2" s="1"/>
  <c r="AZ597" i="2" s="1"/>
  <c r="AZ596" i="2" s="1"/>
  <c r="AZ595" i="2" s="1"/>
  <c r="AZ594" i="2" s="1"/>
  <c r="AZ593" i="2" s="1"/>
  <c r="AZ592" i="2" s="1"/>
  <c r="AZ591" i="2" s="1"/>
  <c r="AZ590" i="2" s="1"/>
  <c r="AZ589" i="2" s="1"/>
  <c r="AZ588" i="2" s="1"/>
  <c r="AZ587" i="2" s="1"/>
  <c r="AZ586" i="2" s="1"/>
  <c r="AZ585" i="2" s="1"/>
  <c r="AZ584" i="2" s="1"/>
  <c r="AZ583" i="2" s="1"/>
  <c r="AZ582" i="2" s="1"/>
  <c r="AZ581" i="2" s="1"/>
  <c r="AZ580" i="2" s="1"/>
  <c r="AZ579" i="2" s="1"/>
  <c r="AZ578" i="2" s="1"/>
  <c r="AZ577" i="2" s="1"/>
  <c r="AZ576" i="2" s="1"/>
  <c r="AZ575" i="2" s="1"/>
  <c r="AZ574" i="2" s="1"/>
  <c r="AZ573" i="2" s="1"/>
  <c r="AZ572" i="2" s="1"/>
  <c r="AZ571" i="2" s="1"/>
  <c r="AZ570" i="2" s="1"/>
  <c r="AZ569" i="2" s="1"/>
  <c r="AZ568" i="2" s="1"/>
  <c r="AZ567" i="2" s="1"/>
  <c r="AZ566" i="2" s="1"/>
  <c r="AZ565" i="2" s="1"/>
  <c r="AZ564" i="2" s="1"/>
  <c r="AZ563" i="2" s="1"/>
  <c r="AZ562" i="2" s="1"/>
  <c r="AZ561" i="2" s="1"/>
  <c r="AZ560" i="2" s="1"/>
  <c r="AZ559" i="2" s="1"/>
  <c r="AZ558" i="2" s="1"/>
  <c r="AZ557" i="2" s="1"/>
  <c r="AZ556" i="2" s="1"/>
  <c r="AZ555" i="2" s="1"/>
  <c r="AZ554" i="2" s="1"/>
  <c r="AZ553" i="2" s="1"/>
  <c r="AZ552" i="2" s="1"/>
  <c r="AZ551" i="2" s="1"/>
  <c r="AZ550" i="2" s="1"/>
  <c r="AZ549" i="2" s="1"/>
  <c r="AZ548" i="2" s="1"/>
  <c r="AZ547" i="2" s="1"/>
  <c r="AZ546" i="2" s="1"/>
  <c r="AZ545" i="2" s="1"/>
  <c r="AZ544" i="2" s="1"/>
  <c r="AZ543" i="2" s="1"/>
  <c r="AZ542" i="2" s="1"/>
  <c r="AZ541" i="2" s="1"/>
  <c r="AZ540" i="2" s="1"/>
  <c r="AZ539" i="2" s="1"/>
  <c r="AZ538" i="2" s="1"/>
  <c r="AZ537" i="2" s="1"/>
  <c r="AZ536" i="2" s="1"/>
  <c r="AZ535" i="2" s="1"/>
  <c r="AZ534" i="2" s="1"/>
  <c r="AZ533" i="2" s="1"/>
  <c r="AZ532" i="2" s="1"/>
  <c r="AZ531" i="2" s="1"/>
  <c r="AZ530" i="2" s="1"/>
  <c r="AZ529" i="2" s="1"/>
  <c r="AZ528" i="2" s="1"/>
  <c r="AZ527" i="2" s="1"/>
  <c r="AZ526" i="2" s="1"/>
  <c r="AZ525" i="2" s="1"/>
  <c r="AZ524" i="2" s="1"/>
  <c r="AZ523" i="2" s="1"/>
  <c r="AZ522" i="2" s="1"/>
  <c r="AZ521" i="2" s="1"/>
  <c r="AZ520" i="2" s="1"/>
  <c r="AZ519" i="2" s="1"/>
  <c r="AZ518" i="2" s="1"/>
  <c r="AZ517" i="2" s="1"/>
  <c r="AZ516" i="2" s="1"/>
  <c r="AZ515" i="2" s="1"/>
  <c r="AZ514" i="2" s="1"/>
  <c r="AZ513" i="2" s="1"/>
  <c r="AZ512" i="2" s="1"/>
  <c r="AZ511" i="2" s="1"/>
  <c r="AZ510" i="2" s="1"/>
  <c r="AZ509" i="2" s="1"/>
  <c r="AZ508" i="2" s="1"/>
  <c r="AZ507" i="2" s="1"/>
  <c r="AZ506" i="2" s="1"/>
  <c r="AZ505" i="2" s="1"/>
  <c r="AZ504" i="2" s="1"/>
  <c r="AZ503" i="2" s="1"/>
  <c r="AZ502" i="2" s="1"/>
  <c r="AZ501" i="2" s="1"/>
  <c r="AZ500" i="2" s="1"/>
  <c r="AZ499" i="2" s="1"/>
  <c r="AZ498" i="2" s="1"/>
  <c r="AZ497" i="2" s="1"/>
  <c r="AZ496" i="2" s="1"/>
  <c r="AZ495" i="2" s="1"/>
  <c r="AZ494" i="2" s="1"/>
  <c r="AZ493" i="2" s="1"/>
  <c r="AZ492" i="2" s="1"/>
  <c r="AZ491" i="2" s="1"/>
  <c r="AZ490" i="2" s="1"/>
  <c r="AZ489" i="2" s="1"/>
  <c r="AZ488" i="2" s="1"/>
  <c r="AZ487" i="2" s="1"/>
  <c r="AZ486" i="2" s="1"/>
  <c r="AZ485" i="2" s="1"/>
  <c r="AZ484" i="2" s="1"/>
  <c r="AZ483" i="2" s="1"/>
  <c r="AZ482" i="2" s="1"/>
  <c r="AZ481" i="2" s="1"/>
  <c r="AZ480" i="2" s="1"/>
  <c r="AZ479" i="2" s="1"/>
  <c r="AZ478" i="2" s="1"/>
  <c r="AZ477" i="2" s="1"/>
  <c r="AZ476" i="2" s="1"/>
  <c r="AZ475" i="2" s="1"/>
  <c r="AZ474" i="2" s="1"/>
  <c r="AZ473" i="2" s="1"/>
  <c r="AZ472" i="2" s="1"/>
  <c r="AZ471" i="2" s="1"/>
  <c r="AZ470" i="2" s="1"/>
  <c r="AZ469" i="2" s="1"/>
  <c r="AZ468" i="2" s="1"/>
  <c r="AZ467" i="2" s="1"/>
  <c r="AZ466" i="2" s="1"/>
  <c r="AZ465" i="2" s="1"/>
  <c r="AZ464" i="2" s="1"/>
  <c r="AZ463" i="2" s="1"/>
  <c r="AZ462" i="2" s="1"/>
  <c r="AZ461" i="2" s="1"/>
  <c r="AZ460" i="2" s="1"/>
  <c r="AZ459" i="2" s="1"/>
  <c r="AZ458" i="2" s="1"/>
  <c r="AZ457" i="2" s="1"/>
  <c r="AZ456" i="2" s="1"/>
  <c r="AZ455" i="2" s="1"/>
  <c r="AZ454" i="2" s="1"/>
  <c r="AZ453" i="2" s="1"/>
  <c r="AZ452" i="2" s="1"/>
  <c r="AZ451" i="2" s="1"/>
  <c r="AZ450" i="2" s="1"/>
  <c r="AZ449" i="2" s="1"/>
  <c r="AZ448" i="2" s="1"/>
  <c r="AZ447" i="2" s="1"/>
  <c r="AZ446" i="2" s="1"/>
  <c r="AZ445" i="2" s="1"/>
  <c r="AZ444" i="2" s="1"/>
  <c r="AZ443" i="2" s="1"/>
  <c r="AZ442" i="2" s="1"/>
  <c r="AZ441" i="2" s="1"/>
  <c r="AZ440" i="2" s="1"/>
  <c r="AZ439" i="2" s="1"/>
  <c r="AZ438" i="2" s="1"/>
  <c r="AZ437" i="2" s="1"/>
  <c r="AZ436" i="2" s="1"/>
  <c r="AZ435" i="2" s="1"/>
  <c r="AZ434" i="2" s="1"/>
  <c r="AZ433" i="2" s="1"/>
  <c r="AZ432" i="2" s="1"/>
  <c r="AZ431" i="2" s="1"/>
  <c r="AZ430" i="2" s="1"/>
  <c r="AZ429" i="2" s="1"/>
  <c r="AZ428" i="2" s="1"/>
  <c r="AZ427" i="2" s="1"/>
  <c r="AZ426" i="2" s="1"/>
  <c r="AZ425" i="2" s="1"/>
  <c r="AZ424" i="2" s="1"/>
  <c r="AZ423" i="2" s="1"/>
  <c r="AZ422" i="2" s="1"/>
  <c r="AZ421" i="2" s="1"/>
  <c r="AZ420" i="2" s="1"/>
  <c r="AZ419" i="2" s="1"/>
  <c r="AZ418" i="2" s="1"/>
  <c r="AZ417" i="2" s="1"/>
  <c r="AZ416" i="2" s="1"/>
  <c r="AZ415" i="2" s="1"/>
  <c r="AZ414" i="2" s="1"/>
  <c r="AZ413" i="2" s="1"/>
  <c r="AZ412" i="2" s="1"/>
  <c r="AZ411" i="2" s="1"/>
  <c r="AZ410" i="2" s="1"/>
  <c r="AZ409" i="2" s="1"/>
  <c r="AZ408" i="2" s="1"/>
  <c r="AZ407" i="2" s="1"/>
  <c r="AZ406" i="2" s="1"/>
  <c r="AZ405" i="2" s="1"/>
  <c r="AZ404" i="2" s="1"/>
  <c r="AZ403" i="2" s="1"/>
  <c r="AZ402" i="2" s="1"/>
  <c r="AZ401" i="2" s="1"/>
  <c r="AZ400" i="2" s="1"/>
  <c r="AZ399" i="2" s="1"/>
  <c r="AZ398" i="2" s="1"/>
  <c r="AZ397" i="2" s="1"/>
  <c r="AZ396" i="2" s="1"/>
  <c r="AZ395" i="2" s="1"/>
  <c r="AZ394" i="2" s="1"/>
  <c r="AZ393" i="2" s="1"/>
  <c r="AZ392" i="2" s="1"/>
  <c r="AZ391" i="2" s="1"/>
  <c r="AZ390" i="2" s="1"/>
  <c r="AZ389" i="2" s="1"/>
  <c r="AZ388" i="2" s="1"/>
  <c r="AZ387" i="2" s="1"/>
  <c r="AZ386" i="2" s="1"/>
  <c r="AZ385" i="2" s="1"/>
  <c r="AZ384" i="2" s="1"/>
  <c r="AZ383" i="2" s="1"/>
  <c r="AZ382" i="2" s="1"/>
  <c r="AZ381" i="2" s="1"/>
  <c r="AZ380" i="2" s="1"/>
  <c r="AZ379" i="2" s="1"/>
  <c r="AZ378" i="2" s="1"/>
  <c r="AZ377" i="2" s="1"/>
  <c r="AZ376" i="2" s="1"/>
  <c r="AZ375" i="2" s="1"/>
  <c r="AZ374" i="2" s="1"/>
  <c r="AZ373" i="2" s="1"/>
  <c r="AZ372" i="2" s="1"/>
  <c r="AZ371" i="2" s="1"/>
  <c r="AZ370" i="2" s="1"/>
  <c r="AZ369" i="2" s="1"/>
  <c r="AZ368" i="2" s="1"/>
  <c r="AZ367" i="2" s="1"/>
  <c r="AZ366" i="2" s="1"/>
  <c r="AZ365" i="2" s="1"/>
  <c r="AZ364" i="2" s="1"/>
  <c r="AZ363" i="2" s="1"/>
  <c r="AZ362" i="2" s="1"/>
  <c r="AZ361" i="2" s="1"/>
  <c r="AZ360" i="2" s="1"/>
  <c r="AZ359" i="2" s="1"/>
  <c r="AZ358" i="2" s="1"/>
  <c r="AZ357" i="2" s="1"/>
  <c r="AZ356" i="2" s="1"/>
  <c r="AZ355" i="2" s="1"/>
  <c r="AZ354" i="2" s="1"/>
  <c r="AZ353" i="2" s="1"/>
  <c r="AZ352" i="2" s="1"/>
  <c r="AZ351" i="2" s="1"/>
  <c r="AZ350" i="2" s="1"/>
  <c r="AZ349" i="2" s="1"/>
  <c r="AZ348" i="2" s="1"/>
  <c r="AZ347" i="2" s="1"/>
  <c r="AZ346" i="2" s="1"/>
  <c r="AZ345" i="2" s="1"/>
  <c r="AZ344" i="2" s="1"/>
  <c r="AZ343" i="2" s="1"/>
  <c r="AZ342" i="2" s="1"/>
  <c r="AZ341" i="2" s="1"/>
  <c r="AZ340" i="2" s="1"/>
  <c r="AZ339" i="2" s="1"/>
  <c r="AZ338" i="2" s="1"/>
  <c r="AZ337" i="2" s="1"/>
  <c r="AZ336" i="2" s="1"/>
  <c r="AZ335" i="2" s="1"/>
  <c r="AZ334" i="2" s="1"/>
  <c r="AZ333" i="2" s="1"/>
  <c r="AZ332" i="2" s="1"/>
  <c r="AZ331" i="2" s="1"/>
  <c r="AZ330" i="2" s="1"/>
  <c r="AZ329" i="2" s="1"/>
  <c r="AZ328" i="2" s="1"/>
  <c r="AZ327" i="2" s="1"/>
  <c r="AZ326" i="2" s="1"/>
  <c r="AZ325" i="2" s="1"/>
  <c r="AZ324" i="2" s="1"/>
  <c r="AZ323" i="2" s="1"/>
  <c r="AZ322" i="2" s="1"/>
  <c r="AZ321" i="2" s="1"/>
  <c r="AZ320" i="2" s="1"/>
  <c r="AZ319" i="2" s="1"/>
  <c r="AZ318" i="2" s="1"/>
  <c r="AZ317" i="2" s="1"/>
  <c r="AZ316" i="2" s="1"/>
  <c r="AZ315" i="2" s="1"/>
  <c r="AZ314" i="2" s="1"/>
  <c r="AZ313" i="2" s="1"/>
  <c r="AZ312" i="2" s="1"/>
  <c r="AZ311" i="2" s="1"/>
  <c r="AZ310" i="2" s="1"/>
  <c r="AZ309" i="2" s="1"/>
  <c r="AZ308" i="2" s="1"/>
  <c r="AZ307" i="2" s="1"/>
  <c r="AZ306" i="2" s="1"/>
  <c r="AZ305" i="2" s="1"/>
  <c r="AZ304" i="2" s="1"/>
  <c r="AZ303" i="2" s="1"/>
  <c r="AZ302" i="2" s="1"/>
  <c r="AZ301" i="2" s="1"/>
  <c r="AZ300" i="2" s="1"/>
  <c r="AZ299" i="2" s="1"/>
  <c r="AZ298" i="2" s="1"/>
  <c r="AZ297" i="2" s="1"/>
  <c r="AZ296" i="2" s="1"/>
  <c r="AZ295" i="2" s="1"/>
  <c r="AZ294" i="2" s="1"/>
  <c r="AZ293" i="2" s="1"/>
  <c r="AZ292" i="2" s="1"/>
  <c r="AZ291" i="2" s="1"/>
  <c r="AZ290" i="2" s="1"/>
  <c r="AZ289" i="2" s="1"/>
  <c r="AZ288" i="2" s="1"/>
  <c r="AZ287" i="2" s="1"/>
  <c r="AZ286" i="2" s="1"/>
  <c r="AZ285" i="2" s="1"/>
  <c r="AZ284" i="2" s="1"/>
  <c r="AZ283" i="2" s="1"/>
  <c r="AZ282" i="2" s="1"/>
  <c r="AZ281" i="2" s="1"/>
  <c r="AZ280" i="2" s="1"/>
  <c r="AZ279" i="2" s="1"/>
  <c r="AZ278" i="2" s="1"/>
  <c r="AZ277" i="2" s="1"/>
  <c r="AZ276" i="2" s="1"/>
  <c r="AZ275" i="2" s="1"/>
  <c r="AZ274" i="2" s="1"/>
  <c r="AZ273" i="2" s="1"/>
  <c r="AZ272" i="2" s="1"/>
  <c r="AZ271" i="2" s="1"/>
  <c r="AZ270" i="2" s="1"/>
  <c r="AZ269" i="2" s="1"/>
  <c r="AZ268" i="2" s="1"/>
  <c r="AZ267" i="2" s="1"/>
  <c r="AZ266" i="2" s="1"/>
  <c r="AZ265" i="2" s="1"/>
  <c r="AZ264" i="2" s="1"/>
  <c r="AZ263" i="2" s="1"/>
  <c r="AZ262" i="2" s="1"/>
  <c r="AZ261" i="2" s="1"/>
  <c r="AZ260" i="2" s="1"/>
  <c r="AZ259" i="2" s="1"/>
  <c r="AZ258" i="2" s="1"/>
  <c r="AZ257" i="2" s="1"/>
  <c r="AZ256" i="2" s="1"/>
  <c r="AZ255" i="2" s="1"/>
  <c r="AZ254" i="2" s="1"/>
  <c r="AZ253" i="2" s="1"/>
  <c r="AZ252" i="2" s="1"/>
  <c r="AZ251" i="2" s="1"/>
  <c r="AZ250" i="2" s="1"/>
  <c r="AZ249" i="2" s="1"/>
  <c r="AZ248" i="2" s="1"/>
  <c r="AZ247" i="2" s="1"/>
  <c r="AZ246" i="2" s="1"/>
  <c r="AZ245" i="2" s="1"/>
  <c r="AZ244" i="2" s="1"/>
  <c r="AZ243" i="2" s="1"/>
  <c r="AZ242" i="2" s="1"/>
  <c r="AZ241" i="2" s="1"/>
  <c r="AZ240" i="2" s="1"/>
  <c r="AZ239" i="2" s="1"/>
  <c r="AZ238" i="2" s="1"/>
  <c r="AZ237" i="2" s="1"/>
  <c r="AZ236" i="2" s="1"/>
  <c r="AZ235" i="2" s="1"/>
  <c r="AZ234" i="2" s="1"/>
  <c r="AZ233" i="2" s="1"/>
  <c r="AZ232" i="2" s="1"/>
  <c r="AZ231" i="2" s="1"/>
  <c r="AZ230" i="2" s="1"/>
  <c r="AZ229" i="2" s="1"/>
  <c r="AZ228" i="2" s="1"/>
  <c r="AZ227" i="2" s="1"/>
  <c r="AZ226" i="2" s="1"/>
  <c r="AZ225" i="2" s="1"/>
  <c r="AZ224" i="2" s="1"/>
  <c r="AZ223" i="2" s="1"/>
  <c r="AZ222" i="2" s="1"/>
  <c r="AZ221" i="2" s="1"/>
  <c r="AZ220" i="2" s="1"/>
  <c r="AZ219" i="2" s="1"/>
  <c r="AZ218" i="2" s="1"/>
  <c r="AZ217" i="2" s="1"/>
  <c r="AZ216" i="2" s="1"/>
  <c r="AZ215" i="2" s="1"/>
  <c r="AZ214" i="2" s="1"/>
  <c r="AZ213" i="2" s="1"/>
  <c r="AZ212" i="2" s="1"/>
  <c r="AZ211" i="2" s="1"/>
  <c r="AZ210" i="2" s="1"/>
  <c r="AZ209" i="2" s="1"/>
  <c r="AZ208" i="2" s="1"/>
  <c r="AZ207" i="2" s="1"/>
  <c r="AZ206" i="2" s="1"/>
  <c r="AZ205" i="2" s="1"/>
  <c r="AZ204" i="2" s="1"/>
  <c r="AZ203" i="2" s="1"/>
  <c r="AZ202" i="2" s="1"/>
  <c r="AZ201" i="2" s="1"/>
  <c r="AZ200" i="2" s="1"/>
  <c r="AZ199" i="2" s="1"/>
  <c r="AZ198" i="2" s="1"/>
  <c r="AZ197" i="2" s="1"/>
  <c r="AZ196" i="2" s="1"/>
  <c r="AZ195" i="2" s="1"/>
  <c r="AZ194" i="2" s="1"/>
  <c r="AZ193" i="2" s="1"/>
  <c r="AZ192" i="2" s="1"/>
  <c r="AZ191" i="2" s="1"/>
  <c r="AZ190" i="2" s="1"/>
  <c r="AZ189" i="2" s="1"/>
  <c r="AZ188" i="2" s="1"/>
  <c r="AZ187" i="2" s="1"/>
  <c r="AZ186" i="2" s="1"/>
  <c r="AZ185" i="2" s="1"/>
  <c r="AZ184" i="2" s="1"/>
  <c r="AZ183" i="2" s="1"/>
  <c r="AZ182" i="2" s="1"/>
  <c r="AZ181" i="2" s="1"/>
  <c r="AZ180" i="2" s="1"/>
  <c r="AZ179" i="2" s="1"/>
  <c r="AZ178" i="2" s="1"/>
  <c r="AZ177" i="2" s="1"/>
  <c r="AZ176" i="2" s="1"/>
  <c r="AZ175" i="2" s="1"/>
  <c r="AZ174" i="2" s="1"/>
  <c r="AZ173" i="2" s="1"/>
  <c r="AZ172" i="2" s="1"/>
  <c r="AZ171" i="2" s="1"/>
  <c r="AZ170" i="2" s="1"/>
  <c r="AZ169" i="2" s="1"/>
  <c r="AZ168" i="2" s="1"/>
  <c r="AZ167" i="2" s="1"/>
  <c r="AZ166" i="2" s="1"/>
  <c r="AZ165" i="2" s="1"/>
  <c r="AZ164" i="2" s="1"/>
  <c r="AZ163" i="2" s="1"/>
  <c r="AZ162" i="2" s="1"/>
  <c r="AZ161" i="2" s="1"/>
  <c r="AZ160" i="2" s="1"/>
  <c r="AZ159" i="2" s="1"/>
  <c r="AZ158" i="2" s="1"/>
  <c r="AZ157" i="2" s="1"/>
  <c r="AZ156" i="2" s="1"/>
  <c r="AZ155" i="2" s="1"/>
  <c r="AZ154" i="2" s="1"/>
  <c r="AZ153" i="2" s="1"/>
  <c r="AZ152" i="2" s="1"/>
  <c r="AZ151" i="2" s="1"/>
  <c r="AZ150" i="2" s="1"/>
  <c r="AZ149" i="2" s="1"/>
  <c r="AZ148" i="2" s="1"/>
  <c r="AZ147" i="2" s="1"/>
  <c r="AZ146" i="2" s="1"/>
  <c r="AZ145" i="2" s="1"/>
  <c r="AZ144" i="2" s="1"/>
  <c r="AZ143" i="2" s="1"/>
  <c r="AZ142" i="2" s="1"/>
  <c r="AZ141" i="2" s="1"/>
  <c r="AZ140" i="2" s="1"/>
  <c r="AZ139" i="2" s="1"/>
  <c r="AZ138" i="2" s="1"/>
  <c r="AZ137" i="2" s="1"/>
  <c r="AZ136" i="2" s="1"/>
  <c r="AZ135" i="2" s="1"/>
  <c r="AZ134" i="2" s="1"/>
  <c r="AZ133" i="2" s="1"/>
  <c r="AZ132" i="2" s="1"/>
  <c r="AZ131" i="2" s="1"/>
  <c r="AZ130" i="2" s="1"/>
  <c r="AZ129" i="2" s="1"/>
  <c r="AZ128" i="2" s="1"/>
  <c r="AZ127" i="2" s="1"/>
  <c r="AZ126" i="2" s="1"/>
  <c r="AZ125" i="2" s="1"/>
  <c r="AZ124" i="2" s="1"/>
  <c r="AZ123" i="2" s="1"/>
  <c r="AZ122" i="2" s="1"/>
  <c r="AZ121" i="2" s="1"/>
  <c r="AZ120" i="2" s="1"/>
  <c r="AZ119" i="2" s="1"/>
  <c r="AZ118" i="2" s="1"/>
  <c r="AZ117" i="2" s="1"/>
  <c r="AZ116" i="2" s="1"/>
  <c r="AZ115" i="2" s="1"/>
  <c r="AZ114" i="2" s="1"/>
  <c r="AZ113" i="2" s="1"/>
  <c r="AZ112" i="2" s="1"/>
  <c r="AZ111" i="2" s="1"/>
  <c r="AZ110" i="2" s="1"/>
  <c r="AZ109" i="2" s="1"/>
  <c r="AZ108" i="2" s="1"/>
  <c r="AZ107" i="2" s="1"/>
  <c r="AZ106" i="2" s="1"/>
  <c r="AZ105" i="2" s="1"/>
  <c r="AZ104" i="2" s="1"/>
  <c r="AZ103" i="2" s="1"/>
  <c r="AZ102" i="2" s="1"/>
  <c r="AZ101" i="2" s="1"/>
  <c r="AZ100" i="2" s="1"/>
  <c r="AZ99" i="2" s="1"/>
  <c r="AZ98" i="2" s="1"/>
  <c r="AZ97" i="2" s="1"/>
  <c r="AZ96" i="2" s="1"/>
  <c r="AZ95" i="2" s="1"/>
  <c r="AZ94" i="2" s="1"/>
  <c r="AZ93" i="2" s="1"/>
  <c r="AZ92" i="2" s="1"/>
  <c r="AZ91" i="2" s="1"/>
  <c r="AZ90" i="2" s="1"/>
  <c r="AZ89" i="2" s="1"/>
  <c r="AZ88" i="2" s="1"/>
  <c r="AZ87" i="2" s="1"/>
  <c r="AZ86" i="2" s="1"/>
  <c r="AZ85" i="2" s="1"/>
  <c r="AZ84" i="2" s="1"/>
  <c r="AZ83" i="2" s="1"/>
  <c r="AZ82" i="2" s="1"/>
  <c r="AZ81" i="2" s="1"/>
  <c r="AZ80" i="2" s="1"/>
  <c r="AZ79" i="2" s="1"/>
  <c r="AZ78" i="2" s="1"/>
  <c r="AZ77" i="2" s="1"/>
  <c r="AZ76" i="2" s="1"/>
  <c r="AZ75" i="2" s="1"/>
  <c r="AZ74" i="2" s="1"/>
  <c r="AZ73" i="2" s="1"/>
  <c r="AZ72" i="2" s="1"/>
  <c r="AZ71" i="2" s="1"/>
  <c r="AZ70" i="2" s="1"/>
  <c r="AZ69" i="2" s="1"/>
  <c r="AZ68" i="2" s="1"/>
  <c r="AZ67" i="2" s="1"/>
  <c r="AZ66" i="2" s="1"/>
  <c r="AZ65" i="2" s="1"/>
  <c r="AZ64" i="2" s="1"/>
  <c r="AZ63" i="2" s="1"/>
  <c r="AZ62" i="2" s="1"/>
  <c r="AZ61" i="2" s="1"/>
  <c r="AZ60" i="2" s="1"/>
  <c r="AZ59" i="2" s="1"/>
  <c r="AZ58" i="2" s="1"/>
  <c r="AZ57" i="2" s="1"/>
  <c r="AZ56" i="2" s="1"/>
  <c r="AZ55" i="2" s="1"/>
  <c r="AZ54" i="2" s="1"/>
  <c r="AZ53" i="2" s="1"/>
  <c r="AZ52" i="2" s="1"/>
  <c r="AZ51" i="2" s="1"/>
  <c r="AZ50" i="2" s="1"/>
  <c r="AZ49" i="2" s="1"/>
  <c r="AZ48" i="2" s="1"/>
  <c r="AZ47" i="2" s="1"/>
  <c r="AZ46" i="2" s="1"/>
  <c r="AZ45" i="2" s="1"/>
  <c r="AZ44" i="2" s="1"/>
  <c r="AZ43" i="2" s="1"/>
  <c r="AZ42" i="2" s="1"/>
  <c r="AZ41" i="2" s="1"/>
  <c r="AZ40" i="2" s="1"/>
  <c r="AZ39" i="2" s="1"/>
  <c r="AZ38" i="2" s="1"/>
  <c r="AZ37" i="2" s="1"/>
  <c r="AZ36" i="2" s="1"/>
  <c r="AZ35" i="2" s="1"/>
  <c r="AZ34" i="2" s="1"/>
  <c r="AZ33" i="2" s="1"/>
  <c r="AZ32" i="2" s="1"/>
  <c r="AZ31" i="2" s="1"/>
  <c r="AZ30" i="2" s="1"/>
  <c r="AZ29" i="2" s="1"/>
  <c r="AZ28" i="2" s="1"/>
  <c r="AZ27" i="2" s="1"/>
  <c r="AZ26" i="2" s="1"/>
  <c r="AZ25" i="2" s="1"/>
  <c r="AZ24" i="2" s="1"/>
  <c r="AZ23" i="2" s="1"/>
  <c r="AZ22" i="2" s="1"/>
  <c r="AZ21" i="2" s="1"/>
  <c r="AZ20" i="2" s="1"/>
  <c r="AZ19" i="2" s="1"/>
  <c r="AZ18" i="2" s="1"/>
  <c r="AZ17" i="2" s="1"/>
  <c r="AZ16" i="2" s="1"/>
  <c r="AZ15" i="2" s="1"/>
  <c r="AZ14" i="2" s="1"/>
  <c r="AZ13" i="2" s="1"/>
  <c r="AZ12" i="2" s="1"/>
  <c r="AZ11" i="2" s="1"/>
</calcChain>
</file>

<file path=xl/sharedStrings.xml><?xml version="1.0" encoding="utf-8"?>
<sst xmlns="http://schemas.openxmlformats.org/spreadsheetml/2006/main" count="350" uniqueCount="121">
  <si>
    <t>Prime periodique 36 1 tete</t>
  </si>
  <si>
    <t>Output_Format</t>
  </si>
  <si>
    <t xml:space="preserve"> FORMAT_SORTIE2</t>
  </si>
  <si>
    <t>NUMLINES</t>
  </si>
  <si>
    <t>VARIABLE_TYPES</t>
  </si>
  <si>
    <t>T1</t>
  </si>
  <si>
    <t>I</t>
  </si>
  <si>
    <t>N</t>
  </si>
  <si>
    <t>!</t>
  </si>
  <si>
    <t>SPCODE</t>
  </si>
  <si>
    <t>AGE_AT_ENTRY</t>
  </si>
  <si>
    <t>CA1_PREM_PC</t>
  </si>
  <si>
    <t>CA2_PREM_PC</t>
  </si>
  <si>
    <t>CA3_PREM_PC</t>
  </si>
  <si>
    <t>CG_PREM_PC</t>
  </si>
  <si>
    <t>DURATIONIF_M</t>
  </si>
  <si>
    <t>ESC_RATE_PC</t>
  </si>
  <si>
    <t>GC1</t>
  </si>
  <si>
    <t>GC2</t>
  </si>
  <si>
    <t>GC3</t>
  </si>
  <si>
    <t>GC4</t>
  </si>
  <si>
    <t>GC5</t>
  </si>
  <si>
    <t>GC6</t>
  </si>
  <si>
    <t>GC7</t>
  </si>
  <si>
    <t>GC8</t>
  </si>
  <si>
    <t>GC9</t>
  </si>
  <si>
    <t>ANN_RIDER_PP</t>
  </si>
  <si>
    <t>POL_TERM_Y</t>
  </si>
  <si>
    <t>PREM_FREQ</t>
  </si>
  <si>
    <t>VAL_INT_PC</t>
  </si>
  <si>
    <t>ANNUAL_PREM</t>
  </si>
  <si>
    <t>INIT_EPG_PP</t>
  </si>
  <si>
    <t>INIT_PB_ACQ</t>
  </si>
  <si>
    <t>INIT_POLS_IF</t>
  </si>
  <si>
    <t>RC_RATE_PC</t>
  </si>
  <si>
    <t>IC_RATE1_PC</t>
  </si>
  <si>
    <t>IC_RATE2_PC</t>
  </si>
  <si>
    <t>IC_RATE3_PC</t>
  </si>
  <si>
    <t>MTHS_TO_SALE</t>
  </si>
  <si>
    <t>SEX</t>
  </si>
  <si>
    <t>SEX2</t>
  </si>
  <si>
    <t>CODE_TABLE</t>
  </si>
  <si>
    <t>TEST</t>
  </si>
  <si>
    <t>*</t>
  </si>
  <si>
    <t>Date</t>
  </si>
  <si>
    <t>T</t>
  </si>
  <si>
    <t>Anos Decorridos</t>
  </si>
  <si>
    <t>Anniversary_Date</t>
  </si>
  <si>
    <t>Age Anniversary Date</t>
  </si>
  <si>
    <t>Q_EXP_PN</t>
  </si>
  <si>
    <t>Q_EXP</t>
  </si>
  <si>
    <t>Number of Deaths</t>
  </si>
  <si>
    <t>Annual Lapse Probability</t>
  </si>
  <si>
    <t>Premium Payment</t>
  </si>
  <si>
    <t>Aux Lapse</t>
  </si>
  <si>
    <t>Number of Surrenders</t>
  </si>
  <si>
    <t>EKM 95</t>
  </si>
  <si>
    <t>EKF 95</t>
  </si>
  <si>
    <t>x</t>
  </si>
  <si>
    <t>qx</t>
  </si>
  <si>
    <t>qy</t>
  </si>
  <si>
    <t>POL_Term_M</t>
  </si>
  <si>
    <t>Mortality</t>
  </si>
  <si>
    <t>Lapse Probability</t>
  </si>
  <si>
    <t>Reduction Probability</t>
  </si>
  <si>
    <t>Number In Force Not Reduced</t>
  </si>
  <si>
    <t>Annual Reduction</t>
  </si>
  <si>
    <t>Number New Reduction</t>
  </si>
  <si>
    <t>Number In Force Reduced</t>
  </si>
  <si>
    <t>Montly Death Rate</t>
  </si>
  <si>
    <t>Monthly Lapse Probability</t>
  </si>
  <si>
    <t>Number of Deaths Reduced</t>
  </si>
  <si>
    <t>Number of Surrenders Reduced</t>
  </si>
  <si>
    <t>Annual Premium</t>
  </si>
  <si>
    <t>CF Premium</t>
  </si>
  <si>
    <t>Rider Annual Premium</t>
  </si>
  <si>
    <t>Charges</t>
  </si>
  <si>
    <t>Invested Premium</t>
  </si>
  <si>
    <t>Math Reserve by Policy</t>
  </si>
  <si>
    <t>PB</t>
  </si>
  <si>
    <t>Cap PB Rate</t>
  </si>
  <si>
    <t>PB Rate</t>
  </si>
  <si>
    <t>Calcul PB</t>
  </si>
  <si>
    <t>Math Reserve After Reduction by Policy</t>
  </si>
  <si>
    <t>Math Reserve Before Reduction by Policy</t>
  </si>
  <si>
    <t>Cap PB Rate After Reduction by Policy</t>
  </si>
  <si>
    <t>PB PUP After Reduction</t>
  </si>
  <si>
    <t>PB PUP Before Reduction</t>
  </si>
  <si>
    <t>Calcul PB PUP</t>
  </si>
  <si>
    <t>Death Cash Flow</t>
  </si>
  <si>
    <t>Surrender Cash Flow</t>
  </si>
  <si>
    <t>Maturity Cash Flow</t>
  </si>
  <si>
    <t>Rider Cash Flow</t>
  </si>
  <si>
    <t>Discount Rate</t>
  </si>
  <si>
    <t>Investment Yield and PB Rate</t>
  </si>
  <si>
    <t>Claim Ratio by Cover</t>
  </si>
  <si>
    <t>Comission Cash Flow</t>
  </si>
  <si>
    <t>Premion G7 + G9 Cash Flow</t>
  </si>
  <si>
    <t>Fixed Anual Expense</t>
  </si>
  <si>
    <t>Reserves Expenses</t>
  </si>
  <si>
    <t>Expense Inflation</t>
  </si>
  <si>
    <t>Expense Inflation Factor</t>
  </si>
  <si>
    <t>Total Expenses</t>
  </si>
  <si>
    <t>Financial Result Year</t>
  </si>
  <si>
    <t>MAT Reserve For Expense</t>
  </si>
  <si>
    <t>Mat Reserve + PB In Force</t>
  </si>
  <si>
    <t>Mat Res Adj In Force</t>
  </si>
  <si>
    <t>Discount Factor</t>
  </si>
  <si>
    <t>BEL</t>
  </si>
  <si>
    <t>Claims Cash Flow</t>
  </si>
  <si>
    <t>Months to End</t>
  </si>
  <si>
    <t>End Year</t>
  </si>
  <si>
    <t>Prov Tech Adj</t>
  </si>
  <si>
    <t>Max Number Months</t>
  </si>
  <si>
    <t>Number Policies</t>
  </si>
  <si>
    <t>CF_Premiuns</t>
  </si>
  <si>
    <t>CF_Claims</t>
  </si>
  <si>
    <t>CF_Comission</t>
  </si>
  <si>
    <t>CF_Expenses</t>
  </si>
  <si>
    <t>CF_Maturities</t>
  </si>
  <si>
    <t>Risque en Cours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</si>
</sst>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General_)"/>
    <numFmt numFmtId="166" formatCode="0.0000000_)"/>
    <numFmt numFmtId="167" formatCode="0.000000000"/>
    <numFmt numFmtId="168" formatCode="0.##########"/>
    <numFmt numFmtId="169" formatCode="0.0000%"/>
    <numFmt numFmtId="170" formatCode="0.0000000"/>
    <numFmt numFmtId="171" formatCode="0.00000000"/>
    <numFmt numFmtId="172" formatCode="0.00000"/>
  </numFmts>
  <fonts count="11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Courier"/>
      <family val="3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5" fillId="0" borderId="0"/>
    <xf numFmtId="165" fontId="8" fillId="0" borderId="0"/>
    <xf numFmtId="0" fontId="1" fillId="0" borderId="0"/>
    <xf numFmtId="9" fontId="9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NumberFormat="1"/>
    <xf numFmtId="0" fontId="1" fillId="0" borderId="0" xfId="0" applyFont="1"/>
    <xf numFmtId="14" fontId="0" fillId="0" borderId="0" xfId="0" applyNumberFormat="1"/>
    <xf numFmtId="0" fontId="0" fillId="0" borderId="0" xfId="0" applyFill="1"/>
    <xf numFmtId="164" fontId="0" fillId="0" borderId="0" xfId="0" applyNumberFormat="1"/>
    <xf numFmtId="0" fontId="3" fillId="0" borderId="1" xfId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1" xfId="2" applyFont="1" applyBorder="1" applyAlignment="1">
      <alignment horizontal="center"/>
    </xf>
    <xf numFmtId="1" fontId="6" fillId="0" borderId="2" xfId="1" applyNumberFormat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1" fontId="5" fillId="0" borderId="4" xfId="1" applyNumberFormat="1" applyFont="1" applyBorder="1" applyAlignment="1">
      <alignment horizontal="center"/>
    </xf>
    <xf numFmtId="166" fontId="7" fillId="0" borderId="5" xfId="3" applyNumberFormat="1" applyFont="1" applyFill="1" applyBorder="1"/>
    <xf numFmtId="166" fontId="7" fillId="0" borderId="6" xfId="3" applyNumberFormat="1" applyFont="1" applyFill="1" applyBorder="1"/>
    <xf numFmtId="166" fontId="7" fillId="0" borderId="7" xfId="3" applyNumberFormat="1" applyFont="1" applyBorder="1"/>
    <xf numFmtId="4" fontId="5" fillId="0" borderId="0" xfId="1" applyNumberFormat="1" applyFont="1"/>
    <xf numFmtId="1" fontId="5" fillId="0" borderId="8" xfId="1" applyNumberFormat="1" applyFont="1" applyBorder="1" applyAlignment="1">
      <alignment horizontal="center"/>
    </xf>
    <xf numFmtId="166" fontId="7" fillId="0" borderId="3" xfId="3" applyNumberFormat="1" applyFont="1" applyBorder="1"/>
    <xf numFmtId="0" fontId="1" fillId="0" borderId="0" xfId="4" applyFill="1"/>
    <xf numFmtId="10" fontId="0" fillId="0" borderId="0" xfId="0" applyNumberFormat="1"/>
    <xf numFmtId="167" fontId="0" fillId="0" borderId="0" xfId="0" applyNumberFormat="1" applyFill="1"/>
    <xf numFmtId="168" fontId="0" fillId="0" borderId="0" xfId="0" applyNumberFormat="1" applyProtection="1">
      <protection locked="0"/>
    </xf>
    <xf numFmtId="169" fontId="0" fillId="0" borderId="0" xfId="5" applyNumberFormat="1" applyFont="1"/>
    <xf numFmtId="10" fontId="1" fillId="0" borderId="0" xfId="0" applyNumberFormat="1" applyFont="1"/>
    <xf numFmtId="9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67" fontId="0" fillId="0" borderId="0" xfId="0" applyNumberFormat="1"/>
  </cellXfs>
  <cellStyles count="6">
    <cellStyle name="Normal" xfId="0" builtinId="0"/>
    <cellStyle name="Normal 2" xfId="4"/>
    <cellStyle name="Normal 2 2" xfId="1"/>
    <cellStyle name="Normal 3" xfId="2"/>
    <cellStyle name="Normal_EKM-EKF95" xfId="3"/>
    <cellStyle name="Pourcentage" xfId="5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3</xdr:row>
          <xdr:rowOff>0</xdr:rowOff>
        </xdr:from>
        <xdr:to>
          <xdr:col>12</xdr:col>
          <xdr:colOff>238125</xdr:colOff>
          <xdr:row>7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G615"/>
  <sheetViews>
    <sheetView workbookViewId="0">
      <selection activeCell="O2" sqref="O2:V2"/>
    </sheetView>
  </sheetViews>
  <sheetFormatPr baseColWidth="10" defaultRowHeight="12.75" x14ac:dyDescent="0.2"/>
  <cols>
    <col min="2" max="2" width="12.28515625" bestFit="1" customWidth="1"/>
    <col min="3" max="3" width="10.140625" bestFit="1" customWidth="1"/>
    <col min="4" max="4" width="13.140625" bestFit="1" customWidth="1"/>
    <col min="5" max="5" width="12.7109375" bestFit="1" customWidth="1"/>
    <col min="7" max="7" width="12.5703125" bestFit="1" customWidth="1"/>
  </cols>
  <sheetData>
    <row r="1" spans="1:7" x14ac:dyDescent="0.2">
      <c r="A1" s="2" t="s">
        <v>44</v>
      </c>
      <c r="B1" s="2" t="s">
        <v>115</v>
      </c>
      <c r="C1" s="2" t="s">
        <v>116</v>
      </c>
      <c r="D1" s="2" t="s">
        <v>117</v>
      </c>
      <c r="E1" s="2" t="s">
        <v>118</v>
      </c>
      <c r="F1" s="2" t="s">
        <v>108</v>
      </c>
      <c r="G1" s="2" t="s">
        <v>119</v>
      </c>
    </row>
    <row r="2" spans="1:7" x14ac:dyDescent="0.2">
      <c r="A2" s="3">
        <v>43100</v>
      </c>
      <c r="B2">
        <v>0</v>
      </c>
      <c r="C2">
        <v>0</v>
      </c>
      <c r="D2">
        <v>0</v>
      </c>
      <c r="E2">
        <v>0</v>
      </c>
      <c r="F2" s="28">
        <v>32292.436405542765</v>
      </c>
      <c r="G2">
        <v>0</v>
      </c>
    </row>
    <row r="3" spans="1:7" x14ac:dyDescent="0.2">
      <c r="A3" s="3">
        <f>DATE(YEAR(A2),MONTH(A2)+2,1)-1</f>
        <v>43131</v>
      </c>
      <c r="B3">
        <v>18461.50166666666</v>
      </c>
      <c r="C3">
        <v>4447.1483106958549</v>
      </c>
      <c r="D3">
        <v>3</v>
      </c>
      <c r="E3">
        <v>1850.6854369517216</v>
      </c>
      <c r="F3">
        <v>44495.694519105418</v>
      </c>
      <c r="G3">
        <v>0</v>
      </c>
    </row>
    <row r="4" spans="1:7" x14ac:dyDescent="0.2">
      <c r="A4" s="3">
        <f t="shared" ref="A4:A67" si="0">DATE(YEAR(A3),MONTH(A3)+2,1)-1</f>
        <v>43159</v>
      </c>
      <c r="B4">
        <v>18310.948222945062</v>
      </c>
      <c r="C4">
        <v>4135.0836652833277</v>
      </c>
      <c r="D4">
        <v>2.9640289062207659</v>
      </c>
      <c r="E4">
        <v>1840.867027449485</v>
      </c>
      <c r="F4">
        <v>56886.412978774963</v>
      </c>
      <c r="G4">
        <v>0</v>
      </c>
    </row>
    <row r="5" spans="1:7" x14ac:dyDescent="0.2">
      <c r="A5" s="3">
        <f t="shared" si="0"/>
        <v>43190</v>
      </c>
      <c r="B5">
        <v>18166.170391328629</v>
      </c>
      <c r="C5">
        <v>4103.7388312906232</v>
      </c>
      <c r="D5">
        <v>2.9285010528404833</v>
      </c>
      <c r="E5">
        <v>1832.7572952744567</v>
      </c>
      <c r="F5">
        <v>69188.185704379226</v>
      </c>
      <c r="G5">
        <v>0</v>
      </c>
    </row>
    <row r="6" spans="1:7" x14ac:dyDescent="0.2">
      <c r="A6" s="3">
        <f t="shared" si="0"/>
        <v>43220</v>
      </c>
      <c r="B6">
        <v>18017.580758629065</v>
      </c>
      <c r="C6">
        <v>4402.1217289327451</v>
      </c>
      <c r="D6">
        <v>2.8934108115850266</v>
      </c>
      <c r="E6">
        <v>1823.8309144304567</v>
      </c>
      <c r="F6">
        <v>81068.172064554208</v>
      </c>
      <c r="G6">
        <v>0</v>
      </c>
    </row>
    <row r="7" spans="1:7" x14ac:dyDescent="0.2">
      <c r="A7" s="3">
        <f t="shared" si="0"/>
        <v>43251</v>
      </c>
      <c r="B7">
        <v>17866.395279192926</v>
      </c>
      <c r="C7">
        <v>4578.863671629666</v>
      </c>
      <c r="D7">
        <v>2.8587526279116298</v>
      </c>
      <c r="E7">
        <v>1815.5307246196157</v>
      </c>
      <c r="F7">
        <v>92644.23425429652</v>
      </c>
      <c r="G7">
        <v>0</v>
      </c>
    </row>
    <row r="8" spans="1:7" x14ac:dyDescent="0.2">
      <c r="A8" s="3">
        <f t="shared" si="0"/>
        <v>43281</v>
      </c>
      <c r="B8">
        <v>17712.184524960583</v>
      </c>
      <c r="C8">
        <v>5071.4282899546561</v>
      </c>
      <c r="D8">
        <v>2.8245210200131541</v>
      </c>
      <c r="E8">
        <v>1805.4035012060315</v>
      </c>
      <c r="F8">
        <v>103598.95008744259</v>
      </c>
      <c r="G8">
        <v>0</v>
      </c>
    </row>
    <row r="9" spans="1:7" x14ac:dyDescent="0.2">
      <c r="A9" s="3">
        <f t="shared" si="0"/>
        <v>43312</v>
      </c>
      <c r="B9">
        <v>17547.162762004176</v>
      </c>
      <c r="C9">
        <v>4413.1011337414047</v>
      </c>
      <c r="D9">
        <v>2.7907105778361823</v>
      </c>
      <c r="E9">
        <v>1794.2398532588563</v>
      </c>
      <c r="F9">
        <v>115072.61684523412</v>
      </c>
      <c r="G9">
        <v>0</v>
      </c>
    </row>
    <row r="10" spans="1:7" x14ac:dyDescent="0.2">
      <c r="A10" s="3">
        <f t="shared" si="0"/>
        <v>43343</v>
      </c>
      <c r="B10">
        <v>17387.523604274935</v>
      </c>
      <c r="C10">
        <v>4170.2775720499631</v>
      </c>
      <c r="D10">
        <v>2.7573159621127488</v>
      </c>
      <c r="E10">
        <v>1784.615368988656</v>
      </c>
      <c r="F10">
        <v>126654.25839842866</v>
      </c>
      <c r="G10">
        <v>0</v>
      </c>
    </row>
    <row r="11" spans="1:7" x14ac:dyDescent="0.2">
      <c r="A11" s="3">
        <f t="shared" si="0"/>
        <v>43373</v>
      </c>
      <c r="B11">
        <v>17220.604703974721</v>
      </c>
      <c r="C11">
        <v>4546.6223647761472</v>
      </c>
      <c r="D11">
        <v>2.72747002058107</v>
      </c>
      <c r="E11">
        <v>1776.7289211136238</v>
      </c>
      <c r="F11">
        <v>137715.82747192361</v>
      </c>
      <c r="G11">
        <v>0</v>
      </c>
    </row>
    <row r="12" spans="1:7" x14ac:dyDescent="0.2">
      <c r="A12" s="3">
        <f t="shared" si="0"/>
        <v>43404</v>
      </c>
      <c r="B12">
        <v>17049.102901817532</v>
      </c>
      <c r="C12">
        <v>4262.9755061578753</v>
      </c>
      <c r="D12">
        <v>2.6979471424156731</v>
      </c>
      <c r="E12">
        <v>1767.6942133133937</v>
      </c>
      <c r="F12">
        <v>148913.19483330348</v>
      </c>
      <c r="G12">
        <v>0</v>
      </c>
    </row>
    <row r="13" spans="1:7" x14ac:dyDescent="0.2">
      <c r="A13" s="3">
        <f t="shared" si="0"/>
        <v>43434</v>
      </c>
      <c r="B13">
        <v>16884.636270940115</v>
      </c>
      <c r="C13">
        <v>5204.2215026569529</v>
      </c>
      <c r="D13">
        <v>2.6687438306311329</v>
      </c>
      <c r="E13">
        <v>1759.7401005851361</v>
      </c>
      <c r="F13">
        <v>159027.60098719358</v>
      </c>
      <c r="G13">
        <v>0</v>
      </c>
    </row>
    <row r="14" spans="1:7" x14ac:dyDescent="0.2">
      <c r="A14" s="3">
        <f t="shared" si="0"/>
        <v>43465</v>
      </c>
      <c r="B14">
        <v>16771.681562249327</v>
      </c>
      <c r="C14">
        <v>4644.8154181149739</v>
      </c>
      <c r="D14">
        <v>1.3095260183623176</v>
      </c>
      <c r="E14">
        <v>1750.1918460613979</v>
      </c>
      <c r="F14">
        <v>169612.70578563595</v>
      </c>
      <c r="G14">
        <v>0</v>
      </c>
    </row>
    <row r="15" spans="1:7" x14ac:dyDescent="0.2">
      <c r="A15" s="3">
        <f t="shared" si="0"/>
        <v>43496</v>
      </c>
      <c r="B15">
        <v>16606.474003451785</v>
      </c>
      <c r="C15">
        <v>4602.5550958260355</v>
      </c>
      <c r="D15">
        <v>0.6371014618851738</v>
      </c>
      <c r="E15">
        <v>1738.3476593613038</v>
      </c>
      <c r="F15">
        <v>180084.25176073279</v>
      </c>
      <c r="G15">
        <v>0</v>
      </c>
    </row>
    <row r="16" spans="1:7" x14ac:dyDescent="0.2">
      <c r="A16" s="3">
        <f t="shared" si="0"/>
        <v>43524</v>
      </c>
      <c r="B16">
        <v>16454.321448854553</v>
      </c>
      <c r="C16">
        <v>4787.869300674668</v>
      </c>
      <c r="D16">
        <v>0.63023417519737079</v>
      </c>
      <c r="E16">
        <v>1729.2493452091289</v>
      </c>
      <c r="F16">
        <v>190240.19195491291</v>
      </c>
      <c r="G16">
        <v>0</v>
      </c>
    </row>
    <row r="17" spans="1:7" x14ac:dyDescent="0.2">
      <c r="A17" s="3">
        <f t="shared" si="0"/>
        <v>43555</v>
      </c>
      <c r="B17">
        <v>16319.361126101865</v>
      </c>
      <c r="C17">
        <v>4376.8133073262243</v>
      </c>
      <c r="D17">
        <v>0.62344091066973195</v>
      </c>
      <c r="E17">
        <v>1719.4871715166555</v>
      </c>
      <c r="F17">
        <v>200694.36813206959</v>
      </c>
      <c r="G17">
        <v>0</v>
      </c>
    </row>
    <row r="18" spans="1:7" x14ac:dyDescent="0.2">
      <c r="A18" s="3">
        <f t="shared" si="0"/>
        <v>43585</v>
      </c>
      <c r="B18">
        <v>16194.500103022317</v>
      </c>
      <c r="C18">
        <v>4746.4600984226272</v>
      </c>
      <c r="D18">
        <v>0.61672087042087498</v>
      </c>
      <c r="E18">
        <v>1711.2948214660892</v>
      </c>
      <c r="F18">
        <v>210674.970203406</v>
      </c>
      <c r="G18">
        <v>0</v>
      </c>
    </row>
    <row r="19" spans="1:7" x14ac:dyDescent="0.2">
      <c r="A19" s="3">
        <f t="shared" si="0"/>
        <v>43616</v>
      </c>
      <c r="B19">
        <v>16065.981261644787</v>
      </c>
      <c r="C19">
        <v>4642.0724523935742</v>
      </c>
      <c r="D19">
        <v>0.61007326516974325</v>
      </c>
      <c r="E19">
        <v>1703.2722448828533</v>
      </c>
      <c r="F19">
        <v>220651.62806282504</v>
      </c>
      <c r="G19">
        <v>0</v>
      </c>
    </row>
    <row r="20" spans="1:7" x14ac:dyDescent="0.2">
      <c r="A20" s="3">
        <f t="shared" si="0"/>
        <v>43646</v>
      </c>
      <c r="B20">
        <v>15938.165725673278</v>
      </c>
      <c r="C20">
        <v>5084.8293601422902</v>
      </c>
      <c r="D20">
        <v>0.60349731414290386</v>
      </c>
      <c r="E20">
        <v>1694.8399808768932</v>
      </c>
      <c r="F20">
        <v>230078.30527312573</v>
      </c>
      <c r="G20">
        <v>0</v>
      </c>
    </row>
    <row r="21" spans="1:7" x14ac:dyDescent="0.2">
      <c r="A21" s="3">
        <f t="shared" si="0"/>
        <v>43677</v>
      </c>
      <c r="B21">
        <v>15796.773646637077</v>
      </c>
      <c r="C21">
        <v>4678.6542203350791</v>
      </c>
      <c r="D21">
        <v>0.59699224498284387</v>
      </c>
      <c r="E21">
        <v>1686.5696019042468</v>
      </c>
      <c r="F21">
        <v>239789.52543008226</v>
      </c>
      <c r="G21">
        <v>0</v>
      </c>
    </row>
    <row r="22" spans="1:7" x14ac:dyDescent="0.2">
      <c r="A22" s="3">
        <f t="shared" si="0"/>
        <v>43708</v>
      </c>
      <c r="B22">
        <v>15671.262600172513</v>
      </c>
      <c r="C22">
        <v>4766.2048715423625</v>
      </c>
      <c r="D22">
        <v>0</v>
      </c>
      <c r="E22">
        <v>1678.7231710265899</v>
      </c>
      <c r="F22">
        <v>249307.95692715375</v>
      </c>
      <c r="G22">
        <v>0</v>
      </c>
    </row>
    <row r="23" spans="1:7" x14ac:dyDescent="0.2">
      <c r="A23" s="3">
        <f t="shared" si="0"/>
        <v>43738</v>
      </c>
      <c r="B23">
        <v>15532.170812146589</v>
      </c>
      <c r="C23">
        <v>5182.3757325697798</v>
      </c>
      <c r="D23">
        <v>0</v>
      </c>
      <c r="E23">
        <v>1671.8849367401551</v>
      </c>
      <c r="F23">
        <v>258289.55878076365</v>
      </c>
      <c r="G23">
        <v>0</v>
      </c>
    </row>
    <row r="24" spans="1:7" x14ac:dyDescent="0.2">
      <c r="A24" s="3">
        <f t="shared" si="0"/>
        <v>43769</v>
      </c>
      <c r="B24">
        <v>15393.571815749898</v>
      </c>
      <c r="C24">
        <v>4894.1124384631867</v>
      </c>
      <c r="D24">
        <v>0</v>
      </c>
      <c r="E24">
        <v>1664.1254643561322</v>
      </c>
      <c r="F24">
        <v>267439.52524272318</v>
      </c>
      <c r="G24">
        <v>0</v>
      </c>
    </row>
    <row r="25" spans="1:7" x14ac:dyDescent="0.2">
      <c r="A25" s="3">
        <f t="shared" si="0"/>
        <v>43799</v>
      </c>
      <c r="B25">
        <v>15257.8167297377</v>
      </c>
      <c r="C25">
        <v>6048.6282538582036</v>
      </c>
      <c r="D25">
        <v>0</v>
      </c>
      <c r="E25">
        <v>1657.3815546137957</v>
      </c>
      <c r="F25">
        <v>275317.11064274452</v>
      </c>
      <c r="G25">
        <v>0</v>
      </c>
    </row>
    <row r="26" spans="1:7" x14ac:dyDescent="0.2">
      <c r="A26" s="3">
        <f t="shared" si="0"/>
        <v>43830</v>
      </c>
      <c r="B26">
        <v>15169.920710355955</v>
      </c>
      <c r="C26">
        <v>5240.050482068481</v>
      </c>
      <c r="D26">
        <v>0</v>
      </c>
      <c r="E26">
        <v>1648.5926175372394</v>
      </c>
      <c r="F26">
        <v>283933.7627251597</v>
      </c>
      <c r="G26">
        <v>0</v>
      </c>
    </row>
    <row r="27" spans="1:7" x14ac:dyDescent="0.2">
      <c r="A27" s="3">
        <f t="shared" si="0"/>
        <v>43861</v>
      </c>
      <c r="B27">
        <v>15041.816326577309</v>
      </c>
      <c r="C27">
        <v>5348.8523955111414</v>
      </c>
      <c r="D27">
        <v>0</v>
      </c>
      <c r="E27">
        <v>1637.4345796738016</v>
      </c>
      <c r="F27">
        <v>292321.36141771311</v>
      </c>
      <c r="G27">
        <v>0</v>
      </c>
    </row>
    <row r="28" spans="1:7" x14ac:dyDescent="0.2">
      <c r="A28" s="3">
        <f t="shared" si="0"/>
        <v>43890</v>
      </c>
      <c r="B28">
        <v>14921.424820796401</v>
      </c>
      <c r="C28">
        <v>5467.9280608325198</v>
      </c>
      <c r="D28">
        <v>0</v>
      </c>
      <c r="E28">
        <v>1629.3345391704968</v>
      </c>
      <c r="F28">
        <v>300487.40253646387</v>
      </c>
      <c r="G28">
        <v>0</v>
      </c>
    </row>
    <row r="29" spans="1:7" x14ac:dyDescent="0.2">
      <c r="A29" s="3">
        <f t="shared" si="0"/>
        <v>43921</v>
      </c>
      <c r="B29">
        <v>14813.67263485026</v>
      </c>
      <c r="C29">
        <v>5339.8483704093578</v>
      </c>
      <c r="D29">
        <v>0</v>
      </c>
      <c r="E29">
        <v>1620.6113408077474</v>
      </c>
      <c r="F29">
        <v>308692.04479639663</v>
      </c>
      <c r="G29">
        <v>0</v>
      </c>
    </row>
    <row r="30" spans="1:7" x14ac:dyDescent="0.2">
      <c r="A30" s="3">
        <f t="shared" si="0"/>
        <v>43951</v>
      </c>
      <c r="B30">
        <v>14710.399190988101</v>
      </c>
      <c r="C30">
        <v>5294.0442436208277</v>
      </c>
      <c r="D30">
        <v>0</v>
      </c>
      <c r="E30">
        <v>1611.0096096107577</v>
      </c>
      <c r="F30">
        <v>316858.41505402641</v>
      </c>
      <c r="G30">
        <v>0</v>
      </c>
    </row>
    <row r="31" spans="1:7" x14ac:dyDescent="0.2">
      <c r="A31" s="3">
        <f t="shared" si="0"/>
        <v>43982</v>
      </c>
      <c r="B31">
        <v>14611.217898887326</v>
      </c>
      <c r="C31">
        <v>5124.356470979561</v>
      </c>
      <c r="D31">
        <v>0</v>
      </c>
      <c r="E31">
        <v>1603.8708313565912</v>
      </c>
      <c r="F31">
        <v>325111.98139373166</v>
      </c>
      <c r="G31">
        <v>0</v>
      </c>
    </row>
    <row r="32" spans="1:7" x14ac:dyDescent="0.2">
      <c r="A32" s="3">
        <f t="shared" si="0"/>
        <v>44012</v>
      </c>
      <c r="B32">
        <v>14509.517377881462</v>
      </c>
      <c r="C32">
        <v>5169.3876816745014</v>
      </c>
      <c r="D32">
        <v>0</v>
      </c>
      <c r="E32">
        <v>1596.0782860946981</v>
      </c>
      <c r="F32">
        <v>333236.2613488005</v>
      </c>
      <c r="G32">
        <v>0</v>
      </c>
    </row>
    <row r="33" spans="1:7" x14ac:dyDescent="0.2">
      <c r="A33" s="3">
        <f t="shared" si="0"/>
        <v>44043</v>
      </c>
      <c r="B33">
        <v>14403.760368132835</v>
      </c>
      <c r="C33">
        <v>4761.76252273113</v>
      </c>
      <c r="D33">
        <v>0</v>
      </c>
      <c r="E33">
        <v>1588.3866755309625</v>
      </c>
      <c r="F33">
        <v>341679.60266099422</v>
      </c>
      <c r="G33">
        <v>0</v>
      </c>
    </row>
    <row r="34" spans="1:7" x14ac:dyDescent="0.2">
      <c r="A34" s="3">
        <f t="shared" si="0"/>
        <v>44074</v>
      </c>
      <c r="B34">
        <v>14312.525029999282</v>
      </c>
      <c r="C34">
        <v>4574.629642081878</v>
      </c>
      <c r="D34">
        <v>0</v>
      </c>
      <c r="E34">
        <v>1579.6247879669315</v>
      </c>
      <c r="F34">
        <v>350237.47815278533</v>
      </c>
      <c r="G34">
        <v>0</v>
      </c>
    </row>
    <row r="35" spans="1:7" x14ac:dyDescent="0.2">
      <c r="A35" s="3">
        <f t="shared" si="0"/>
        <v>44104</v>
      </c>
      <c r="B35">
        <v>14210.534365932963</v>
      </c>
      <c r="C35">
        <v>4829.1742325787491</v>
      </c>
      <c r="D35">
        <v>0</v>
      </c>
      <c r="E35">
        <v>1574.295122164857</v>
      </c>
      <c r="F35">
        <v>358454.1567566095</v>
      </c>
      <c r="G35">
        <v>0</v>
      </c>
    </row>
    <row r="36" spans="1:7" x14ac:dyDescent="0.2">
      <c r="A36" s="3">
        <f t="shared" si="0"/>
        <v>44135</v>
      </c>
      <c r="B36">
        <v>14111.330090671243</v>
      </c>
      <c r="C36">
        <v>4473.0983041333866</v>
      </c>
      <c r="D36">
        <v>0</v>
      </c>
      <c r="E36">
        <v>1568.3379697842795</v>
      </c>
      <c r="F36">
        <v>366943.27382644964</v>
      </c>
      <c r="G36">
        <v>0</v>
      </c>
    </row>
    <row r="37" spans="1:7" x14ac:dyDescent="0.2">
      <c r="A37" s="3">
        <f t="shared" si="0"/>
        <v>44165</v>
      </c>
      <c r="B37">
        <v>14014.215087448256</v>
      </c>
      <c r="C37">
        <v>5477.7613056622467</v>
      </c>
      <c r="D37">
        <v>0</v>
      </c>
      <c r="E37">
        <v>1563.2634437615363</v>
      </c>
      <c r="F37">
        <v>374345.61570324661</v>
      </c>
      <c r="G37">
        <v>0</v>
      </c>
    </row>
    <row r="38" spans="1:7" x14ac:dyDescent="0.2">
      <c r="A38" s="3">
        <f t="shared" si="0"/>
        <v>44196</v>
      </c>
      <c r="B38">
        <v>13957.590476936799</v>
      </c>
      <c r="C38">
        <v>4865.0987143427647</v>
      </c>
      <c r="D38">
        <v>0</v>
      </c>
      <c r="E38">
        <v>1556.2335452840655</v>
      </c>
      <c r="F38">
        <v>382319.68272772402</v>
      </c>
      <c r="G38">
        <v>0</v>
      </c>
    </row>
    <row r="39" spans="1:7" x14ac:dyDescent="0.2">
      <c r="A39" s="3">
        <f t="shared" si="0"/>
        <v>44227</v>
      </c>
      <c r="B39">
        <v>13854.094988051991</v>
      </c>
      <c r="C39">
        <v>4994.5992945059861</v>
      </c>
      <c r="D39">
        <v>0</v>
      </c>
      <c r="E39">
        <v>1547.5357339593581</v>
      </c>
      <c r="F39">
        <v>390050.11196082283</v>
      </c>
      <c r="G39">
        <v>0</v>
      </c>
    </row>
    <row r="40" spans="1:7" x14ac:dyDescent="0.2">
      <c r="A40" s="3">
        <f t="shared" si="0"/>
        <v>44255</v>
      </c>
      <c r="B40">
        <v>13754.86064351725</v>
      </c>
      <c r="C40">
        <v>5074.0863912096293</v>
      </c>
      <c r="D40">
        <v>0</v>
      </c>
      <c r="E40">
        <v>1540.2171426044404</v>
      </c>
      <c r="F40">
        <v>397617.5997109288</v>
      </c>
      <c r="G40">
        <v>0</v>
      </c>
    </row>
    <row r="41" spans="1:7" x14ac:dyDescent="0.2">
      <c r="A41" s="3">
        <f t="shared" si="0"/>
        <v>44286</v>
      </c>
      <c r="B41">
        <v>13662.878679560343</v>
      </c>
      <c r="C41">
        <v>4994.3114829795268</v>
      </c>
      <c r="D41">
        <v>0</v>
      </c>
      <c r="E41">
        <v>1532.7589961017518</v>
      </c>
      <c r="F41">
        <v>405188.62157056213</v>
      </c>
      <c r="G41">
        <v>0</v>
      </c>
    </row>
    <row r="42" spans="1:7" x14ac:dyDescent="0.2">
      <c r="A42" s="3">
        <f t="shared" si="0"/>
        <v>44316</v>
      </c>
      <c r="B42">
        <v>13570.357524539571</v>
      </c>
      <c r="C42">
        <v>5157.27853376851</v>
      </c>
      <c r="D42">
        <v>0</v>
      </c>
      <c r="E42">
        <v>1525.2621654537315</v>
      </c>
      <c r="F42">
        <v>412519.93894205679</v>
      </c>
      <c r="G42">
        <v>0</v>
      </c>
    </row>
    <row r="43" spans="1:7" x14ac:dyDescent="0.2">
      <c r="A43" s="3">
        <f t="shared" si="0"/>
        <v>44347</v>
      </c>
      <c r="B43">
        <v>13478.199438961421</v>
      </c>
      <c r="C43">
        <v>5348.0824712921667</v>
      </c>
      <c r="D43">
        <v>0</v>
      </c>
      <c r="E43">
        <v>1518.6202669177101</v>
      </c>
      <c r="F43">
        <v>419582.96070666716</v>
      </c>
      <c r="G43">
        <v>0</v>
      </c>
    </row>
    <row r="44" spans="1:7" x14ac:dyDescent="0.2">
      <c r="A44" s="3">
        <f t="shared" si="0"/>
        <v>44377</v>
      </c>
      <c r="B44">
        <v>13380.304731035822</v>
      </c>
      <c r="C44">
        <v>5623.1854225435245</v>
      </c>
      <c r="D44">
        <v>0</v>
      </c>
      <c r="E44">
        <v>1511.1724371272915</v>
      </c>
      <c r="F44">
        <v>426288.1634957302</v>
      </c>
      <c r="G44">
        <v>0</v>
      </c>
    </row>
    <row r="45" spans="1:7" x14ac:dyDescent="0.2">
      <c r="A45" s="3">
        <f t="shared" si="0"/>
        <v>44408</v>
      </c>
      <c r="B45">
        <v>13272.60033794206</v>
      </c>
      <c r="C45">
        <v>5557.4917759028185</v>
      </c>
      <c r="D45">
        <v>0</v>
      </c>
      <c r="E45">
        <v>1503.2713866473703</v>
      </c>
      <c r="F45">
        <v>432966.59579071437</v>
      </c>
      <c r="G45">
        <v>0</v>
      </c>
    </row>
    <row r="46" spans="1:7" x14ac:dyDescent="0.2">
      <c r="A46" s="3">
        <f t="shared" si="0"/>
        <v>44439</v>
      </c>
      <c r="B46">
        <v>13169.422874833888</v>
      </c>
      <c r="C46">
        <v>5422.6837465856242</v>
      </c>
      <c r="D46">
        <v>0</v>
      </c>
      <c r="E46">
        <v>1495.2291215282883</v>
      </c>
      <c r="F46">
        <v>439692.01081718889</v>
      </c>
      <c r="G46">
        <v>0</v>
      </c>
    </row>
    <row r="47" spans="1:7" x14ac:dyDescent="0.2">
      <c r="A47" s="3">
        <f t="shared" si="0"/>
        <v>44469</v>
      </c>
      <c r="B47">
        <v>13057.583647817641</v>
      </c>
      <c r="C47">
        <v>5656.7878872360434</v>
      </c>
      <c r="D47">
        <v>0</v>
      </c>
      <c r="E47">
        <v>1488.3700213002342</v>
      </c>
      <c r="F47">
        <v>446085.70290149032</v>
      </c>
      <c r="G47">
        <v>0</v>
      </c>
    </row>
    <row r="48" spans="1:7" x14ac:dyDescent="0.2">
      <c r="A48" s="3">
        <f t="shared" si="0"/>
        <v>44500</v>
      </c>
      <c r="B48">
        <v>12942.45399362163</v>
      </c>
      <c r="C48">
        <v>5555.8763265891421</v>
      </c>
      <c r="D48">
        <v>0</v>
      </c>
      <c r="E48">
        <v>1480.9378241806348</v>
      </c>
      <c r="F48">
        <v>452479.6073261851</v>
      </c>
      <c r="G48">
        <v>0</v>
      </c>
    </row>
    <row r="49" spans="1:7" x14ac:dyDescent="0.2">
      <c r="A49" s="3">
        <f t="shared" si="0"/>
        <v>44530</v>
      </c>
      <c r="B49">
        <v>12830.492227374527</v>
      </c>
      <c r="C49">
        <v>5896.1722270298078</v>
      </c>
      <c r="D49">
        <v>0</v>
      </c>
      <c r="E49">
        <v>1473.9914714265697</v>
      </c>
      <c r="F49">
        <v>458435.19890618627</v>
      </c>
      <c r="G49">
        <v>0</v>
      </c>
    </row>
    <row r="50" spans="1:7" x14ac:dyDescent="0.2">
      <c r="A50" s="3">
        <f t="shared" si="0"/>
        <v>44561</v>
      </c>
      <c r="B50">
        <v>12758.856771160396</v>
      </c>
      <c r="C50">
        <v>5625.0388127343422</v>
      </c>
      <c r="D50">
        <v>0</v>
      </c>
      <c r="E50">
        <v>1466.5269858256529</v>
      </c>
      <c r="F50">
        <v>464604.27164233598</v>
      </c>
      <c r="G50">
        <v>0</v>
      </c>
    </row>
    <row r="51" spans="1:7" x14ac:dyDescent="0.2">
      <c r="A51" s="3">
        <f t="shared" si="0"/>
        <v>44592</v>
      </c>
      <c r="B51">
        <v>12650.361443304029</v>
      </c>
      <c r="C51">
        <v>5478.5929765835035</v>
      </c>
      <c r="D51">
        <v>0</v>
      </c>
      <c r="E51">
        <v>1456.7690863686109</v>
      </c>
      <c r="F51">
        <v>470825.58638002432</v>
      </c>
      <c r="G51">
        <v>0</v>
      </c>
    </row>
    <row r="52" spans="1:7" x14ac:dyDescent="0.2">
      <c r="A52" s="3">
        <f t="shared" si="0"/>
        <v>44620</v>
      </c>
      <c r="B52">
        <v>12551.338518984654</v>
      </c>
      <c r="C52">
        <v>5538.2660077532701</v>
      </c>
      <c r="D52">
        <v>0</v>
      </c>
      <c r="E52">
        <v>1450.0414221775222</v>
      </c>
      <c r="F52">
        <v>476901.71267625055</v>
      </c>
      <c r="G52">
        <v>0</v>
      </c>
    </row>
    <row r="53" spans="1:7" x14ac:dyDescent="0.2">
      <c r="A53" s="3">
        <f t="shared" si="0"/>
        <v>44651</v>
      </c>
      <c r="B53">
        <v>12465.005088108082</v>
      </c>
      <c r="C53">
        <v>5286.6794758832575</v>
      </c>
      <c r="D53">
        <v>0</v>
      </c>
      <c r="E53">
        <v>1442.6932953430098</v>
      </c>
      <c r="F53">
        <v>483157.06182701967</v>
      </c>
      <c r="G53">
        <v>0</v>
      </c>
    </row>
    <row r="54" spans="1:7" x14ac:dyDescent="0.2">
      <c r="A54" s="3">
        <f t="shared" si="0"/>
        <v>44681</v>
      </c>
      <c r="B54">
        <v>12384.628851809848</v>
      </c>
      <c r="C54">
        <v>5309.6361811759589</v>
      </c>
      <c r="D54">
        <v>0</v>
      </c>
      <c r="E54">
        <v>1435.6685424160567</v>
      </c>
      <c r="F54">
        <v>489322.91972890298</v>
      </c>
      <c r="G54">
        <v>0</v>
      </c>
    </row>
    <row r="55" spans="1:7" x14ac:dyDescent="0.2">
      <c r="A55" s="3">
        <f t="shared" si="0"/>
        <v>44712</v>
      </c>
      <c r="B55">
        <v>12307.881905459251</v>
      </c>
      <c r="C55">
        <v>5242.141595196591</v>
      </c>
      <c r="D55">
        <v>0</v>
      </c>
      <c r="E55">
        <v>1429.6568097034165</v>
      </c>
      <c r="F55">
        <v>495492.25641734141</v>
      </c>
      <c r="G55">
        <v>0</v>
      </c>
    </row>
    <row r="56" spans="1:7" x14ac:dyDescent="0.2">
      <c r="A56" s="3">
        <f t="shared" si="0"/>
        <v>44742</v>
      </c>
      <c r="B56">
        <v>12228.262573124393</v>
      </c>
      <c r="C56">
        <v>5282.502166267439</v>
      </c>
      <c r="D56">
        <v>0</v>
      </c>
      <c r="E56">
        <v>1423.4718613381226</v>
      </c>
      <c r="F56">
        <v>501554.52135605778</v>
      </c>
      <c r="G56">
        <v>0</v>
      </c>
    </row>
    <row r="57" spans="1:7" x14ac:dyDescent="0.2">
      <c r="A57" s="3">
        <f t="shared" si="0"/>
        <v>44773</v>
      </c>
      <c r="B57">
        <v>12142.294654018637</v>
      </c>
      <c r="C57">
        <v>5056.7186318549711</v>
      </c>
      <c r="D57">
        <v>0</v>
      </c>
      <c r="E57">
        <v>1417.7401367701596</v>
      </c>
      <c r="F57">
        <v>507768.94015556603</v>
      </c>
      <c r="G57">
        <v>0</v>
      </c>
    </row>
    <row r="58" spans="1:7" x14ac:dyDescent="0.2">
      <c r="A58" s="3">
        <f t="shared" si="0"/>
        <v>44804</v>
      </c>
      <c r="B58">
        <v>12066.70500599805</v>
      </c>
      <c r="C58">
        <v>5066.7723932098215</v>
      </c>
      <c r="D58">
        <v>0</v>
      </c>
      <c r="E58">
        <v>1411.3423579565308</v>
      </c>
      <c r="F58">
        <v>513910.88565930806</v>
      </c>
      <c r="G58">
        <v>0</v>
      </c>
    </row>
    <row r="59" spans="1:7" x14ac:dyDescent="0.2">
      <c r="A59" s="3">
        <f t="shared" si="0"/>
        <v>44834</v>
      </c>
      <c r="B59">
        <v>11982.287206603669</v>
      </c>
      <c r="C59">
        <v>5267.0252418201599</v>
      </c>
      <c r="D59">
        <v>0</v>
      </c>
      <c r="E59">
        <v>1406.5020908524318</v>
      </c>
      <c r="F59">
        <v>519779.69413716672</v>
      </c>
      <c r="G59">
        <v>0</v>
      </c>
    </row>
    <row r="60" spans="1:7" x14ac:dyDescent="0.2">
      <c r="A60" s="3">
        <f t="shared" si="0"/>
        <v>44865</v>
      </c>
      <c r="B60">
        <v>11899.047427115991</v>
      </c>
      <c r="C60">
        <v>5073.1465599108051</v>
      </c>
      <c r="D60">
        <v>0</v>
      </c>
      <c r="E60">
        <v>1401.1926159673294</v>
      </c>
      <c r="F60">
        <v>525770.84668871923</v>
      </c>
      <c r="G60">
        <v>0</v>
      </c>
    </row>
    <row r="61" spans="1:7" x14ac:dyDescent="0.2">
      <c r="A61" s="3">
        <f t="shared" si="0"/>
        <v>44895</v>
      </c>
      <c r="B61">
        <v>11817.390381364597</v>
      </c>
      <c r="C61">
        <v>5816.1452767868313</v>
      </c>
      <c r="D61">
        <v>0</v>
      </c>
      <c r="E61">
        <v>1396.4955843744356</v>
      </c>
      <c r="F61">
        <v>530948.56953346299</v>
      </c>
      <c r="G61">
        <v>0</v>
      </c>
    </row>
    <row r="62" spans="1:7" x14ac:dyDescent="0.2">
      <c r="A62" s="3">
        <f t="shared" si="0"/>
        <v>44926</v>
      </c>
      <c r="B62">
        <v>11771.960239958344</v>
      </c>
      <c r="C62">
        <v>5168.5786608256103</v>
      </c>
      <c r="D62">
        <v>0</v>
      </c>
      <c r="E62">
        <v>1390.4402850824017</v>
      </c>
      <c r="F62">
        <v>536740.12671875441</v>
      </c>
      <c r="G62">
        <v>0</v>
      </c>
    </row>
    <row r="63" spans="1:7" x14ac:dyDescent="0.2">
      <c r="A63" s="3">
        <f t="shared" si="0"/>
        <v>44957</v>
      </c>
      <c r="B63">
        <v>11506.086387755804</v>
      </c>
      <c r="C63">
        <v>18813.415502433752</v>
      </c>
      <c r="D63">
        <v>0</v>
      </c>
      <c r="E63">
        <v>1372.3410322143855</v>
      </c>
      <c r="F63">
        <v>528601.83184756816</v>
      </c>
      <c r="G63">
        <v>13625.177714578451</v>
      </c>
    </row>
    <row r="64" spans="1:7" x14ac:dyDescent="0.2">
      <c r="A64" s="3">
        <f t="shared" si="0"/>
        <v>44985</v>
      </c>
      <c r="B64">
        <v>11436.646570955947</v>
      </c>
      <c r="C64">
        <v>5179.6474738108973</v>
      </c>
      <c r="D64">
        <v>0</v>
      </c>
      <c r="E64">
        <v>1366.8260127202907</v>
      </c>
      <c r="F64">
        <v>534025.17163261666</v>
      </c>
      <c r="G64">
        <v>0</v>
      </c>
    </row>
    <row r="65" spans="1:7" x14ac:dyDescent="0.2">
      <c r="A65" s="3">
        <f t="shared" si="0"/>
        <v>45016</v>
      </c>
      <c r="B65">
        <v>11377.082072146475</v>
      </c>
      <c r="C65">
        <v>5169.7974357514468</v>
      </c>
      <c r="D65">
        <v>0</v>
      </c>
      <c r="E65">
        <v>1361.4726551938841</v>
      </c>
      <c r="F65">
        <v>539409.62048878742</v>
      </c>
      <c r="G65">
        <v>0</v>
      </c>
    </row>
    <row r="66" spans="1:7" x14ac:dyDescent="0.2">
      <c r="A66" s="3">
        <f t="shared" si="0"/>
        <v>45046</v>
      </c>
      <c r="B66">
        <v>11320.755543681658</v>
      </c>
      <c r="C66">
        <v>5235.1932832907642</v>
      </c>
      <c r="D66">
        <v>0</v>
      </c>
      <c r="E66">
        <v>1355.702627395752</v>
      </c>
      <c r="F66">
        <v>544683.54794431676</v>
      </c>
      <c r="G66">
        <v>0</v>
      </c>
    </row>
    <row r="67" spans="1:7" x14ac:dyDescent="0.2">
      <c r="A67" s="3">
        <f t="shared" si="0"/>
        <v>45077</v>
      </c>
      <c r="B67">
        <v>11266.573724191785</v>
      </c>
      <c r="C67">
        <v>5221.5260532959192</v>
      </c>
      <c r="D67">
        <v>0</v>
      </c>
      <c r="E67">
        <v>1350.6499963365413</v>
      </c>
      <c r="F67">
        <v>549927.33291313972</v>
      </c>
      <c r="G67">
        <v>0</v>
      </c>
    </row>
    <row r="68" spans="1:7" x14ac:dyDescent="0.2">
      <c r="A68" s="3">
        <f t="shared" ref="A68:A131" si="1">DATE(YEAR(A67),MONTH(A67)+2,1)-1</f>
        <v>45107</v>
      </c>
      <c r="B68">
        <v>11208.603141860753</v>
      </c>
      <c r="C68">
        <v>5269.5427702067082</v>
      </c>
      <c r="D68">
        <v>0</v>
      </c>
      <c r="E68">
        <v>1345.0939896935092</v>
      </c>
      <c r="F68">
        <v>555075.97565830441</v>
      </c>
      <c r="G68">
        <v>0</v>
      </c>
    </row>
    <row r="69" spans="1:7" x14ac:dyDescent="0.2">
      <c r="A69" s="3">
        <f t="shared" si="1"/>
        <v>45138</v>
      </c>
      <c r="B69">
        <v>11144.69755279847</v>
      </c>
      <c r="C69">
        <v>5107.4365943371586</v>
      </c>
      <c r="D69">
        <v>0</v>
      </c>
      <c r="E69">
        <v>1339.6253877319978</v>
      </c>
      <c r="F69">
        <v>560333.48069733067</v>
      </c>
      <c r="G69">
        <v>0</v>
      </c>
    </row>
    <row r="70" spans="1:7" x14ac:dyDescent="0.2">
      <c r="A70" s="3">
        <f t="shared" si="1"/>
        <v>45169</v>
      </c>
      <c r="B70">
        <v>11089.215779499416</v>
      </c>
      <c r="C70">
        <v>4962.8761793181775</v>
      </c>
      <c r="D70">
        <v>0</v>
      </c>
      <c r="E70">
        <v>1333.9831476650911</v>
      </c>
      <c r="F70">
        <v>565691.00952563772</v>
      </c>
      <c r="G70">
        <v>0</v>
      </c>
    </row>
    <row r="71" spans="1:7" x14ac:dyDescent="0.2">
      <c r="A71" s="3">
        <f t="shared" si="1"/>
        <v>45199</v>
      </c>
      <c r="B71">
        <v>11025.456355529794</v>
      </c>
      <c r="C71">
        <v>5195.8581242568116</v>
      </c>
      <c r="D71">
        <v>0</v>
      </c>
      <c r="E71">
        <v>1329.7398311100958</v>
      </c>
      <c r="F71">
        <v>570761.44409665349</v>
      </c>
      <c r="G71">
        <v>0</v>
      </c>
    </row>
    <row r="72" spans="1:7" x14ac:dyDescent="0.2">
      <c r="A72" s="3">
        <f t="shared" si="1"/>
        <v>45230</v>
      </c>
      <c r="B72">
        <v>10962.036642281895</v>
      </c>
      <c r="C72">
        <v>4948.67282081538</v>
      </c>
      <c r="D72">
        <v>0</v>
      </c>
      <c r="E72">
        <v>1324.8819255546671</v>
      </c>
      <c r="F72">
        <v>576025.61638495105</v>
      </c>
      <c r="G72">
        <v>0</v>
      </c>
    </row>
    <row r="73" spans="1:7" x14ac:dyDescent="0.2">
      <c r="A73" s="3">
        <f t="shared" si="1"/>
        <v>45260</v>
      </c>
      <c r="B73">
        <v>10900.111500232177</v>
      </c>
      <c r="C73">
        <v>5632.5350568702479</v>
      </c>
      <c r="D73">
        <v>0</v>
      </c>
      <c r="E73">
        <v>1320.7153216485747</v>
      </c>
      <c r="F73">
        <v>580553.47753136989</v>
      </c>
      <c r="G73">
        <v>0</v>
      </c>
    </row>
    <row r="74" spans="1:7" x14ac:dyDescent="0.2">
      <c r="A74" s="3">
        <f t="shared" si="1"/>
        <v>45291</v>
      </c>
      <c r="B74">
        <v>10804.4994266742</v>
      </c>
      <c r="C74">
        <v>10868.107472150859</v>
      </c>
      <c r="D74">
        <v>0</v>
      </c>
      <c r="E74">
        <v>1306.1744171816752</v>
      </c>
      <c r="F74">
        <v>579769.26205600228</v>
      </c>
      <c r="G74">
        <v>5853.6727731453793</v>
      </c>
    </row>
    <row r="75" spans="1:7" x14ac:dyDescent="0.2">
      <c r="A75" s="3">
        <f t="shared" si="1"/>
        <v>45322</v>
      </c>
      <c r="B75">
        <v>10744.166346337621</v>
      </c>
      <c r="C75">
        <v>5102.8287715155893</v>
      </c>
      <c r="D75">
        <v>0</v>
      </c>
      <c r="E75">
        <v>1299.9984082571818</v>
      </c>
      <c r="F75">
        <v>584707.13011039654</v>
      </c>
      <c r="G75">
        <v>0</v>
      </c>
    </row>
    <row r="76" spans="1:7" x14ac:dyDescent="0.2">
      <c r="A76" s="3">
        <f t="shared" si="1"/>
        <v>45351</v>
      </c>
      <c r="B76">
        <v>10689.705592000235</v>
      </c>
      <c r="C76">
        <v>5021.7109734565329</v>
      </c>
      <c r="D76">
        <v>0</v>
      </c>
      <c r="E76">
        <v>1294.9660047561897</v>
      </c>
      <c r="F76">
        <v>589681.76822102745</v>
      </c>
      <c r="G76">
        <v>0</v>
      </c>
    </row>
    <row r="77" spans="1:7" x14ac:dyDescent="0.2">
      <c r="A77" s="3">
        <f t="shared" si="1"/>
        <v>45382</v>
      </c>
      <c r="B77">
        <v>10537.792280158428</v>
      </c>
      <c r="C77">
        <v>13808.386496570411</v>
      </c>
      <c r="D77">
        <v>0</v>
      </c>
      <c r="E77">
        <v>1273.1611621859925</v>
      </c>
      <c r="F77">
        <v>585744.74078127043</v>
      </c>
      <c r="G77">
        <v>8996.4135326543437</v>
      </c>
    </row>
    <row r="78" spans="1:7" x14ac:dyDescent="0.2">
      <c r="A78" s="3">
        <f t="shared" si="1"/>
        <v>45412</v>
      </c>
      <c r="B78">
        <v>10496.797984107789</v>
      </c>
      <c r="C78">
        <v>5039.2976847027085</v>
      </c>
      <c r="D78">
        <v>0</v>
      </c>
      <c r="E78">
        <v>1268.9440628251245</v>
      </c>
      <c r="F78">
        <v>590535.9741199977</v>
      </c>
      <c r="G78">
        <v>0</v>
      </c>
    </row>
    <row r="79" spans="1:7" x14ac:dyDescent="0.2">
      <c r="A79" s="3">
        <f t="shared" si="1"/>
        <v>45443</v>
      </c>
      <c r="B79">
        <v>10455.806748780333</v>
      </c>
      <c r="C79">
        <v>4968.0765660829757</v>
      </c>
      <c r="D79">
        <v>0</v>
      </c>
      <c r="E79">
        <v>1264.6250747137315</v>
      </c>
      <c r="F79">
        <v>595366.68606559839</v>
      </c>
      <c r="G79">
        <v>0</v>
      </c>
    </row>
    <row r="80" spans="1:7" x14ac:dyDescent="0.2">
      <c r="A80" s="3">
        <f t="shared" si="1"/>
        <v>45473</v>
      </c>
      <c r="B80">
        <v>10411.455069379226</v>
      </c>
      <c r="C80">
        <v>5200.358007394485</v>
      </c>
      <c r="D80">
        <v>0</v>
      </c>
      <c r="E80">
        <v>1259.9409268781769</v>
      </c>
      <c r="F80">
        <v>599930.4193936208</v>
      </c>
      <c r="G80">
        <v>0</v>
      </c>
    </row>
    <row r="81" spans="1:7" x14ac:dyDescent="0.2">
      <c r="A81" s="3">
        <f t="shared" si="1"/>
        <v>45504</v>
      </c>
      <c r="B81">
        <v>10359.112048752517</v>
      </c>
      <c r="C81">
        <v>4934.6981583297993</v>
      </c>
      <c r="D81">
        <v>0</v>
      </c>
      <c r="E81">
        <v>1255.2757985224991</v>
      </c>
      <c r="F81">
        <v>604716.83033746027</v>
      </c>
      <c r="G81">
        <v>0</v>
      </c>
    </row>
    <row r="82" spans="1:7" x14ac:dyDescent="0.2">
      <c r="A82" s="3">
        <f t="shared" si="1"/>
        <v>45535</v>
      </c>
      <c r="B82">
        <v>10314.585212052012</v>
      </c>
      <c r="C82">
        <v>4890.3075573939732</v>
      </c>
      <c r="D82">
        <v>0</v>
      </c>
      <c r="E82">
        <v>1251.1900392830448</v>
      </c>
      <c r="F82">
        <v>609512.11557844596</v>
      </c>
      <c r="G82">
        <v>0</v>
      </c>
    </row>
    <row r="83" spans="1:7" x14ac:dyDescent="0.2">
      <c r="A83" s="3">
        <f t="shared" si="1"/>
        <v>45565</v>
      </c>
      <c r="B83">
        <v>10260.796044698924</v>
      </c>
      <c r="C83">
        <v>5121.1323616263271</v>
      </c>
      <c r="D83">
        <v>0</v>
      </c>
      <c r="E83">
        <v>1247.6092268219124</v>
      </c>
      <c r="F83">
        <v>614031.30156480731</v>
      </c>
      <c r="G83">
        <v>0</v>
      </c>
    </row>
    <row r="84" spans="1:7" x14ac:dyDescent="0.2">
      <c r="A84" s="3">
        <f t="shared" si="1"/>
        <v>45596</v>
      </c>
      <c r="B84">
        <v>10206.678748670394</v>
      </c>
      <c r="C84">
        <v>4914.7061626100704</v>
      </c>
      <c r="D84">
        <v>0</v>
      </c>
      <c r="E84">
        <v>1243.4508864868092</v>
      </c>
      <c r="F84">
        <v>618711.60461842502</v>
      </c>
      <c r="G84">
        <v>0</v>
      </c>
    </row>
    <row r="85" spans="1:7" x14ac:dyDescent="0.2">
      <c r="A85" s="3">
        <f t="shared" si="1"/>
        <v>45626</v>
      </c>
      <c r="B85">
        <v>10153.722879646211</v>
      </c>
      <c r="C85">
        <v>5515.4079328190464</v>
      </c>
      <c r="D85">
        <v>0</v>
      </c>
      <c r="E85">
        <v>1239.9462819454186</v>
      </c>
      <c r="F85">
        <v>622746.57023582817</v>
      </c>
      <c r="G85">
        <v>0</v>
      </c>
    </row>
    <row r="86" spans="1:7" x14ac:dyDescent="0.2">
      <c r="A86" s="3">
        <f t="shared" si="1"/>
        <v>45657</v>
      </c>
      <c r="B86">
        <v>10132.154296956629</v>
      </c>
      <c r="C86">
        <v>4929.6668117318895</v>
      </c>
      <c r="D86">
        <v>0</v>
      </c>
      <c r="E86">
        <v>1235.3255026802626</v>
      </c>
      <c r="F86">
        <v>627354.48077690264</v>
      </c>
      <c r="G86">
        <v>0</v>
      </c>
    </row>
    <row r="87" spans="1:7" x14ac:dyDescent="0.2">
      <c r="A87" s="3">
        <f t="shared" si="1"/>
        <v>45688</v>
      </c>
      <c r="B87">
        <v>10080.984000607845</v>
      </c>
      <c r="C87">
        <v>4911.7149635422511</v>
      </c>
      <c r="D87">
        <v>0</v>
      </c>
      <c r="E87">
        <v>1229.494616641344</v>
      </c>
      <c r="F87">
        <v>631958.50579271326</v>
      </c>
      <c r="G87">
        <v>0</v>
      </c>
    </row>
    <row r="88" spans="1:7" x14ac:dyDescent="0.2">
      <c r="A88" s="3">
        <f t="shared" si="1"/>
        <v>45716</v>
      </c>
      <c r="B88">
        <v>10036.029483515586</v>
      </c>
      <c r="C88">
        <v>4864.3345165907649</v>
      </c>
      <c r="D88">
        <v>0</v>
      </c>
      <c r="E88">
        <v>1225.4749223485094</v>
      </c>
      <c r="F88">
        <v>636573.85123065929</v>
      </c>
      <c r="G88">
        <v>0</v>
      </c>
    </row>
    <row r="89" spans="1:7" x14ac:dyDescent="0.2">
      <c r="A89" s="3">
        <f t="shared" si="1"/>
        <v>45747</v>
      </c>
      <c r="B89">
        <v>10000.151294954712</v>
      </c>
      <c r="C89">
        <v>4727.6798816479341</v>
      </c>
      <c r="D89">
        <v>0</v>
      </c>
      <c r="E89">
        <v>1221.5263537741826</v>
      </c>
      <c r="F89">
        <v>641298.80846774671</v>
      </c>
      <c r="G89">
        <v>0</v>
      </c>
    </row>
    <row r="90" spans="1:7" x14ac:dyDescent="0.2">
      <c r="A90" s="3">
        <f t="shared" si="1"/>
        <v>45777</v>
      </c>
      <c r="B90">
        <v>9967.3133240412517</v>
      </c>
      <c r="C90">
        <v>4837.0376734714309</v>
      </c>
      <c r="D90">
        <v>0</v>
      </c>
      <c r="E90">
        <v>1217.7050743783127</v>
      </c>
      <c r="F90">
        <v>645890.39406399103</v>
      </c>
      <c r="G90">
        <v>0</v>
      </c>
    </row>
    <row r="91" spans="1:7" x14ac:dyDescent="0.2">
      <c r="A91" s="3">
        <f t="shared" si="1"/>
        <v>45808</v>
      </c>
      <c r="B91">
        <v>9934.8506586121675</v>
      </c>
      <c r="C91">
        <v>4812.1725086416309</v>
      </c>
      <c r="D91">
        <v>0</v>
      </c>
      <c r="E91">
        <v>1214.2890914518896</v>
      </c>
      <c r="F91">
        <v>650482.65976953693</v>
      </c>
      <c r="G91">
        <v>0</v>
      </c>
    </row>
    <row r="92" spans="1:7" x14ac:dyDescent="0.2">
      <c r="A92" s="3">
        <f t="shared" si="1"/>
        <v>45838</v>
      </c>
      <c r="B92">
        <v>9898.6610381199353</v>
      </c>
      <c r="C92">
        <v>4895.5233402852864</v>
      </c>
      <c r="D92">
        <v>0</v>
      </c>
      <c r="E92">
        <v>1210.4198129365427</v>
      </c>
      <c r="F92">
        <v>654964.11664854432</v>
      </c>
      <c r="G92">
        <v>0</v>
      </c>
    </row>
    <row r="93" spans="1:7" x14ac:dyDescent="0.2">
      <c r="A93" s="3">
        <f t="shared" si="1"/>
        <v>45869</v>
      </c>
      <c r="B93">
        <v>9855.8549174379277</v>
      </c>
      <c r="C93">
        <v>4566.6750336775604</v>
      </c>
      <c r="D93">
        <v>0</v>
      </c>
      <c r="E93">
        <v>1206.6492571921103</v>
      </c>
      <c r="F93">
        <v>659740.13129056408</v>
      </c>
      <c r="G93">
        <v>0</v>
      </c>
    </row>
    <row r="94" spans="1:7" x14ac:dyDescent="0.2">
      <c r="A94" s="3">
        <f t="shared" si="1"/>
        <v>45900</v>
      </c>
      <c r="B94">
        <v>9821.1403280021823</v>
      </c>
      <c r="C94">
        <v>4591.7419024259898</v>
      </c>
      <c r="D94">
        <v>0</v>
      </c>
      <c r="E94">
        <v>1203.0344457808867</v>
      </c>
      <c r="F94">
        <v>664465.03618851292</v>
      </c>
      <c r="G94">
        <v>0</v>
      </c>
    </row>
    <row r="95" spans="1:7" x14ac:dyDescent="0.2">
      <c r="A95" s="3">
        <f t="shared" si="1"/>
        <v>45930</v>
      </c>
      <c r="B95">
        <v>9724.4061859236899</v>
      </c>
      <c r="C95">
        <v>7859.6855407368448</v>
      </c>
      <c r="D95">
        <v>0</v>
      </c>
      <c r="E95">
        <v>1192.3461740874645</v>
      </c>
      <c r="F95">
        <v>665840.95436484739</v>
      </c>
      <c r="G95">
        <v>3127.9398384783881</v>
      </c>
    </row>
    <row r="96" spans="1:7" x14ac:dyDescent="0.2">
      <c r="A96" s="3">
        <f t="shared" si="1"/>
        <v>45961</v>
      </c>
      <c r="B96">
        <v>9680.823765912126</v>
      </c>
      <c r="C96">
        <v>4575.5230091571566</v>
      </c>
      <c r="D96">
        <v>0</v>
      </c>
      <c r="E96">
        <v>1189.2500992336697</v>
      </c>
      <c r="F96">
        <v>670462.00556659279</v>
      </c>
      <c r="G96">
        <v>0</v>
      </c>
    </row>
    <row r="97" spans="1:7" x14ac:dyDescent="0.2">
      <c r="A97" s="3">
        <f t="shared" si="1"/>
        <v>45991</v>
      </c>
      <c r="B97">
        <v>9637.9144114151713</v>
      </c>
      <c r="C97">
        <v>5202.4952539314636</v>
      </c>
      <c r="D97">
        <v>0</v>
      </c>
      <c r="E97">
        <v>1186.6493774987262</v>
      </c>
      <c r="F97">
        <v>674420.6687163196</v>
      </c>
      <c r="G97">
        <v>0</v>
      </c>
    </row>
    <row r="98" spans="1:7" x14ac:dyDescent="0.2">
      <c r="A98" s="3">
        <f t="shared" si="1"/>
        <v>46022</v>
      </c>
      <c r="B98">
        <v>9624.7947052989693</v>
      </c>
      <c r="C98">
        <v>4798.4699304214873</v>
      </c>
      <c r="D98">
        <v>0</v>
      </c>
      <c r="E98">
        <v>1182.8729105868515</v>
      </c>
      <c r="F98">
        <v>678778.20543130103</v>
      </c>
      <c r="G98">
        <v>0</v>
      </c>
    </row>
    <row r="99" spans="1:7" x14ac:dyDescent="0.2">
      <c r="A99" s="3">
        <f t="shared" si="1"/>
        <v>46053</v>
      </c>
      <c r="B99">
        <v>9580.6236261809136</v>
      </c>
      <c r="C99">
        <v>4919.6005728051241</v>
      </c>
      <c r="D99">
        <v>0</v>
      </c>
      <c r="E99">
        <v>1177.5986470209334</v>
      </c>
      <c r="F99">
        <v>682980.10486025969</v>
      </c>
      <c r="G99">
        <v>0</v>
      </c>
    </row>
    <row r="100" spans="1:7" x14ac:dyDescent="0.2">
      <c r="A100" s="3">
        <f t="shared" si="1"/>
        <v>46081</v>
      </c>
      <c r="B100">
        <v>9540.9805209688893</v>
      </c>
      <c r="C100">
        <v>4994.3324149891287</v>
      </c>
      <c r="D100">
        <v>0</v>
      </c>
      <c r="E100">
        <v>1173.9030928133122</v>
      </c>
      <c r="F100">
        <v>687075.77253409987</v>
      </c>
      <c r="G100">
        <v>0</v>
      </c>
    </row>
    <row r="101" spans="1:7" x14ac:dyDescent="0.2">
      <c r="A101" s="3">
        <f t="shared" si="1"/>
        <v>46112</v>
      </c>
      <c r="B101">
        <v>9508.6216593701865</v>
      </c>
      <c r="C101">
        <v>4959.998690563596</v>
      </c>
      <c r="D101">
        <v>0</v>
      </c>
      <c r="E101">
        <v>1170.1200643741865</v>
      </c>
      <c r="F101">
        <v>691181.53329279483</v>
      </c>
      <c r="G101">
        <v>0</v>
      </c>
    </row>
    <row r="102" spans="1:7" x14ac:dyDescent="0.2">
      <c r="A102" s="3">
        <f t="shared" si="1"/>
        <v>46142</v>
      </c>
      <c r="B102">
        <v>9477.6681186821825</v>
      </c>
      <c r="C102">
        <v>5113.871301387705</v>
      </c>
      <c r="D102">
        <v>0</v>
      </c>
      <c r="E102">
        <v>1166.267286979338</v>
      </c>
      <c r="F102">
        <v>695110.66655431793</v>
      </c>
      <c r="G102">
        <v>0</v>
      </c>
    </row>
    <row r="103" spans="1:7" x14ac:dyDescent="0.2">
      <c r="A103" s="3">
        <f t="shared" si="1"/>
        <v>46173</v>
      </c>
      <c r="B103">
        <v>9446.3685861928643</v>
      </c>
      <c r="C103">
        <v>5124.7303594937166</v>
      </c>
      <c r="D103">
        <v>0</v>
      </c>
      <c r="E103">
        <v>1162.7829152314944</v>
      </c>
      <c r="F103">
        <v>699005.28451677947</v>
      </c>
      <c r="G103">
        <v>0</v>
      </c>
    </row>
    <row r="104" spans="1:7" x14ac:dyDescent="0.2">
      <c r="A104" s="3">
        <f t="shared" si="1"/>
        <v>46203</v>
      </c>
      <c r="B104">
        <v>9411.2821930850168</v>
      </c>
      <c r="C104">
        <v>5303.5731907839627</v>
      </c>
      <c r="D104">
        <v>0</v>
      </c>
      <c r="E104">
        <v>1158.8366761441821</v>
      </c>
      <c r="F104">
        <v>702694.04187986732</v>
      </c>
      <c r="G104">
        <v>0</v>
      </c>
    </row>
    <row r="105" spans="1:7" x14ac:dyDescent="0.2">
      <c r="A105" s="3">
        <f t="shared" si="1"/>
        <v>46234</v>
      </c>
      <c r="B105">
        <v>9368.3583026889009</v>
      </c>
      <c r="C105">
        <v>5212.4793423115661</v>
      </c>
      <c r="D105">
        <v>0</v>
      </c>
      <c r="E105">
        <v>1154.8589345679</v>
      </c>
      <c r="F105">
        <v>706438.85142865172</v>
      </c>
      <c r="G105">
        <v>0</v>
      </c>
    </row>
    <row r="106" spans="1:7" x14ac:dyDescent="0.2">
      <c r="A106" s="3">
        <f t="shared" si="1"/>
        <v>46265</v>
      </c>
      <c r="B106">
        <v>9331.3442108971885</v>
      </c>
      <c r="C106">
        <v>5199.3006143957473</v>
      </c>
      <c r="D106">
        <v>0</v>
      </c>
      <c r="E106">
        <v>1150.8117872124189</v>
      </c>
      <c r="F106">
        <v>710167.83657723025</v>
      </c>
      <c r="G106">
        <v>0</v>
      </c>
    </row>
    <row r="107" spans="1:7" x14ac:dyDescent="0.2">
      <c r="A107" s="3">
        <f t="shared" si="1"/>
        <v>46295</v>
      </c>
      <c r="B107">
        <v>9285.6620406957663</v>
      </c>
      <c r="C107">
        <v>5428.51812933155</v>
      </c>
      <c r="D107">
        <v>0</v>
      </c>
      <c r="E107">
        <v>1147.6331575096121</v>
      </c>
      <c r="F107">
        <v>713629.04773683636</v>
      </c>
      <c r="G107">
        <v>0</v>
      </c>
    </row>
    <row r="108" spans="1:7" x14ac:dyDescent="0.2">
      <c r="A108" s="3">
        <f t="shared" si="1"/>
        <v>46326</v>
      </c>
      <c r="B108">
        <v>9238.8720029108608</v>
      </c>
      <c r="C108">
        <v>5252.6946844635368</v>
      </c>
      <c r="D108">
        <v>0</v>
      </c>
      <c r="E108">
        <v>1143.8834768802737</v>
      </c>
      <c r="F108">
        <v>717226.70561646624</v>
      </c>
      <c r="G108">
        <v>0</v>
      </c>
    </row>
    <row r="109" spans="1:7" x14ac:dyDescent="0.2">
      <c r="A109" s="3">
        <f t="shared" si="1"/>
        <v>46356</v>
      </c>
      <c r="B109">
        <v>9193.1783779547568</v>
      </c>
      <c r="C109">
        <v>5831.7910833489514</v>
      </c>
      <c r="D109">
        <v>0</v>
      </c>
      <c r="E109">
        <v>1140.6616747875471</v>
      </c>
      <c r="F109">
        <v>720206.60333315935</v>
      </c>
      <c r="G109">
        <v>0</v>
      </c>
    </row>
    <row r="110" spans="1:7" x14ac:dyDescent="0.2">
      <c r="A110" s="3">
        <f t="shared" si="1"/>
        <v>46387</v>
      </c>
      <c r="B110">
        <v>9176.8102331512091</v>
      </c>
      <c r="C110">
        <v>5437.8061451836275</v>
      </c>
      <c r="D110">
        <v>0</v>
      </c>
      <c r="E110">
        <v>1136.3467379175477</v>
      </c>
      <c r="F110">
        <v>723571.58695041819</v>
      </c>
      <c r="G110">
        <v>0</v>
      </c>
    </row>
    <row r="111" spans="1:7" x14ac:dyDescent="0.2">
      <c r="A111" s="3">
        <f t="shared" si="1"/>
        <v>46418</v>
      </c>
      <c r="B111">
        <v>9130.0301061979535</v>
      </c>
      <c r="C111">
        <v>5495.1949503081487</v>
      </c>
      <c r="D111">
        <v>0</v>
      </c>
      <c r="E111">
        <v>1130.4806211956181</v>
      </c>
      <c r="F111">
        <v>726857.85997981089</v>
      </c>
      <c r="G111">
        <v>0</v>
      </c>
    </row>
    <row r="112" spans="1:7" x14ac:dyDescent="0.2">
      <c r="A112" s="3">
        <f t="shared" si="1"/>
        <v>46446</v>
      </c>
      <c r="B112">
        <v>9088.247832464016</v>
      </c>
      <c r="C112">
        <v>5499.1328418275725</v>
      </c>
      <c r="D112">
        <v>0</v>
      </c>
      <c r="E112">
        <v>1126.3226941499349</v>
      </c>
      <c r="F112">
        <v>730106.12204043102</v>
      </c>
      <c r="G112">
        <v>0</v>
      </c>
    </row>
    <row r="113" spans="1:7" x14ac:dyDescent="0.2">
      <c r="A113" s="3">
        <f t="shared" si="1"/>
        <v>46477</v>
      </c>
      <c r="B113">
        <v>9054.1776027080105</v>
      </c>
      <c r="C113">
        <v>5409.1681403459042</v>
      </c>
      <c r="D113">
        <v>0</v>
      </c>
      <c r="E113">
        <v>1122.1653800459223</v>
      </c>
      <c r="F113">
        <v>733417.94608024042</v>
      </c>
      <c r="G113">
        <v>0</v>
      </c>
    </row>
    <row r="114" spans="1:7" x14ac:dyDescent="0.2">
      <c r="A114" s="3">
        <f t="shared" si="1"/>
        <v>46507</v>
      </c>
      <c r="B114">
        <v>8954.539450285858</v>
      </c>
      <c r="C114">
        <v>14468.474859601267</v>
      </c>
      <c r="D114">
        <v>0</v>
      </c>
      <c r="E114">
        <v>1108.9990906348876</v>
      </c>
      <c r="F114">
        <v>727587.57041859522</v>
      </c>
      <c r="G114">
        <v>8999.2191954229293</v>
      </c>
    </row>
    <row r="115" spans="1:7" x14ac:dyDescent="0.2">
      <c r="A115" s="3">
        <f t="shared" si="1"/>
        <v>46538</v>
      </c>
      <c r="B115">
        <v>8922.6434222827229</v>
      </c>
      <c r="C115">
        <v>5448.3690937460442</v>
      </c>
      <c r="D115">
        <v>0</v>
      </c>
      <c r="E115">
        <v>1105.2789644418715</v>
      </c>
      <c r="F115">
        <v>730742.82409919053</v>
      </c>
      <c r="G115">
        <v>0</v>
      </c>
    </row>
    <row r="116" spans="1:7" x14ac:dyDescent="0.2">
      <c r="A116" s="3">
        <f t="shared" si="1"/>
        <v>46568</v>
      </c>
      <c r="B116">
        <v>8887.635736536773</v>
      </c>
      <c r="C116">
        <v>6356.5402177236729</v>
      </c>
      <c r="D116">
        <v>0</v>
      </c>
      <c r="E116">
        <v>1094.5375560979394</v>
      </c>
      <c r="F116">
        <v>732969.05006343604</v>
      </c>
      <c r="G116">
        <v>790.65837726691325</v>
      </c>
    </row>
    <row r="117" spans="1:7" x14ac:dyDescent="0.2">
      <c r="A117" s="3">
        <f t="shared" si="1"/>
        <v>46599</v>
      </c>
      <c r="B117">
        <v>8845.5503992901286</v>
      </c>
      <c r="C117">
        <v>5386.4799022449852</v>
      </c>
      <c r="D117">
        <v>0</v>
      </c>
      <c r="E117">
        <v>1090.4564579537262</v>
      </c>
      <c r="F117">
        <v>736129.73784702283</v>
      </c>
      <c r="G117">
        <v>0</v>
      </c>
    </row>
    <row r="118" spans="1:7" x14ac:dyDescent="0.2">
      <c r="A118" s="3">
        <f t="shared" si="1"/>
        <v>46630</v>
      </c>
      <c r="B118">
        <v>8809.5703523480624</v>
      </c>
      <c r="C118">
        <v>5354.7941934471037</v>
      </c>
      <c r="D118">
        <v>0</v>
      </c>
      <c r="E118">
        <v>1086.395082605522</v>
      </c>
      <c r="F118">
        <v>739293.60822513909</v>
      </c>
      <c r="G118">
        <v>0</v>
      </c>
    </row>
    <row r="119" spans="1:7" x14ac:dyDescent="0.2">
      <c r="A119" s="3">
        <f t="shared" si="1"/>
        <v>46660</v>
      </c>
      <c r="B119">
        <v>8765.6477418062714</v>
      </c>
      <c r="C119">
        <v>5534.7656779899453</v>
      </c>
      <c r="D119">
        <v>0</v>
      </c>
      <c r="E119">
        <v>1083.1928086272551</v>
      </c>
      <c r="F119">
        <v>742240.20577870402</v>
      </c>
      <c r="G119">
        <v>0</v>
      </c>
    </row>
    <row r="120" spans="1:7" x14ac:dyDescent="0.2">
      <c r="A120" s="3">
        <f t="shared" si="1"/>
        <v>46691</v>
      </c>
      <c r="B120">
        <v>8659.8539926060766</v>
      </c>
      <c r="C120">
        <v>11141.340221833025</v>
      </c>
      <c r="D120">
        <v>0</v>
      </c>
      <c r="E120">
        <v>1072.1605347032548</v>
      </c>
      <c r="F120">
        <v>739488.65151657152</v>
      </c>
      <c r="G120">
        <v>5812.9441807119156</v>
      </c>
    </row>
    <row r="121" spans="1:7" x14ac:dyDescent="0.2">
      <c r="A121" s="3">
        <f t="shared" si="1"/>
        <v>46721</v>
      </c>
      <c r="B121">
        <v>8616.6307693282943</v>
      </c>
      <c r="C121">
        <v>5861.7109103882331</v>
      </c>
      <c r="D121">
        <v>0</v>
      </c>
      <c r="E121">
        <v>1069.0091014954053</v>
      </c>
      <c r="F121">
        <v>741973.68134346057</v>
      </c>
      <c r="G121">
        <v>0</v>
      </c>
    </row>
    <row r="122" spans="1:7" x14ac:dyDescent="0.2">
      <c r="A122" s="3">
        <f t="shared" si="1"/>
        <v>46752</v>
      </c>
      <c r="B122">
        <v>8602.0280984718338</v>
      </c>
      <c r="C122">
        <v>5450.4144434949258</v>
      </c>
      <c r="D122">
        <v>0</v>
      </c>
      <c r="E122">
        <v>1064.8464753938249</v>
      </c>
      <c r="F122">
        <v>744862.25300857844</v>
      </c>
      <c r="G122">
        <v>0</v>
      </c>
    </row>
    <row r="123" spans="1:7" x14ac:dyDescent="0.2">
      <c r="A123" s="3">
        <f t="shared" si="1"/>
        <v>46783</v>
      </c>
      <c r="B123">
        <v>8558.3223861921269</v>
      </c>
      <c r="C123">
        <v>5503.0261263745788</v>
      </c>
      <c r="D123">
        <v>0</v>
      </c>
      <c r="E123">
        <v>1059.2324694015238</v>
      </c>
      <c r="F123">
        <v>747643.4274652648</v>
      </c>
      <c r="G123">
        <v>0</v>
      </c>
    </row>
    <row r="124" spans="1:7" x14ac:dyDescent="0.2">
      <c r="A124" s="3">
        <f t="shared" si="1"/>
        <v>46812</v>
      </c>
      <c r="B124">
        <v>8519.4467752450328</v>
      </c>
      <c r="C124">
        <v>5505.3920906420017</v>
      </c>
      <c r="D124">
        <v>0</v>
      </c>
      <c r="E124">
        <v>1055.2999724313418</v>
      </c>
      <c r="F124">
        <v>750390.22429810918</v>
      </c>
      <c r="G124">
        <v>0</v>
      </c>
    </row>
    <row r="125" spans="1:7" x14ac:dyDescent="0.2">
      <c r="A125" s="3">
        <f t="shared" si="1"/>
        <v>46843</v>
      </c>
      <c r="B125">
        <v>8488.0126661312697</v>
      </c>
      <c r="C125">
        <v>5419.1975810695449</v>
      </c>
      <c r="D125">
        <v>0</v>
      </c>
      <c r="E125">
        <v>1051.3672499882437</v>
      </c>
      <c r="F125">
        <v>753198.60947304917</v>
      </c>
      <c r="G125">
        <v>0</v>
      </c>
    </row>
    <row r="126" spans="1:7" x14ac:dyDescent="0.2">
      <c r="A126" s="3">
        <f t="shared" si="1"/>
        <v>46873</v>
      </c>
      <c r="B126">
        <v>8456.9675609286132</v>
      </c>
      <c r="C126">
        <v>5522.3737805892215</v>
      </c>
      <c r="D126">
        <v>0</v>
      </c>
      <c r="E126">
        <v>1047.464701225987</v>
      </c>
      <c r="F126">
        <v>755879.63602747279</v>
      </c>
      <c r="G126">
        <v>0</v>
      </c>
    </row>
    <row r="127" spans="1:7" x14ac:dyDescent="0.2">
      <c r="A127" s="3">
        <f t="shared" si="1"/>
        <v>46904</v>
      </c>
      <c r="B127">
        <v>8427.0330677320217</v>
      </c>
      <c r="C127">
        <v>5450.4081344934166</v>
      </c>
      <c r="D127">
        <v>0</v>
      </c>
      <c r="E127">
        <v>1043.9167311876847</v>
      </c>
      <c r="F127">
        <v>758609.06759987201</v>
      </c>
      <c r="G127">
        <v>0</v>
      </c>
    </row>
    <row r="128" spans="1:7" x14ac:dyDescent="0.2">
      <c r="A128" s="3">
        <f t="shared" si="1"/>
        <v>46934</v>
      </c>
      <c r="B128">
        <v>8160.677504163089</v>
      </c>
      <c r="C128">
        <v>36487.531737048259</v>
      </c>
      <c r="D128">
        <v>0</v>
      </c>
      <c r="E128">
        <v>1021.1824038399554</v>
      </c>
      <c r="F128">
        <v>730060.6312491009</v>
      </c>
      <c r="G128">
        <v>31070.272678002992</v>
      </c>
    </row>
    <row r="129" spans="1:7" x14ac:dyDescent="0.2">
      <c r="A129" s="3">
        <f t="shared" si="1"/>
        <v>46965</v>
      </c>
      <c r="B129">
        <v>8065.8590228537341</v>
      </c>
      <c r="C129">
        <v>12427.205298421326</v>
      </c>
      <c r="D129">
        <v>0</v>
      </c>
      <c r="E129">
        <v>1009.7284809193392</v>
      </c>
      <c r="F129">
        <v>725459.06573583675</v>
      </c>
      <c r="G129">
        <v>7224.7544395581226</v>
      </c>
    </row>
    <row r="130" spans="1:7" x14ac:dyDescent="0.2">
      <c r="A130" s="3">
        <f t="shared" si="1"/>
        <v>46996</v>
      </c>
      <c r="B130">
        <v>8033.7806752267379</v>
      </c>
      <c r="C130">
        <v>5171.3280557971011</v>
      </c>
      <c r="D130">
        <v>0</v>
      </c>
      <c r="E130">
        <v>1005.9498367790513</v>
      </c>
      <c r="F130">
        <v>728080.22755195468</v>
      </c>
      <c r="G130">
        <v>0</v>
      </c>
    </row>
    <row r="131" spans="1:7" x14ac:dyDescent="0.2">
      <c r="A131" s="3">
        <f t="shared" si="1"/>
        <v>47026</v>
      </c>
      <c r="B131">
        <v>7994.2474416285313</v>
      </c>
      <c r="C131">
        <v>5339.0110355791048</v>
      </c>
      <c r="D131">
        <v>0</v>
      </c>
      <c r="E131">
        <v>1002.982446601777</v>
      </c>
      <c r="F131">
        <v>730499.90334039577</v>
      </c>
      <c r="G131">
        <v>0</v>
      </c>
    </row>
    <row r="132" spans="1:7" x14ac:dyDescent="0.2">
      <c r="A132" s="3">
        <f t="shared" ref="A132:A195" si="2">DATE(YEAR(A131),MONTH(A131)+2,1)-1</f>
        <v>47057</v>
      </c>
      <c r="B132">
        <v>7953.7092529645661</v>
      </c>
      <c r="C132">
        <v>5180.706539879493</v>
      </c>
      <c r="D132">
        <v>0</v>
      </c>
      <c r="E132">
        <v>999.56363932696422</v>
      </c>
      <c r="F132">
        <v>733043.31466540624</v>
      </c>
      <c r="G132">
        <v>0</v>
      </c>
    </row>
    <row r="133" spans="1:7" x14ac:dyDescent="0.2">
      <c r="A133" s="3">
        <f t="shared" si="2"/>
        <v>47087</v>
      </c>
      <c r="B133">
        <v>7914.3612581832813</v>
      </c>
      <c r="C133">
        <v>5680.8399105878925</v>
      </c>
      <c r="D133">
        <v>0</v>
      </c>
      <c r="E133">
        <v>996.61381164856675</v>
      </c>
      <c r="F133">
        <v>735052.8752964153</v>
      </c>
      <c r="G133">
        <v>0</v>
      </c>
    </row>
    <row r="134" spans="1:7" x14ac:dyDescent="0.2">
      <c r="A134" s="3">
        <f t="shared" si="2"/>
        <v>47118</v>
      </c>
      <c r="B134">
        <v>7902.8225004055539</v>
      </c>
      <c r="C134">
        <v>5292.3612789613644</v>
      </c>
      <c r="D134">
        <v>0</v>
      </c>
      <c r="E134">
        <v>992.71112510131741</v>
      </c>
      <c r="F134">
        <v>737445.39663447032</v>
      </c>
      <c r="G134">
        <v>0</v>
      </c>
    </row>
    <row r="135" spans="1:7" x14ac:dyDescent="0.2">
      <c r="A135" s="3">
        <f t="shared" si="2"/>
        <v>47149</v>
      </c>
      <c r="B135">
        <v>7863.0308348391791</v>
      </c>
      <c r="C135">
        <v>5341.6686056890458</v>
      </c>
      <c r="D135">
        <v>0</v>
      </c>
      <c r="E135">
        <v>987.39548610715849</v>
      </c>
      <c r="F135">
        <v>739760.72626159852</v>
      </c>
      <c r="G135">
        <v>0</v>
      </c>
    </row>
    <row r="136" spans="1:7" x14ac:dyDescent="0.2">
      <c r="A136" s="3">
        <f t="shared" si="2"/>
        <v>47177</v>
      </c>
      <c r="B136">
        <v>7827.8979583448672</v>
      </c>
      <c r="C136">
        <v>5342.7744025334277</v>
      </c>
      <c r="D136">
        <v>0</v>
      </c>
      <c r="E136">
        <v>983.71128838683546</v>
      </c>
      <c r="F136">
        <v>742045.95462882193</v>
      </c>
      <c r="G136">
        <v>0</v>
      </c>
    </row>
    <row r="137" spans="1:7" x14ac:dyDescent="0.2">
      <c r="A137" s="3">
        <f t="shared" si="2"/>
        <v>47208</v>
      </c>
      <c r="B137">
        <v>7799.9409393552032</v>
      </c>
      <c r="C137">
        <v>5260.3615165244819</v>
      </c>
      <c r="D137">
        <v>0</v>
      </c>
      <c r="E137">
        <v>980.02607269644363</v>
      </c>
      <c r="F137">
        <v>744391.74540057196</v>
      </c>
      <c r="G137">
        <v>0</v>
      </c>
    </row>
    <row r="138" spans="1:7" x14ac:dyDescent="0.2">
      <c r="A138" s="3">
        <f t="shared" si="2"/>
        <v>47238</v>
      </c>
      <c r="B138">
        <v>7627.4327138555691</v>
      </c>
      <c r="C138">
        <v>20334.713204849391</v>
      </c>
      <c r="D138">
        <v>0</v>
      </c>
      <c r="E138">
        <v>961.99219633469693</v>
      </c>
      <c r="F138">
        <v>731511.1956257869</v>
      </c>
      <c r="G138">
        <v>15075.697877637209</v>
      </c>
    </row>
    <row r="139" spans="1:7" x14ac:dyDescent="0.2">
      <c r="A139" s="3">
        <f t="shared" si="2"/>
        <v>47269</v>
      </c>
      <c r="B139">
        <v>7601.6401719526293</v>
      </c>
      <c r="C139">
        <v>5190.2541768386272</v>
      </c>
      <c r="D139">
        <v>0</v>
      </c>
      <c r="E139">
        <v>958.72386637495424</v>
      </c>
      <c r="F139">
        <v>733738.93303489685</v>
      </c>
      <c r="G139">
        <v>0</v>
      </c>
    </row>
    <row r="140" spans="1:7" x14ac:dyDescent="0.2">
      <c r="A140" s="3">
        <f t="shared" si="2"/>
        <v>47299</v>
      </c>
      <c r="B140">
        <v>7571.2539289590777</v>
      </c>
      <c r="C140">
        <v>5337.3952334437645</v>
      </c>
      <c r="D140">
        <v>0</v>
      </c>
      <c r="E140">
        <v>955.50782277826045</v>
      </c>
      <c r="F140">
        <v>735794.71959507384</v>
      </c>
      <c r="G140">
        <v>0</v>
      </c>
    </row>
    <row r="141" spans="1:7" x14ac:dyDescent="0.2">
      <c r="A141" s="3">
        <f t="shared" si="2"/>
        <v>47330</v>
      </c>
      <c r="B141">
        <v>7480.4483481407842</v>
      </c>
      <c r="C141">
        <v>12032.714922364581</v>
      </c>
      <c r="D141">
        <v>0</v>
      </c>
      <c r="E141">
        <v>939.39839216250857</v>
      </c>
      <c r="F141">
        <v>731082.66853206407</v>
      </c>
      <c r="G141">
        <v>6893.3533881623234</v>
      </c>
    </row>
    <row r="142" spans="1:7" x14ac:dyDescent="0.2">
      <c r="A142" s="3">
        <f t="shared" si="2"/>
        <v>47361</v>
      </c>
      <c r="B142">
        <v>7451.1085459412288</v>
      </c>
      <c r="C142">
        <v>5108.8185946052263</v>
      </c>
      <c r="D142">
        <v>0</v>
      </c>
      <c r="E142">
        <v>935.8563192244618</v>
      </c>
      <c r="F142">
        <v>733263.72339714505</v>
      </c>
      <c r="G142">
        <v>0</v>
      </c>
    </row>
    <row r="143" spans="1:7" x14ac:dyDescent="0.2">
      <c r="A143" s="3">
        <f t="shared" si="2"/>
        <v>47391</v>
      </c>
      <c r="B143">
        <v>7414.7792434815947</v>
      </c>
      <c r="C143">
        <v>5264.9086047332685</v>
      </c>
      <c r="D143">
        <v>0</v>
      </c>
      <c r="E143">
        <v>933.08023605933408</v>
      </c>
      <c r="F143">
        <v>735257.44597721763</v>
      </c>
      <c r="G143">
        <v>0</v>
      </c>
    </row>
    <row r="144" spans="1:7" x14ac:dyDescent="0.2">
      <c r="A144" s="3">
        <f t="shared" si="2"/>
        <v>47422</v>
      </c>
      <c r="B144">
        <v>7377.3183411493374</v>
      </c>
      <c r="C144">
        <v>5114.817756777019</v>
      </c>
      <c r="D144">
        <v>0</v>
      </c>
      <c r="E144">
        <v>929.87914761803495</v>
      </c>
      <c r="F144">
        <v>737369.11204718251</v>
      </c>
      <c r="G144">
        <v>0</v>
      </c>
    </row>
    <row r="145" spans="1:7" x14ac:dyDescent="0.2">
      <c r="A145" s="3">
        <f t="shared" si="2"/>
        <v>47452</v>
      </c>
      <c r="B145">
        <v>7341.0814583227457</v>
      </c>
      <c r="C145">
        <v>5583.6405208676415</v>
      </c>
      <c r="D145">
        <v>0</v>
      </c>
      <c r="E145">
        <v>927.11954102060361</v>
      </c>
      <c r="F145">
        <v>738980.71550009679</v>
      </c>
      <c r="G145">
        <v>0</v>
      </c>
    </row>
    <row r="146" spans="1:7" x14ac:dyDescent="0.2">
      <c r="A146" s="3">
        <f t="shared" si="2"/>
        <v>47483</v>
      </c>
      <c r="B146">
        <v>7262.9950169699023</v>
      </c>
      <c r="C146">
        <v>12940.874108922129</v>
      </c>
      <c r="D146">
        <v>0</v>
      </c>
      <c r="E146">
        <v>911.0354560175806</v>
      </c>
      <c r="F146">
        <v>733174.79058875877</v>
      </c>
      <c r="G146">
        <v>7773.4912878839186</v>
      </c>
    </row>
    <row r="147" spans="1:7" x14ac:dyDescent="0.2">
      <c r="A147" s="3">
        <f t="shared" si="2"/>
        <v>47514</v>
      </c>
      <c r="B147">
        <v>7226.7951016104325</v>
      </c>
      <c r="C147">
        <v>5213.9853417521599</v>
      </c>
      <c r="D147">
        <v>0</v>
      </c>
      <c r="E147">
        <v>906.04637464123027</v>
      </c>
      <c r="F147">
        <v>735066.84602925356</v>
      </c>
      <c r="G147">
        <v>0</v>
      </c>
    </row>
    <row r="148" spans="1:7" x14ac:dyDescent="0.2">
      <c r="A148" s="3">
        <f t="shared" si="2"/>
        <v>47542</v>
      </c>
      <c r="B148">
        <v>7195.0864799121036</v>
      </c>
      <c r="C148">
        <v>5213.9608362284298</v>
      </c>
      <c r="D148">
        <v>0</v>
      </c>
      <c r="E148">
        <v>902.64604452894082</v>
      </c>
      <c r="F148">
        <v>736932.64423468732</v>
      </c>
      <c r="G148">
        <v>0</v>
      </c>
    </row>
    <row r="149" spans="1:7" x14ac:dyDescent="0.2">
      <c r="A149" s="3">
        <f t="shared" si="2"/>
        <v>47573</v>
      </c>
      <c r="B149">
        <v>7170.2998275517803</v>
      </c>
      <c r="C149">
        <v>5135.1690729227648</v>
      </c>
      <c r="D149">
        <v>0</v>
      </c>
      <c r="E149">
        <v>899.24363186921062</v>
      </c>
      <c r="F149">
        <v>738857.84839101334</v>
      </c>
      <c r="G149">
        <v>0</v>
      </c>
    </row>
    <row r="150" spans="1:7" x14ac:dyDescent="0.2">
      <c r="A150" s="3">
        <f t="shared" si="2"/>
        <v>47603</v>
      </c>
      <c r="B150">
        <v>7142.9736229645478</v>
      </c>
      <c r="C150">
        <v>5223.4281494771021</v>
      </c>
      <c r="D150">
        <v>0</v>
      </c>
      <c r="E150">
        <v>895.86651594152181</v>
      </c>
      <c r="F150">
        <v>740672.90643819689</v>
      </c>
      <c r="G150">
        <v>0</v>
      </c>
    </row>
    <row r="151" spans="1:7" x14ac:dyDescent="0.2">
      <c r="A151" s="3">
        <f t="shared" si="2"/>
        <v>47634</v>
      </c>
      <c r="B151">
        <v>7119.1776830525341</v>
      </c>
      <c r="C151">
        <v>5157.7854229839504</v>
      </c>
      <c r="D151">
        <v>0</v>
      </c>
      <c r="E151">
        <v>892.80724853118829</v>
      </c>
      <c r="F151">
        <v>742534.81461966888</v>
      </c>
      <c r="G151">
        <v>0</v>
      </c>
    </row>
    <row r="152" spans="1:7" x14ac:dyDescent="0.2">
      <c r="A152" s="3">
        <f t="shared" si="2"/>
        <v>47664</v>
      </c>
      <c r="B152">
        <v>7091.1656083442331</v>
      </c>
      <c r="C152">
        <v>5209.6889823872025</v>
      </c>
      <c r="D152">
        <v>0</v>
      </c>
      <c r="E152">
        <v>889.79614919875041</v>
      </c>
      <c r="F152">
        <v>744321.81252710358</v>
      </c>
      <c r="G152">
        <v>0</v>
      </c>
    </row>
    <row r="153" spans="1:7" x14ac:dyDescent="0.2">
      <c r="A153" s="3">
        <f t="shared" si="2"/>
        <v>47695</v>
      </c>
      <c r="B153">
        <v>7057.5700209974366</v>
      </c>
      <c r="C153">
        <v>6621.5634441806515</v>
      </c>
      <c r="D153">
        <v>0</v>
      </c>
      <c r="E153">
        <v>881.49657301770287</v>
      </c>
      <c r="F153">
        <v>744673.55398709967</v>
      </c>
      <c r="G153">
        <v>1479.1310133977454</v>
      </c>
    </row>
    <row r="154" spans="1:7" x14ac:dyDescent="0.2">
      <c r="A154" s="3">
        <f t="shared" si="2"/>
        <v>47726</v>
      </c>
      <c r="B154">
        <v>6949.7118504239806</v>
      </c>
      <c r="C154">
        <v>16305.120968672096</v>
      </c>
      <c r="D154">
        <v>0</v>
      </c>
      <c r="E154">
        <v>870.0033233577692</v>
      </c>
      <c r="F154">
        <v>735245.74974646932</v>
      </c>
      <c r="G154">
        <v>11261.793415923319</v>
      </c>
    </row>
    <row r="155" spans="1:7" x14ac:dyDescent="0.2">
      <c r="A155" s="3">
        <f t="shared" si="2"/>
        <v>47756</v>
      </c>
      <c r="B155">
        <v>6916.0632752352485</v>
      </c>
      <c r="C155">
        <v>5188.6386141034709</v>
      </c>
      <c r="D155">
        <v>0</v>
      </c>
      <c r="E155">
        <v>867.40493742961917</v>
      </c>
      <c r="F155">
        <v>736893.27969742473</v>
      </c>
      <c r="G155">
        <v>0</v>
      </c>
    </row>
    <row r="156" spans="1:7" x14ac:dyDescent="0.2">
      <c r="A156" s="3">
        <f t="shared" si="2"/>
        <v>47787</v>
      </c>
      <c r="B156">
        <v>6881.1704866500031</v>
      </c>
      <c r="C156">
        <v>5046.4356048555082</v>
      </c>
      <c r="D156">
        <v>0</v>
      </c>
      <c r="E156">
        <v>864.4064653128811</v>
      </c>
      <c r="F156">
        <v>738652.88298473146</v>
      </c>
      <c r="G156">
        <v>0</v>
      </c>
    </row>
    <row r="157" spans="1:7" x14ac:dyDescent="0.2">
      <c r="A157" s="3">
        <f t="shared" si="2"/>
        <v>47817</v>
      </c>
      <c r="B157">
        <v>6801.4772019102293</v>
      </c>
      <c r="C157">
        <v>11066.302075705138</v>
      </c>
      <c r="D157">
        <v>0</v>
      </c>
      <c r="E157">
        <v>855.42431644624776</v>
      </c>
      <c r="F157">
        <v>734323.79334888596</v>
      </c>
      <c r="G157">
        <v>5615.2879741634752</v>
      </c>
    </row>
    <row r="158" spans="1:7" x14ac:dyDescent="0.2">
      <c r="A158" s="3">
        <f t="shared" si="2"/>
        <v>47848</v>
      </c>
      <c r="B158">
        <v>6643.5207469174456</v>
      </c>
      <c r="C158">
        <v>17287.408811530757</v>
      </c>
      <c r="D158">
        <v>0</v>
      </c>
      <c r="E158">
        <v>840.04889861983304</v>
      </c>
      <c r="F158">
        <v>723626.37911982287</v>
      </c>
      <c r="G158">
        <v>12268.392236041514</v>
      </c>
    </row>
    <row r="159" spans="1:7" x14ac:dyDescent="0.2">
      <c r="A159" s="3">
        <f t="shared" si="2"/>
        <v>47879</v>
      </c>
      <c r="B159">
        <v>6610.8470298817338</v>
      </c>
      <c r="C159">
        <v>5061.9764485124288</v>
      </c>
      <c r="D159">
        <v>0</v>
      </c>
      <c r="E159">
        <v>835.34473670880391</v>
      </c>
      <c r="F159">
        <v>725110.97679458652</v>
      </c>
      <c r="G159">
        <v>0</v>
      </c>
    </row>
    <row r="160" spans="1:7" x14ac:dyDescent="0.2">
      <c r="A160" s="3">
        <f t="shared" si="2"/>
        <v>47907</v>
      </c>
      <c r="B160">
        <v>6582.4993294572987</v>
      </c>
      <c r="C160">
        <v>5060.8440946644787</v>
      </c>
      <c r="D160">
        <v>0</v>
      </c>
      <c r="E160">
        <v>832.17660898459656</v>
      </c>
      <c r="F160">
        <v>726573.10918763874</v>
      </c>
      <c r="G160">
        <v>0</v>
      </c>
    </row>
    <row r="161" spans="1:7" x14ac:dyDescent="0.2">
      <c r="A161" s="3">
        <f t="shared" si="2"/>
        <v>47938</v>
      </c>
      <c r="B161">
        <v>6468.5482380000331</v>
      </c>
      <c r="C161">
        <v>15867.631538995347</v>
      </c>
      <c r="D161">
        <v>0</v>
      </c>
      <c r="E161">
        <v>821.54534710446262</v>
      </c>
      <c r="F161">
        <v>717126.69230568071</v>
      </c>
      <c r="G161">
        <v>10948.403753715407</v>
      </c>
    </row>
    <row r="162" spans="1:7" x14ac:dyDescent="0.2">
      <c r="A162" s="3">
        <f t="shared" si="2"/>
        <v>47968</v>
      </c>
      <c r="B162">
        <v>6444.9558802123956</v>
      </c>
      <c r="C162">
        <v>5000.8698230771388</v>
      </c>
      <c r="D162">
        <v>0</v>
      </c>
      <c r="E162">
        <v>818.41828818421334</v>
      </c>
      <c r="F162">
        <v>718516.50605798338</v>
      </c>
      <c r="G162">
        <v>0</v>
      </c>
    </row>
    <row r="163" spans="1:7" x14ac:dyDescent="0.2">
      <c r="A163" s="3">
        <f t="shared" si="2"/>
        <v>47999</v>
      </c>
      <c r="B163">
        <v>6424.6089514584664</v>
      </c>
      <c r="C163">
        <v>4938.2915186525297</v>
      </c>
      <c r="D163">
        <v>0</v>
      </c>
      <c r="E163">
        <v>815.59205181983373</v>
      </c>
      <c r="F163">
        <v>719952.85836091614</v>
      </c>
      <c r="G163">
        <v>0</v>
      </c>
    </row>
    <row r="164" spans="1:7" x14ac:dyDescent="0.2">
      <c r="A164" s="3">
        <f t="shared" si="2"/>
        <v>48029</v>
      </c>
      <c r="B164">
        <v>6344.1759377493199</v>
      </c>
      <c r="C164">
        <v>13110.571981490939</v>
      </c>
      <c r="D164">
        <v>0</v>
      </c>
      <c r="E164">
        <v>805.70384970217822</v>
      </c>
      <c r="F164">
        <v>713147.91591792228</v>
      </c>
      <c r="G164">
        <v>8269.4070179303289</v>
      </c>
    </row>
    <row r="165" spans="1:7" x14ac:dyDescent="0.2">
      <c r="A165" s="3">
        <f t="shared" si="2"/>
        <v>48060</v>
      </c>
      <c r="B165">
        <v>6314.8486518253794</v>
      </c>
      <c r="C165">
        <v>4872.7177892138889</v>
      </c>
      <c r="D165">
        <v>0</v>
      </c>
      <c r="E165">
        <v>803.29734086250596</v>
      </c>
      <c r="F165">
        <v>714546.65577328228</v>
      </c>
      <c r="G165">
        <v>0</v>
      </c>
    </row>
    <row r="166" spans="1:7" x14ac:dyDescent="0.2">
      <c r="A166" s="3">
        <f t="shared" si="2"/>
        <v>48091</v>
      </c>
      <c r="B166">
        <v>6191.8237540343362</v>
      </c>
      <c r="C166">
        <v>19819.190925185238</v>
      </c>
      <c r="D166">
        <v>0</v>
      </c>
      <c r="E166">
        <v>786.53657710042137</v>
      </c>
      <c r="F166">
        <v>700894.14880859037</v>
      </c>
      <c r="G166">
        <v>15069.065838691575</v>
      </c>
    </row>
    <row r="167" spans="1:7" x14ac:dyDescent="0.2">
      <c r="A167" s="3">
        <f t="shared" si="2"/>
        <v>48121</v>
      </c>
      <c r="B167">
        <v>6162.557396946283</v>
      </c>
      <c r="C167">
        <v>4885.3912800261523</v>
      </c>
      <c r="D167">
        <v>0</v>
      </c>
      <c r="E167">
        <v>784.19872646512022</v>
      </c>
      <c r="F167">
        <v>702133.96533227863</v>
      </c>
      <c r="G167">
        <v>0</v>
      </c>
    </row>
    <row r="168" spans="1:7" x14ac:dyDescent="0.2">
      <c r="A168" s="3">
        <f t="shared" si="2"/>
        <v>48152</v>
      </c>
      <c r="B168">
        <v>6131.9330874132538</v>
      </c>
      <c r="C168">
        <v>4750.7346370628393</v>
      </c>
      <c r="D168">
        <v>0</v>
      </c>
      <c r="E168">
        <v>781.48412744461984</v>
      </c>
      <c r="F168">
        <v>703481.84989503119</v>
      </c>
      <c r="G168">
        <v>0</v>
      </c>
    </row>
    <row r="169" spans="1:7" x14ac:dyDescent="0.2">
      <c r="A169" s="3">
        <f t="shared" si="2"/>
        <v>48182</v>
      </c>
      <c r="B169">
        <v>6101.7238858292667</v>
      </c>
      <c r="C169">
        <v>5162.1627875256836</v>
      </c>
      <c r="D169">
        <v>0</v>
      </c>
      <c r="E169">
        <v>779.16004353756057</v>
      </c>
      <c r="F169">
        <v>704391.85744991247</v>
      </c>
      <c r="G169">
        <v>0</v>
      </c>
    </row>
    <row r="170" spans="1:7" x14ac:dyDescent="0.2">
      <c r="A170" s="3">
        <f t="shared" si="2"/>
        <v>48213</v>
      </c>
      <c r="B170">
        <v>6016.1289053851542</v>
      </c>
      <c r="C170">
        <v>10810.20018863055</v>
      </c>
      <c r="D170">
        <v>0</v>
      </c>
      <c r="E170">
        <v>770.33006685426324</v>
      </c>
      <c r="F170">
        <v>699578.03227324295</v>
      </c>
      <c r="G170">
        <v>6016.0805359236965</v>
      </c>
    </row>
    <row r="171" spans="1:7" x14ac:dyDescent="0.2">
      <c r="A171" s="3">
        <f t="shared" si="2"/>
        <v>48244</v>
      </c>
      <c r="B171">
        <v>5987.0000252398358</v>
      </c>
      <c r="C171">
        <v>4833.8390442170275</v>
      </c>
      <c r="D171">
        <v>0</v>
      </c>
      <c r="E171">
        <v>765.93961670536498</v>
      </c>
      <c r="F171">
        <v>700712.65938384726</v>
      </c>
      <c r="G171">
        <v>0</v>
      </c>
    </row>
    <row r="172" spans="1:7" x14ac:dyDescent="0.2">
      <c r="A172" s="3">
        <f t="shared" si="2"/>
        <v>48273</v>
      </c>
      <c r="B172">
        <v>5962.0345399205316</v>
      </c>
      <c r="C172">
        <v>4831.9708239629854</v>
      </c>
      <c r="D172">
        <v>0</v>
      </c>
      <c r="E172">
        <v>763.005808857293</v>
      </c>
      <c r="F172">
        <v>701828.3352348489</v>
      </c>
      <c r="G172">
        <v>0</v>
      </c>
    </row>
    <row r="173" spans="1:7" x14ac:dyDescent="0.2">
      <c r="A173" s="3">
        <f t="shared" si="2"/>
        <v>48304</v>
      </c>
      <c r="B173">
        <v>5940.9437767123582</v>
      </c>
      <c r="C173">
        <v>4759.8241056159786</v>
      </c>
      <c r="D173">
        <v>0</v>
      </c>
      <c r="E173">
        <v>760.06784449614156</v>
      </c>
      <c r="F173">
        <v>702999.19695607445</v>
      </c>
      <c r="G173">
        <v>0</v>
      </c>
    </row>
    <row r="174" spans="1:7" x14ac:dyDescent="0.2">
      <c r="A174" s="3">
        <f t="shared" si="2"/>
        <v>48334</v>
      </c>
      <c r="B174">
        <v>5919.9735312642415</v>
      </c>
      <c r="C174">
        <v>4835.4289110937971</v>
      </c>
      <c r="D174">
        <v>0</v>
      </c>
      <c r="E174">
        <v>757.15144912574829</v>
      </c>
      <c r="F174">
        <v>704077.65093120444</v>
      </c>
      <c r="G174">
        <v>0</v>
      </c>
    </row>
    <row r="175" spans="1:7" x14ac:dyDescent="0.2">
      <c r="A175" s="3">
        <f t="shared" si="2"/>
        <v>48365</v>
      </c>
      <c r="B175">
        <v>5806.1301864725147</v>
      </c>
      <c r="C175">
        <v>16336.019080271886</v>
      </c>
      <c r="D175">
        <v>0</v>
      </c>
      <c r="E175">
        <v>742.10451936686968</v>
      </c>
      <c r="F175">
        <v>693557.87050624168</v>
      </c>
      <c r="G175">
        <v>11637.447516282267</v>
      </c>
    </row>
    <row r="176" spans="1:7" x14ac:dyDescent="0.2">
      <c r="A176" s="3">
        <f t="shared" si="2"/>
        <v>48395</v>
      </c>
      <c r="B176">
        <v>5784.1965948000316</v>
      </c>
      <c r="C176">
        <v>4652.5813676850566</v>
      </c>
      <c r="D176">
        <v>0</v>
      </c>
      <c r="E176">
        <v>739.56684304564601</v>
      </c>
      <c r="F176">
        <v>694690.89289733325</v>
      </c>
      <c r="G176">
        <v>0</v>
      </c>
    </row>
    <row r="177" spans="1:7" x14ac:dyDescent="0.2">
      <c r="A177" s="3">
        <f t="shared" si="2"/>
        <v>48426</v>
      </c>
      <c r="B177">
        <v>5757.9853727049649</v>
      </c>
      <c r="C177">
        <v>4681.3537970601001</v>
      </c>
      <c r="D177">
        <v>0</v>
      </c>
      <c r="E177">
        <v>737.35982435971403</v>
      </c>
      <c r="F177">
        <v>695772.3491388273</v>
      </c>
      <c r="G177">
        <v>0</v>
      </c>
    </row>
    <row r="178" spans="1:7" x14ac:dyDescent="0.2">
      <c r="A178" s="3">
        <f t="shared" si="2"/>
        <v>48457</v>
      </c>
      <c r="B178">
        <v>5734.706501441322</v>
      </c>
      <c r="C178">
        <v>4652.3989033262524</v>
      </c>
      <c r="D178">
        <v>0</v>
      </c>
      <c r="E178">
        <v>734.52164698767444</v>
      </c>
      <c r="F178">
        <v>696863.47497180267</v>
      </c>
      <c r="G178">
        <v>0</v>
      </c>
    </row>
    <row r="179" spans="1:7" x14ac:dyDescent="0.2">
      <c r="A179" s="3">
        <f t="shared" si="2"/>
        <v>48487</v>
      </c>
      <c r="B179">
        <v>5707.942879613388</v>
      </c>
      <c r="C179">
        <v>4778.284551153225</v>
      </c>
      <c r="D179">
        <v>0</v>
      </c>
      <c r="E179">
        <v>732.32807206443033</v>
      </c>
      <c r="F179">
        <v>697805.31083235284</v>
      </c>
      <c r="G179">
        <v>0</v>
      </c>
    </row>
    <row r="180" spans="1:7" x14ac:dyDescent="0.2">
      <c r="A180" s="3">
        <f t="shared" si="2"/>
        <v>48518</v>
      </c>
      <c r="B180">
        <v>5679.7289919408477</v>
      </c>
      <c r="C180">
        <v>4650.8005520426841</v>
      </c>
      <c r="D180">
        <v>0</v>
      </c>
      <c r="E180">
        <v>729.77997194480395</v>
      </c>
      <c r="F180">
        <v>698849.97113036003</v>
      </c>
      <c r="G180">
        <v>0</v>
      </c>
    </row>
    <row r="181" spans="1:7" x14ac:dyDescent="0.2">
      <c r="A181" s="3">
        <f t="shared" si="2"/>
        <v>48548</v>
      </c>
      <c r="B181">
        <v>5651.9982080671361</v>
      </c>
      <c r="C181">
        <v>5036.9074535975924</v>
      </c>
      <c r="D181">
        <v>0</v>
      </c>
      <c r="E181">
        <v>727.59917673176039</v>
      </c>
      <c r="F181">
        <v>699484.09061823587</v>
      </c>
      <c r="G181">
        <v>0</v>
      </c>
    </row>
    <row r="182" spans="1:7" x14ac:dyDescent="0.2">
      <c r="A182" s="3">
        <f t="shared" si="2"/>
        <v>48579</v>
      </c>
      <c r="B182">
        <v>5609.0184067448326</v>
      </c>
      <c r="C182">
        <v>11478.531942887224</v>
      </c>
      <c r="D182">
        <v>0</v>
      </c>
      <c r="E182">
        <v>718.05513569989603</v>
      </c>
      <c r="F182">
        <v>693643.82732856076</v>
      </c>
      <c r="G182">
        <v>6788.3476883028388</v>
      </c>
    </row>
    <row r="183" spans="1:7" x14ac:dyDescent="0.2">
      <c r="A183" s="3">
        <f t="shared" si="2"/>
        <v>48610</v>
      </c>
      <c r="B183">
        <v>5582.0574987770306</v>
      </c>
      <c r="C183">
        <v>4724.7515583960767</v>
      </c>
      <c r="D183">
        <v>0</v>
      </c>
      <c r="E183">
        <v>713.92475121949553</v>
      </c>
      <c r="F183">
        <v>694480.38236431649</v>
      </c>
      <c r="G183">
        <v>0</v>
      </c>
    </row>
    <row r="184" spans="1:7" x14ac:dyDescent="0.2">
      <c r="A184" s="3">
        <f t="shared" si="2"/>
        <v>48638</v>
      </c>
      <c r="B184">
        <v>5515.6296195215509</v>
      </c>
      <c r="C184">
        <v>10465.13998102625</v>
      </c>
      <c r="D184">
        <v>0</v>
      </c>
      <c r="E184">
        <v>700.91706332751892</v>
      </c>
      <c r="F184">
        <v>689523.96477430325</v>
      </c>
      <c r="G184">
        <v>5778.1196764256811</v>
      </c>
    </row>
    <row r="185" spans="1:7" x14ac:dyDescent="0.2">
      <c r="A185" s="3">
        <f t="shared" si="2"/>
        <v>48669</v>
      </c>
      <c r="B185">
        <v>5496.7450648615504</v>
      </c>
      <c r="C185">
        <v>4618.393035395984</v>
      </c>
      <c r="D185">
        <v>0</v>
      </c>
      <c r="E185">
        <v>698.19326492334471</v>
      </c>
      <c r="F185">
        <v>690393.18031431199</v>
      </c>
      <c r="G185">
        <v>0</v>
      </c>
    </row>
    <row r="186" spans="1:7" x14ac:dyDescent="0.2">
      <c r="A186" s="3">
        <f t="shared" si="2"/>
        <v>48699</v>
      </c>
      <c r="B186">
        <v>5477.9060399104683</v>
      </c>
      <c r="C186">
        <v>4688.462241697137</v>
      </c>
      <c r="D186">
        <v>0</v>
      </c>
      <c r="E186">
        <v>695.48909272521155</v>
      </c>
      <c r="F186">
        <v>691177.06042186683</v>
      </c>
      <c r="G186">
        <v>0</v>
      </c>
    </row>
    <row r="187" spans="1:7" x14ac:dyDescent="0.2">
      <c r="A187" s="3">
        <f t="shared" si="2"/>
        <v>48730</v>
      </c>
      <c r="B187">
        <v>5374.2912196455227</v>
      </c>
      <c r="C187">
        <v>18355.357618844504</v>
      </c>
      <c r="D187">
        <v>0</v>
      </c>
      <c r="E187">
        <v>685.31603622122793</v>
      </c>
      <c r="F187">
        <v>678201.38673749974</v>
      </c>
      <c r="G187">
        <v>13809.688047341979</v>
      </c>
    </row>
    <row r="188" spans="1:7" x14ac:dyDescent="0.2">
      <c r="A188" s="3">
        <f t="shared" si="2"/>
        <v>48760</v>
      </c>
      <c r="B188">
        <v>5354.5409488677824</v>
      </c>
      <c r="C188">
        <v>4501.7247552349772</v>
      </c>
      <c r="D188">
        <v>0</v>
      </c>
      <c r="E188">
        <v>682.94303327524665</v>
      </c>
      <c r="F188">
        <v>679049.00176693837</v>
      </c>
      <c r="G188">
        <v>0</v>
      </c>
    </row>
    <row r="189" spans="1:7" x14ac:dyDescent="0.2">
      <c r="A189" s="3">
        <f t="shared" si="2"/>
        <v>48791</v>
      </c>
      <c r="B189">
        <v>5246.594286172116</v>
      </c>
      <c r="C189">
        <v>21343.128998354015</v>
      </c>
      <c r="D189">
        <v>0</v>
      </c>
      <c r="E189">
        <v>672.54544492555101</v>
      </c>
      <c r="F189">
        <v>662958.51051963679</v>
      </c>
      <c r="G189">
        <v>16918.605403111833</v>
      </c>
    </row>
    <row r="190" spans="1:7" x14ac:dyDescent="0.2">
      <c r="A190" s="3">
        <f t="shared" si="2"/>
        <v>48822</v>
      </c>
      <c r="B190">
        <v>5225.8791408077586</v>
      </c>
      <c r="C190">
        <v>4396.6948098823805</v>
      </c>
      <c r="D190">
        <v>0</v>
      </c>
      <c r="E190">
        <v>669.91641515447839</v>
      </c>
      <c r="F190">
        <v>663780.28775613348</v>
      </c>
      <c r="G190">
        <v>0</v>
      </c>
    </row>
    <row r="191" spans="1:7" x14ac:dyDescent="0.2">
      <c r="A191" s="3">
        <f t="shared" si="2"/>
        <v>48852</v>
      </c>
      <c r="B191">
        <v>5201.9184571154537</v>
      </c>
      <c r="C191">
        <v>4514.1318249214246</v>
      </c>
      <c r="D191">
        <v>0</v>
      </c>
      <c r="E191">
        <v>667.89572683350184</v>
      </c>
      <c r="F191">
        <v>664463.50920265855</v>
      </c>
      <c r="G191">
        <v>0</v>
      </c>
    </row>
    <row r="192" spans="1:7" x14ac:dyDescent="0.2">
      <c r="A192" s="3">
        <f t="shared" si="2"/>
        <v>48883</v>
      </c>
      <c r="B192">
        <v>5176.4228816695795</v>
      </c>
      <c r="C192">
        <v>6124.3620860428518</v>
      </c>
      <c r="D192">
        <v>0</v>
      </c>
      <c r="E192">
        <v>660.59148248508279</v>
      </c>
      <c r="F192">
        <v>663518.99181549193</v>
      </c>
      <c r="G192">
        <v>1731.2521066047329</v>
      </c>
    </row>
    <row r="193" spans="1:7" x14ac:dyDescent="0.2">
      <c r="A193" s="3">
        <f t="shared" si="2"/>
        <v>48913</v>
      </c>
      <c r="B193">
        <v>5074.9818771002483</v>
      </c>
      <c r="C193">
        <v>12914.201204355568</v>
      </c>
      <c r="D193">
        <v>0</v>
      </c>
      <c r="E193">
        <v>652.68062330989073</v>
      </c>
      <c r="F193">
        <v>655690.16128719237</v>
      </c>
      <c r="G193">
        <v>8210.3133856148124</v>
      </c>
    </row>
    <row r="194" spans="1:7" x14ac:dyDescent="0.2">
      <c r="A194" s="3">
        <f t="shared" si="2"/>
        <v>48944</v>
      </c>
      <c r="B194">
        <v>5027.2921520375976</v>
      </c>
      <c r="C194">
        <v>10432.583441119941</v>
      </c>
      <c r="D194">
        <v>0</v>
      </c>
      <c r="E194">
        <v>644.35143827500735</v>
      </c>
      <c r="F194">
        <v>650295.76445602311</v>
      </c>
      <c r="G194">
        <v>6056.9133778453779</v>
      </c>
    </row>
    <row r="195" spans="1:7" x14ac:dyDescent="0.2">
      <c r="A195" s="3">
        <f t="shared" si="2"/>
        <v>48975</v>
      </c>
      <c r="B195">
        <v>5003.6403192669595</v>
      </c>
      <c r="C195">
        <v>4859.5257548264635</v>
      </c>
      <c r="D195">
        <v>0</v>
      </c>
      <c r="E195">
        <v>636.16575783224937</v>
      </c>
      <c r="F195">
        <v>650436.73588399834</v>
      </c>
      <c r="G195">
        <v>486.41676964179646</v>
      </c>
    </row>
    <row r="196" spans="1:7" x14ac:dyDescent="0.2">
      <c r="A196" s="3">
        <f t="shared" ref="A196:A259" si="3">DATE(YEAR(A195),MONTH(A195)+2,1)-1</f>
        <v>49003</v>
      </c>
      <c r="B196">
        <v>4983.0423814616906</v>
      </c>
      <c r="C196">
        <v>4403.4288484907811</v>
      </c>
      <c r="D196">
        <v>0</v>
      </c>
      <c r="E196">
        <v>633.93300783399866</v>
      </c>
      <c r="F196">
        <v>651015.57625745016</v>
      </c>
      <c r="G196">
        <v>0</v>
      </c>
    </row>
    <row r="197" spans="1:7" x14ac:dyDescent="0.2">
      <c r="A197" s="3">
        <f t="shared" si="3"/>
        <v>49034</v>
      </c>
      <c r="B197">
        <v>4966.9202842689201</v>
      </c>
      <c r="C197">
        <v>4338.396292437772</v>
      </c>
      <c r="D197">
        <v>0</v>
      </c>
      <c r="E197">
        <v>631.40718299914067</v>
      </c>
      <c r="F197">
        <v>651646.41637982393</v>
      </c>
      <c r="G197">
        <v>0</v>
      </c>
    </row>
    <row r="198" spans="1:7" x14ac:dyDescent="0.2">
      <c r="A198" s="3">
        <f t="shared" si="3"/>
        <v>49064</v>
      </c>
      <c r="B198">
        <v>4950.7684422896127</v>
      </c>
      <c r="C198">
        <v>4403.4564434517779</v>
      </c>
      <c r="D198">
        <v>0</v>
      </c>
      <c r="E198">
        <v>628.89930045325741</v>
      </c>
      <c r="F198">
        <v>652199.16647551092</v>
      </c>
      <c r="G198">
        <v>0</v>
      </c>
    </row>
    <row r="199" spans="1:7" x14ac:dyDescent="0.2">
      <c r="A199" s="3">
        <f t="shared" si="3"/>
        <v>49095</v>
      </c>
      <c r="B199">
        <v>4803.5796344793407</v>
      </c>
      <c r="C199">
        <v>30738.875028357892</v>
      </c>
      <c r="D199">
        <v>0</v>
      </c>
      <c r="E199">
        <v>611.6863041392071</v>
      </c>
      <c r="F199">
        <v>626287.06024275336</v>
      </c>
      <c r="G199">
        <v>26552.424334343326</v>
      </c>
    </row>
    <row r="200" spans="1:7" x14ac:dyDescent="0.2">
      <c r="A200" s="3">
        <f t="shared" si="3"/>
        <v>49125</v>
      </c>
      <c r="B200">
        <v>4786.9131640875357</v>
      </c>
      <c r="C200">
        <v>4144.9128806793451</v>
      </c>
      <c r="D200">
        <v>0</v>
      </c>
      <c r="E200">
        <v>609.52117191899231</v>
      </c>
      <c r="F200">
        <v>626929.19099011715</v>
      </c>
      <c r="G200">
        <v>0</v>
      </c>
    </row>
    <row r="201" spans="1:7" x14ac:dyDescent="0.2">
      <c r="A201" s="3">
        <f t="shared" si="3"/>
        <v>49156</v>
      </c>
      <c r="B201">
        <v>4723.8115868471168</v>
      </c>
      <c r="C201">
        <v>10233.83473819454</v>
      </c>
      <c r="D201">
        <v>0</v>
      </c>
      <c r="E201">
        <v>601.94809846451324</v>
      </c>
      <c r="F201">
        <v>621427.49645066389</v>
      </c>
      <c r="G201">
        <v>6104.7776277500707</v>
      </c>
    </row>
    <row r="202" spans="1:7" x14ac:dyDescent="0.2">
      <c r="A202" s="3">
        <f t="shared" si="3"/>
        <v>49187</v>
      </c>
      <c r="B202">
        <v>4650.0254277409549</v>
      </c>
      <c r="C202">
        <v>14225.892454848145</v>
      </c>
      <c r="D202">
        <v>0</v>
      </c>
      <c r="E202">
        <v>593.18638578971411</v>
      </c>
      <c r="F202">
        <v>611863.36418948602</v>
      </c>
      <c r="G202">
        <v>10183.737071629357</v>
      </c>
    </row>
    <row r="203" spans="1:7" x14ac:dyDescent="0.2">
      <c r="A203" s="3">
        <f t="shared" si="3"/>
        <v>49217</v>
      </c>
      <c r="B203">
        <v>4589.0584391371249</v>
      </c>
      <c r="C203">
        <v>11725.430065576407</v>
      </c>
      <c r="D203">
        <v>0</v>
      </c>
      <c r="E203">
        <v>585.34455224330304</v>
      </c>
      <c r="F203">
        <v>604737.25907255174</v>
      </c>
      <c r="G203">
        <v>7734.9240399813452</v>
      </c>
    </row>
    <row r="204" spans="1:7" x14ac:dyDescent="0.2">
      <c r="A204" s="3">
        <f t="shared" si="3"/>
        <v>49248</v>
      </c>
      <c r="B204">
        <v>4566.9957031838776</v>
      </c>
      <c r="C204">
        <v>3988.7704415647981</v>
      </c>
      <c r="D204">
        <v>0</v>
      </c>
      <c r="E204">
        <v>583.56233437418734</v>
      </c>
      <c r="F204">
        <v>605320.59623988904</v>
      </c>
      <c r="G204">
        <v>0</v>
      </c>
    </row>
    <row r="205" spans="1:7" x14ac:dyDescent="0.2">
      <c r="A205" s="3">
        <f t="shared" si="3"/>
        <v>49278</v>
      </c>
      <c r="B205">
        <v>4460.5259645954538</v>
      </c>
      <c r="C205">
        <v>12765.344096297042</v>
      </c>
      <c r="D205">
        <v>0</v>
      </c>
      <c r="E205">
        <v>572.39974928640049</v>
      </c>
      <c r="F205">
        <v>597032.62044157099</v>
      </c>
      <c r="G205">
        <v>8495.408258957299</v>
      </c>
    </row>
    <row r="206" spans="1:7" x14ac:dyDescent="0.2">
      <c r="A206" s="3">
        <f t="shared" si="3"/>
        <v>49309</v>
      </c>
      <c r="B206">
        <v>4455.8370471898925</v>
      </c>
      <c r="C206">
        <v>3966.1149681141001</v>
      </c>
      <c r="D206">
        <v>0</v>
      </c>
      <c r="E206">
        <v>569.996249163774</v>
      </c>
      <c r="F206">
        <v>597533.52052340191</v>
      </c>
      <c r="G206">
        <v>0</v>
      </c>
    </row>
    <row r="207" spans="1:7" x14ac:dyDescent="0.2">
      <c r="A207" s="3">
        <f t="shared" si="3"/>
        <v>49340</v>
      </c>
      <c r="B207">
        <v>4435.4788662379951</v>
      </c>
      <c r="C207">
        <v>3994.8708884187909</v>
      </c>
      <c r="D207">
        <v>0</v>
      </c>
      <c r="E207">
        <v>566.82130711859827</v>
      </c>
      <c r="F207">
        <v>597988.96904120513</v>
      </c>
      <c r="G207">
        <v>0</v>
      </c>
    </row>
    <row r="208" spans="1:7" x14ac:dyDescent="0.2">
      <c r="A208" s="3">
        <f t="shared" si="3"/>
        <v>49368</v>
      </c>
      <c r="B208">
        <v>4418.0692302246571</v>
      </c>
      <c r="C208">
        <v>4830.7887266298703</v>
      </c>
      <c r="D208">
        <v>0</v>
      </c>
      <c r="E208">
        <v>561.08338214678565</v>
      </c>
      <c r="F208">
        <v>597597.27136065916</v>
      </c>
      <c r="G208">
        <v>808.13425937378224</v>
      </c>
    </row>
    <row r="209" spans="1:7" x14ac:dyDescent="0.2">
      <c r="A209" s="3">
        <f t="shared" si="3"/>
        <v>49399</v>
      </c>
      <c r="B209">
        <v>4404.9838861624066</v>
      </c>
      <c r="C209">
        <v>3961.4266593265293</v>
      </c>
      <c r="D209">
        <v>0</v>
      </c>
      <c r="E209">
        <v>558.82467672759617</v>
      </c>
      <c r="F209">
        <v>598063.72781535878</v>
      </c>
      <c r="G209">
        <v>0</v>
      </c>
    </row>
    <row r="210" spans="1:7" x14ac:dyDescent="0.2">
      <c r="A210" s="3">
        <f t="shared" si="3"/>
        <v>49429</v>
      </c>
      <c r="B210">
        <v>4391.7947410354636</v>
      </c>
      <c r="C210">
        <v>4022.1476639075004</v>
      </c>
      <c r="D210">
        <v>0</v>
      </c>
      <c r="E210">
        <v>556.58194737252882</v>
      </c>
      <c r="F210">
        <v>598458.97091615351</v>
      </c>
      <c r="G210">
        <v>0</v>
      </c>
    </row>
    <row r="211" spans="1:7" x14ac:dyDescent="0.2">
      <c r="A211" s="3">
        <f t="shared" si="3"/>
        <v>49460</v>
      </c>
      <c r="B211">
        <v>4377.0027925568775</v>
      </c>
      <c r="C211">
        <v>3970.2570939816287</v>
      </c>
      <c r="D211">
        <v>0</v>
      </c>
      <c r="E211">
        <v>554.5796840096599</v>
      </c>
      <c r="F211">
        <v>598893.69964641985</v>
      </c>
      <c r="G211">
        <v>0</v>
      </c>
    </row>
    <row r="212" spans="1:7" x14ac:dyDescent="0.2">
      <c r="A212" s="3">
        <f t="shared" si="3"/>
        <v>49490</v>
      </c>
      <c r="B212">
        <v>4236.8878500107976</v>
      </c>
      <c r="C212">
        <v>29165.06036217339</v>
      </c>
      <c r="D212">
        <v>0</v>
      </c>
      <c r="E212">
        <v>543.01341157078207</v>
      </c>
      <c r="F212">
        <v>574005.49961986125</v>
      </c>
      <c r="G212">
        <v>25392.430546813779</v>
      </c>
    </row>
    <row r="213" spans="1:7" x14ac:dyDescent="0.2">
      <c r="A213" s="3">
        <f t="shared" si="3"/>
        <v>49521</v>
      </c>
      <c r="B213">
        <v>4218.440662972158</v>
      </c>
      <c r="C213">
        <v>3794.7416825685332</v>
      </c>
      <c r="D213">
        <v>0</v>
      </c>
      <c r="E213">
        <v>541.34705316662257</v>
      </c>
      <c r="F213">
        <v>574446.61032411794</v>
      </c>
      <c r="G213">
        <v>0</v>
      </c>
    </row>
    <row r="214" spans="1:7" x14ac:dyDescent="0.2">
      <c r="A214" s="3">
        <f t="shared" si="3"/>
        <v>49552</v>
      </c>
      <c r="B214">
        <v>4203.0445783939967</v>
      </c>
      <c r="C214">
        <v>3769.3490207031023</v>
      </c>
      <c r="D214">
        <v>0</v>
      </c>
      <c r="E214">
        <v>539.14970912644515</v>
      </c>
      <c r="F214">
        <v>574900.34434363269</v>
      </c>
      <c r="G214">
        <v>0</v>
      </c>
    </row>
    <row r="215" spans="1:7" x14ac:dyDescent="0.2">
      <c r="A215" s="3">
        <f t="shared" si="3"/>
        <v>49582</v>
      </c>
      <c r="B215">
        <v>4184.8332700625097</v>
      </c>
      <c r="C215">
        <v>3767.2464848718287</v>
      </c>
      <c r="D215">
        <v>0</v>
      </c>
      <c r="E215">
        <v>537.49396045892013</v>
      </c>
      <c r="F215">
        <v>575340.06702126039</v>
      </c>
      <c r="G215">
        <v>0</v>
      </c>
    </row>
    <row r="216" spans="1:7" x14ac:dyDescent="0.2">
      <c r="A216" s="3">
        <f t="shared" si="3"/>
        <v>49613</v>
      </c>
      <c r="B216">
        <v>4164.9423304234115</v>
      </c>
      <c r="C216">
        <v>3765.2087628505551</v>
      </c>
      <c r="D216">
        <v>0</v>
      </c>
      <c r="E216">
        <v>535.84326430585008</v>
      </c>
      <c r="F216">
        <v>575764.01522019634</v>
      </c>
      <c r="G216">
        <v>0</v>
      </c>
    </row>
    <row r="217" spans="1:7" x14ac:dyDescent="0.2">
      <c r="A217" s="3">
        <f t="shared" si="3"/>
        <v>49643</v>
      </c>
      <c r="B217">
        <v>4139.986401527739</v>
      </c>
      <c r="C217">
        <v>4082.358931139509</v>
      </c>
      <c r="D217">
        <v>0</v>
      </c>
      <c r="E217">
        <v>534.19646269396253</v>
      </c>
      <c r="F217">
        <v>575847.91681085434</v>
      </c>
      <c r="G217">
        <v>0</v>
      </c>
    </row>
    <row r="218" spans="1:7" x14ac:dyDescent="0.2">
      <c r="A218" s="3">
        <f t="shared" si="3"/>
        <v>49674</v>
      </c>
      <c r="B218">
        <v>4136.5618339613793</v>
      </c>
      <c r="C218">
        <v>3796.9057569743813</v>
      </c>
      <c r="D218">
        <v>0</v>
      </c>
      <c r="E218">
        <v>531.92422978676984</v>
      </c>
      <c r="F218">
        <v>576216.20091401669</v>
      </c>
      <c r="G218">
        <v>0</v>
      </c>
    </row>
    <row r="219" spans="1:7" x14ac:dyDescent="0.2">
      <c r="A219" s="3">
        <f t="shared" si="3"/>
        <v>49705</v>
      </c>
      <c r="B219">
        <v>4117.8836081667259</v>
      </c>
      <c r="C219">
        <v>3771.8202536948565</v>
      </c>
      <c r="D219">
        <v>0</v>
      </c>
      <c r="E219">
        <v>528.91108936054968</v>
      </c>
      <c r="F219">
        <v>576594.26393683814</v>
      </c>
      <c r="G219">
        <v>0</v>
      </c>
    </row>
    <row r="220" spans="1:7" x14ac:dyDescent="0.2">
      <c r="A220" s="3">
        <f t="shared" si="3"/>
        <v>49734</v>
      </c>
      <c r="B220">
        <v>4102.059700894556</v>
      </c>
      <c r="C220">
        <v>3850.209295020099</v>
      </c>
      <c r="D220">
        <v>0</v>
      </c>
      <c r="E220">
        <v>527.27912157029675</v>
      </c>
      <c r="F220">
        <v>576880.1139997734</v>
      </c>
      <c r="G220">
        <v>0</v>
      </c>
    </row>
    <row r="221" spans="1:7" x14ac:dyDescent="0.2">
      <c r="A221" s="3">
        <f t="shared" si="3"/>
        <v>49765</v>
      </c>
      <c r="B221">
        <v>4090.4215835635878</v>
      </c>
      <c r="C221">
        <v>3792.4085948107945</v>
      </c>
      <c r="D221">
        <v>0</v>
      </c>
      <c r="E221">
        <v>525.14303634191322</v>
      </c>
      <c r="F221">
        <v>577214.54098813445</v>
      </c>
      <c r="G221">
        <v>0</v>
      </c>
    </row>
    <row r="222" spans="1:7" x14ac:dyDescent="0.2">
      <c r="A222" s="3">
        <f t="shared" si="3"/>
        <v>49795</v>
      </c>
      <c r="B222">
        <v>4078.6193907368211</v>
      </c>
      <c r="C222">
        <v>3848.8829279826032</v>
      </c>
      <c r="D222">
        <v>0</v>
      </c>
      <c r="E222">
        <v>523.02155305668782</v>
      </c>
      <c r="F222">
        <v>577483.13847772731</v>
      </c>
      <c r="G222">
        <v>0</v>
      </c>
    </row>
    <row r="223" spans="1:7" x14ac:dyDescent="0.2">
      <c r="A223" s="3">
        <f t="shared" si="3"/>
        <v>49826</v>
      </c>
      <c r="B223">
        <v>4065.2364614304402</v>
      </c>
      <c r="C223">
        <v>3800.0408285293092</v>
      </c>
      <c r="D223">
        <v>0</v>
      </c>
      <c r="E223">
        <v>521.12792502006334</v>
      </c>
      <c r="F223">
        <v>577789.35022851208</v>
      </c>
      <c r="G223">
        <v>0</v>
      </c>
    </row>
    <row r="224" spans="1:7" x14ac:dyDescent="0.2">
      <c r="A224" s="3">
        <f t="shared" si="3"/>
        <v>49856</v>
      </c>
      <c r="B224">
        <v>4052.2883250846448</v>
      </c>
      <c r="C224">
        <v>3761.6468350000687</v>
      </c>
      <c r="D224">
        <v>0</v>
      </c>
      <c r="E224">
        <v>519.26236873994469</v>
      </c>
      <c r="F224">
        <v>578123.17147092125</v>
      </c>
      <c r="G224">
        <v>0</v>
      </c>
    </row>
    <row r="225" spans="1:7" x14ac:dyDescent="0.2">
      <c r="A225" s="3">
        <f t="shared" si="3"/>
        <v>49887</v>
      </c>
      <c r="B225">
        <v>4034.6518554439363</v>
      </c>
      <c r="C225">
        <v>3781.6918003411911</v>
      </c>
      <c r="D225">
        <v>0</v>
      </c>
      <c r="E225">
        <v>517.65878205457216</v>
      </c>
      <c r="F225">
        <v>578421.2398193226</v>
      </c>
      <c r="G225">
        <v>0</v>
      </c>
    </row>
    <row r="226" spans="1:7" x14ac:dyDescent="0.2">
      <c r="A226" s="3">
        <f t="shared" si="3"/>
        <v>49918</v>
      </c>
      <c r="B226">
        <v>4019.8358470309358</v>
      </c>
      <c r="C226">
        <v>3757.0491803637869</v>
      </c>
      <c r="D226">
        <v>0</v>
      </c>
      <c r="E226">
        <v>515.55423631580049</v>
      </c>
      <c r="F226">
        <v>578731.52947609068</v>
      </c>
      <c r="G226">
        <v>0</v>
      </c>
    </row>
    <row r="227" spans="1:7" x14ac:dyDescent="0.2">
      <c r="A227" s="3">
        <f t="shared" si="3"/>
        <v>49948</v>
      </c>
      <c r="B227">
        <v>4002.4105046461273</v>
      </c>
      <c r="C227">
        <v>3754.3292603451882</v>
      </c>
      <c r="D227">
        <v>0</v>
      </c>
      <c r="E227">
        <v>513.96088965511137</v>
      </c>
      <c r="F227">
        <v>579029.00910490204</v>
      </c>
      <c r="G227">
        <v>0</v>
      </c>
    </row>
    <row r="228" spans="1:7" x14ac:dyDescent="0.2">
      <c r="A228" s="3">
        <f t="shared" si="3"/>
        <v>49979</v>
      </c>
      <c r="B228">
        <v>3983.2578422785759</v>
      </c>
      <c r="C228">
        <v>3751.6570783250631</v>
      </c>
      <c r="D228">
        <v>0</v>
      </c>
      <c r="E228">
        <v>512.37241145806718</v>
      </c>
      <c r="F228">
        <v>579311.88630954386</v>
      </c>
      <c r="G228">
        <v>0</v>
      </c>
    </row>
    <row r="229" spans="1:7" x14ac:dyDescent="0.2">
      <c r="A229" s="3">
        <f t="shared" si="3"/>
        <v>50009</v>
      </c>
      <c r="B229">
        <v>3959.3014915831532</v>
      </c>
      <c r="C229">
        <v>4048.3780958051975</v>
      </c>
      <c r="D229">
        <v>0</v>
      </c>
      <c r="E229">
        <v>510.7876944808317</v>
      </c>
      <c r="F229">
        <v>579275.94622641313</v>
      </c>
      <c r="G229">
        <v>0</v>
      </c>
    </row>
    <row r="230" spans="1:7" x14ac:dyDescent="0.2">
      <c r="A230" s="3">
        <f t="shared" si="3"/>
        <v>50040</v>
      </c>
      <c r="B230">
        <v>3886.200120868888</v>
      </c>
      <c r="C230">
        <v>12313.044469035356</v>
      </c>
      <c r="D230">
        <v>0</v>
      </c>
      <c r="E230">
        <v>503.30107750287067</v>
      </c>
      <c r="F230">
        <v>570909.69003087294</v>
      </c>
      <c r="G230">
        <v>8585.9241613721715</v>
      </c>
    </row>
    <row r="231" spans="1:7" x14ac:dyDescent="0.2">
      <c r="A231" s="3">
        <f t="shared" si="3"/>
        <v>50071</v>
      </c>
      <c r="B231">
        <v>3868.7655601703696</v>
      </c>
      <c r="C231">
        <v>3703.3765394147658</v>
      </c>
      <c r="D231">
        <v>0</v>
      </c>
      <c r="E231">
        <v>500.41010634901016</v>
      </c>
      <c r="F231">
        <v>571130.41414354253</v>
      </c>
      <c r="G231">
        <v>0</v>
      </c>
    </row>
    <row r="232" spans="1:7" x14ac:dyDescent="0.2">
      <c r="A232" s="3">
        <f t="shared" si="3"/>
        <v>50099</v>
      </c>
      <c r="B232">
        <v>3687.3445860999104</v>
      </c>
      <c r="C232">
        <v>23895.650749282708</v>
      </c>
      <c r="D232">
        <v>0</v>
      </c>
      <c r="E232">
        <v>487.7617660119713</v>
      </c>
      <c r="F232">
        <v>550990.30627385434</v>
      </c>
      <c r="G232">
        <v>20248.138212813981</v>
      </c>
    </row>
    <row r="233" spans="1:7" x14ac:dyDescent="0.2">
      <c r="A233" s="3">
        <f t="shared" si="3"/>
        <v>50130</v>
      </c>
      <c r="B233">
        <v>3677.8233953151775</v>
      </c>
      <c r="C233">
        <v>3592.6379145226283</v>
      </c>
      <c r="D233">
        <v>0</v>
      </c>
      <c r="E233">
        <v>485.75996712878293</v>
      </c>
      <c r="F233">
        <v>551126.08670029731</v>
      </c>
      <c r="G233">
        <v>0</v>
      </c>
    </row>
    <row r="234" spans="1:7" x14ac:dyDescent="0.2">
      <c r="A234" s="3">
        <f t="shared" si="3"/>
        <v>50160</v>
      </c>
      <c r="B234">
        <v>3668.0770472708791</v>
      </c>
      <c r="C234">
        <v>3644.7687849849772</v>
      </c>
      <c r="D234">
        <v>0</v>
      </c>
      <c r="E234">
        <v>483.77149126625142</v>
      </c>
      <c r="F234">
        <v>551202.11055792542</v>
      </c>
      <c r="G234">
        <v>0</v>
      </c>
    </row>
    <row r="235" spans="1:7" x14ac:dyDescent="0.2">
      <c r="A235" s="3">
        <f t="shared" si="3"/>
        <v>50191</v>
      </c>
      <c r="B235">
        <v>3621.3923776548108</v>
      </c>
      <c r="C235">
        <v>8250.297587176974</v>
      </c>
      <c r="D235">
        <v>0</v>
      </c>
      <c r="E235">
        <v>477.65943041847464</v>
      </c>
      <c r="F235">
        <v>546632.10700910678</v>
      </c>
      <c r="G235">
        <v>4682.6570433195629</v>
      </c>
    </row>
    <row r="236" spans="1:7" x14ac:dyDescent="0.2">
      <c r="A236" s="3">
        <f t="shared" si="3"/>
        <v>50221</v>
      </c>
      <c r="B236">
        <v>3593.3665041533886</v>
      </c>
      <c r="C236">
        <v>6521.0015693795976</v>
      </c>
      <c r="D236">
        <v>0</v>
      </c>
      <c r="E236">
        <v>471.9820716674738</v>
      </c>
      <c r="F236">
        <v>543764.60234812915</v>
      </c>
      <c r="G236">
        <v>3009.6837473244254</v>
      </c>
    </row>
    <row r="237" spans="1:7" x14ac:dyDescent="0.2">
      <c r="A237" s="3">
        <f t="shared" si="3"/>
        <v>50252</v>
      </c>
      <c r="B237">
        <v>3578.3473348354651</v>
      </c>
      <c r="C237">
        <v>3529.525793331266</v>
      </c>
      <c r="D237">
        <v>0</v>
      </c>
      <c r="E237">
        <v>470.5187204450188</v>
      </c>
      <c r="F237">
        <v>543872.22630704509</v>
      </c>
      <c r="G237">
        <v>0</v>
      </c>
    </row>
    <row r="238" spans="1:7" x14ac:dyDescent="0.2">
      <c r="A238" s="3">
        <f t="shared" si="3"/>
        <v>50283</v>
      </c>
      <c r="B238">
        <v>3504.0782457450136</v>
      </c>
      <c r="C238">
        <v>20990.389393916266</v>
      </c>
      <c r="D238">
        <v>0</v>
      </c>
      <c r="E238">
        <v>457.64605156870147</v>
      </c>
      <c r="F238">
        <v>526457.69501041481</v>
      </c>
      <c r="G238">
        <v>17593.885669171454</v>
      </c>
    </row>
    <row r="239" spans="1:7" x14ac:dyDescent="0.2">
      <c r="A239" s="3">
        <f t="shared" si="3"/>
        <v>50313</v>
      </c>
      <c r="B239">
        <v>3489.6225540940513</v>
      </c>
      <c r="C239">
        <v>3393.8242671968615</v>
      </c>
      <c r="D239">
        <v>0</v>
      </c>
      <c r="E239">
        <v>456.23837425798172</v>
      </c>
      <c r="F239">
        <v>526609.72885929933</v>
      </c>
      <c r="G239">
        <v>0</v>
      </c>
    </row>
    <row r="240" spans="1:7" x14ac:dyDescent="0.2">
      <c r="A240" s="3">
        <f t="shared" si="3"/>
        <v>50344</v>
      </c>
      <c r="B240">
        <v>3438.3878913062422</v>
      </c>
      <c r="C240">
        <v>9444.8364661770938</v>
      </c>
      <c r="D240">
        <v>0</v>
      </c>
      <c r="E240">
        <v>449.87802201604569</v>
      </c>
      <c r="F240">
        <v>520666.02419418684</v>
      </c>
      <c r="G240">
        <v>6092.9103363897693</v>
      </c>
    </row>
    <row r="241" spans="1:7" x14ac:dyDescent="0.2">
      <c r="A241" s="3">
        <f t="shared" si="3"/>
        <v>50374</v>
      </c>
      <c r="B241">
        <v>3417.8122138531448</v>
      </c>
      <c r="C241">
        <v>3629.9767581491851</v>
      </c>
      <c r="D241">
        <v>0</v>
      </c>
      <c r="E241">
        <v>448.49878945050455</v>
      </c>
      <c r="F241">
        <v>520512.19696411374</v>
      </c>
      <c r="G241">
        <v>0</v>
      </c>
    </row>
    <row r="242" spans="1:7" x14ac:dyDescent="0.2">
      <c r="A242" s="3">
        <f t="shared" si="3"/>
        <v>50405</v>
      </c>
      <c r="B242">
        <v>3369.5781514581918</v>
      </c>
      <c r="C242">
        <v>11394.890295758745</v>
      </c>
      <c r="D242">
        <v>0</v>
      </c>
      <c r="E242">
        <v>438.39385022334056</v>
      </c>
      <c r="F242">
        <v>512555.17733198917</v>
      </c>
      <c r="G242">
        <v>8069.8078143550683</v>
      </c>
    </row>
    <row r="243" spans="1:7" x14ac:dyDescent="0.2">
      <c r="A243" s="3">
        <f t="shared" si="3"/>
        <v>50436</v>
      </c>
      <c r="B243">
        <v>3355.1692025669931</v>
      </c>
      <c r="C243">
        <v>3302.2281174857812</v>
      </c>
      <c r="D243">
        <v>0</v>
      </c>
      <c r="E243">
        <v>435.84507778860763</v>
      </c>
      <c r="F243">
        <v>512671.21403624525</v>
      </c>
      <c r="G243">
        <v>0</v>
      </c>
    </row>
    <row r="244" spans="1:7" x14ac:dyDescent="0.2">
      <c r="A244" s="3">
        <f t="shared" si="3"/>
        <v>50464</v>
      </c>
      <c r="B244">
        <v>3309.8040827745081</v>
      </c>
      <c r="C244">
        <v>8575.5735684356914</v>
      </c>
      <c r="D244">
        <v>0</v>
      </c>
      <c r="E244">
        <v>430.11815659709515</v>
      </c>
      <c r="F244">
        <v>507474.38004548982</v>
      </c>
      <c r="G244">
        <v>5239.761154699886</v>
      </c>
    </row>
    <row r="245" spans="1:7" x14ac:dyDescent="0.2">
      <c r="A245" s="3">
        <f t="shared" si="3"/>
        <v>50495</v>
      </c>
      <c r="B245">
        <v>3302.20652391472</v>
      </c>
      <c r="C245">
        <v>3284.5781609909286</v>
      </c>
      <c r="D245">
        <v>0</v>
      </c>
      <c r="E245">
        <v>428.36021053977004</v>
      </c>
      <c r="F245">
        <v>507557.64305358689</v>
      </c>
      <c r="G245">
        <v>0</v>
      </c>
    </row>
    <row r="246" spans="1:7" x14ac:dyDescent="0.2">
      <c r="A246" s="3">
        <f t="shared" si="3"/>
        <v>50525</v>
      </c>
      <c r="B246">
        <v>3231.9010683233046</v>
      </c>
      <c r="C246">
        <v>14371.139052836326</v>
      </c>
      <c r="D246">
        <v>0</v>
      </c>
      <c r="E246">
        <v>420.89098216299612</v>
      </c>
      <c r="F246">
        <v>496491.58999400144</v>
      </c>
      <c r="G246">
        <v>11108.589408354383</v>
      </c>
    </row>
    <row r="247" spans="1:7" x14ac:dyDescent="0.2">
      <c r="A247" s="3">
        <f t="shared" si="3"/>
        <v>50556</v>
      </c>
      <c r="B247">
        <v>3161.9130049325536</v>
      </c>
      <c r="C247">
        <v>15539.315032899847</v>
      </c>
      <c r="D247">
        <v>0</v>
      </c>
      <c r="E247">
        <v>409.75029749033081</v>
      </c>
      <c r="F247">
        <v>484187.74145885481</v>
      </c>
      <c r="G247">
        <v>12395.250161615844</v>
      </c>
    </row>
    <row r="248" spans="1:7" x14ac:dyDescent="0.2">
      <c r="A248" s="3">
        <f t="shared" si="3"/>
        <v>50586</v>
      </c>
      <c r="B248">
        <v>3153.8493290856891</v>
      </c>
      <c r="C248">
        <v>3109.7988781619692</v>
      </c>
      <c r="D248">
        <v>0</v>
      </c>
      <c r="E248">
        <v>408.28804768237825</v>
      </c>
      <c r="F248">
        <v>484294.83061845083</v>
      </c>
      <c r="G248">
        <v>0</v>
      </c>
    </row>
    <row r="249" spans="1:7" x14ac:dyDescent="0.2">
      <c r="A249" s="3">
        <f t="shared" si="3"/>
        <v>50617</v>
      </c>
      <c r="B249">
        <v>3141.3441055842477</v>
      </c>
      <c r="C249">
        <v>3127.215224394447</v>
      </c>
      <c r="D249">
        <v>0</v>
      </c>
      <c r="E249">
        <v>407.05837520586311</v>
      </c>
      <c r="F249">
        <v>484373.33212544874</v>
      </c>
      <c r="G249">
        <v>0</v>
      </c>
    </row>
    <row r="250" spans="1:7" x14ac:dyDescent="0.2">
      <c r="A250" s="3">
        <f t="shared" si="3"/>
        <v>50648</v>
      </c>
      <c r="B250">
        <v>3131.0410959617598</v>
      </c>
      <c r="C250">
        <v>3104.7392938709718</v>
      </c>
      <c r="D250">
        <v>0</v>
      </c>
      <c r="E250">
        <v>405.38219528824459</v>
      </c>
      <c r="F250">
        <v>484465.75914961688</v>
      </c>
      <c r="G250">
        <v>0</v>
      </c>
    </row>
    <row r="251" spans="1:7" x14ac:dyDescent="0.2">
      <c r="A251" s="3">
        <f t="shared" si="3"/>
        <v>50678</v>
      </c>
      <c r="B251">
        <v>3118.6550497926564</v>
      </c>
      <c r="C251">
        <v>3101.8567601874042</v>
      </c>
      <c r="D251">
        <v>0</v>
      </c>
      <c r="E251">
        <v>404.16062711065575</v>
      </c>
      <c r="F251">
        <v>484549.99420145655</v>
      </c>
      <c r="G251">
        <v>0</v>
      </c>
    </row>
    <row r="252" spans="1:7" x14ac:dyDescent="0.2">
      <c r="A252" s="3">
        <f t="shared" si="3"/>
        <v>50709</v>
      </c>
      <c r="B252">
        <v>3068.3489684892743</v>
      </c>
      <c r="C252">
        <v>8466.4381525745739</v>
      </c>
      <c r="D252">
        <v>0</v>
      </c>
      <c r="E252">
        <v>398.71868227916025</v>
      </c>
      <c r="F252">
        <v>479224.86572203919</v>
      </c>
      <c r="G252">
        <v>5401.2631697577099</v>
      </c>
    </row>
    <row r="253" spans="1:7" x14ac:dyDescent="0.2">
      <c r="A253" s="3">
        <f t="shared" si="3"/>
        <v>50739</v>
      </c>
      <c r="B253">
        <v>3050.0378535395871</v>
      </c>
      <c r="C253">
        <v>3325.7828230372897</v>
      </c>
      <c r="D253">
        <v>0</v>
      </c>
      <c r="E253">
        <v>397.5196225214404</v>
      </c>
      <c r="F253">
        <v>479018.0968344438</v>
      </c>
      <c r="G253">
        <v>0</v>
      </c>
    </row>
    <row r="254" spans="1:7" x14ac:dyDescent="0.2">
      <c r="A254" s="3">
        <f t="shared" si="3"/>
        <v>50770</v>
      </c>
      <c r="B254">
        <v>3048.2797728936503</v>
      </c>
      <c r="C254">
        <v>3089.3134573536804</v>
      </c>
      <c r="D254">
        <v>0</v>
      </c>
      <c r="E254">
        <v>395.80044198994796</v>
      </c>
      <c r="F254">
        <v>479047.55713572097</v>
      </c>
      <c r="G254">
        <v>0</v>
      </c>
    </row>
    <row r="255" spans="1:7" x14ac:dyDescent="0.2">
      <c r="A255" s="3">
        <f t="shared" si="3"/>
        <v>50801</v>
      </c>
      <c r="B255">
        <v>3035.6316313932716</v>
      </c>
      <c r="C255">
        <v>3067.6576603312219</v>
      </c>
      <c r="D255">
        <v>0</v>
      </c>
      <c r="E255">
        <v>393.47066623863793</v>
      </c>
      <c r="F255">
        <v>479088.38354604912</v>
      </c>
      <c r="G255">
        <v>0</v>
      </c>
    </row>
    <row r="256" spans="1:7" x14ac:dyDescent="0.2">
      <c r="A256" s="3">
        <f t="shared" si="3"/>
        <v>50829</v>
      </c>
      <c r="B256">
        <v>3018.074274229748</v>
      </c>
      <c r="C256">
        <v>3130.2903659358867</v>
      </c>
      <c r="D256">
        <v>0</v>
      </c>
      <c r="E256">
        <v>392.28099014220908</v>
      </c>
      <c r="F256">
        <v>479050.24931168562</v>
      </c>
      <c r="G256">
        <v>0</v>
      </c>
    </row>
    <row r="257" spans="1:7" x14ac:dyDescent="0.2">
      <c r="A257" s="3">
        <f t="shared" si="3"/>
        <v>50860</v>
      </c>
      <c r="B257">
        <v>3011.8478052354953</v>
      </c>
      <c r="C257">
        <v>3082.1491921185179</v>
      </c>
      <c r="D257">
        <v>0</v>
      </c>
      <c r="E257">
        <v>390.67133332858964</v>
      </c>
      <c r="F257">
        <v>479055.60231764487</v>
      </c>
      <c r="G257">
        <v>0</v>
      </c>
    </row>
    <row r="258" spans="1:7" x14ac:dyDescent="0.2">
      <c r="A258" s="3">
        <f t="shared" si="3"/>
        <v>50890</v>
      </c>
      <c r="B258">
        <v>3004.1380167217435</v>
      </c>
      <c r="C258">
        <v>3127.3940708255345</v>
      </c>
      <c r="D258">
        <v>0</v>
      </c>
      <c r="E258">
        <v>389.07147296066324</v>
      </c>
      <c r="F258">
        <v>479009.60572757112</v>
      </c>
      <c r="G258">
        <v>0</v>
      </c>
    </row>
    <row r="259" spans="1:7" x14ac:dyDescent="0.2">
      <c r="A259" s="3">
        <f t="shared" si="3"/>
        <v>50921</v>
      </c>
      <c r="B259">
        <v>2960.27326402277</v>
      </c>
      <c r="C259">
        <v>10118.50835872632</v>
      </c>
      <c r="D259">
        <v>0</v>
      </c>
      <c r="E259">
        <v>382.68474230547196</v>
      </c>
      <c r="F259">
        <v>471934.97205272311</v>
      </c>
      <c r="G259">
        <v>7074.8897983424768</v>
      </c>
    </row>
    <row r="260" spans="1:7" x14ac:dyDescent="0.2">
      <c r="A260" s="3">
        <f t="shared" ref="A260:A323" si="4">DATE(YEAR(A259),MONTH(A259)+2,1)-1</f>
        <v>50951</v>
      </c>
      <c r="B260">
        <v>2953.0481184729842</v>
      </c>
      <c r="C260">
        <v>3011.2720867826679</v>
      </c>
      <c r="D260">
        <v>0</v>
      </c>
      <c r="E260">
        <v>381.31700023088871</v>
      </c>
      <c r="F260">
        <v>471954.830528947</v>
      </c>
      <c r="G260">
        <v>0</v>
      </c>
    </row>
    <row r="261" spans="1:7" x14ac:dyDescent="0.2">
      <c r="A261" s="3">
        <f t="shared" si="4"/>
        <v>50982</v>
      </c>
      <c r="B261">
        <v>2941.509199179779</v>
      </c>
      <c r="C261">
        <v>3027.1830440199415</v>
      </c>
      <c r="D261">
        <v>0</v>
      </c>
      <c r="E261">
        <v>380.16840060194028</v>
      </c>
      <c r="F261">
        <v>471948.40705926501</v>
      </c>
      <c r="G261">
        <v>0</v>
      </c>
    </row>
    <row r="262" spans="1:7" x14ac:dyDescent="0.2">
      <c r="A262" s="3">
        <f t="shared" si="4"/>
        <v>51013</v>
      </c>
      <c r="B262">
        <v>2931.9950011198907</v>
      </c>
      <c r="C262">
        <v>3005.6740569231683</v>
      </c>
      <c r="D262">
        <v>0</v>
      </c>
      <c r="E262">
        <v>378.59867492054252</v>
      </c>
      <c r="F262">
        <v>471955.54185145162</v>
      </c>
      <c r="G262">
        <v>0</v>
      </c>
    </row>
    <row r="263" spans="1:7" x14ac:dyDescent="0.2">
      <c r="A263" s="3">
        <f t="shared" si="4"/>
        <v>51043</v>
      </c>
      <c r="B263">
        <v>2920.5499976598235</v>
      </c>
      <c r="C263">
        <v>3003.3951128090816</v>
      </c>
      <c r="D263">
        <v>0</v>
      </c>
      <c r="E263">
        <v>377.45764603083296</v>
      </c>
      <c r="F263">
        <v>471954.65855846007</v>
      </c>
      <c r="G263">
        <v>0</v>
      </c>
    </row>
    <row r="264" spans="1:7" x14ac:dyDescent="0.2">
      <c r="A264" s="3">
        <f t="shared" si="4"/>
        <v>51074</v>
      </c>
      <c r="B264">
        <v>2862.7826759169216</v>
      </c>
      <c r="C264">
        <v>11992.591923050741</v>
      </c>
      <c r="D264">
        <v>0</v>
      </c>
      <c r="E264">
        <v>371.23062999156519</v>
      </c>
      <c r="F264">
        <v>462913.03728969215</v>
      </c>
      <c r="G264">
        <v>9047.4182733534726</v>
      </c>
    </row>
    <row r="265" spans="1:7" x14ac:dyDescent="0.2">
      <c r="A265" s="3">
        <f t="shared" si="4"/>
        <v>51104</v>
      </c>
      <c r="B265">
        <v>2845.6502562731612</v>
      </c>
      <c r="C265">
        <v>3188.9957597018233</v>
      </c>
      <c r="D265">
        <v>0</v>
      </c>
      <c r="E265">
        <v>370.1130663142356</v>
      </c>
      <c r="F265">
        <v>462650.19587040151</v>
      </c>
      <c r="G265">
        <v>0</v>
      </c>
    </row>
    <row r="266" spans="1:7" x14ac:dyDescent="0.2">
      <c r="A266" s="3">
        <f t="shared" si="4"/>
        <v>51135</v>
      </c>
      <c r="B266">
        <v>2844.5868172547521</v>
      </c>
      <c r="C266">
        <v>4704.575931528505</v>
      </c>
      <c r="D266">
        <v>0</v>
      </c>
      <c r="E266">
        <v>364.9992663165819</v>
      </c>
      <c r="F266">
        <v>460875.56878043234</v>
      </c>
      <c r="G266">
        <v>1738.7516447058513</v>
      </c>
    </row>
    <row r="267" spans="1:7" x14ac:dyDescent="0.2">
      <c r="A267" s="3">
        <f t="shared" si="4"/>
        <v>51166</v>
      </c>
      <c r="B267">
        <v>2832.928405378856</v>
      </c>
      <c r="C267">
        <v>2945.5194321043277</v>
      </c>
      <c r="D267">
        <v>0</v>
      </c>
      <c r="E267">
        <v>362.80339438745966</v>
      </c>
      <c r="F267">
        <v>460848.80816046009</v>
      </c>
      <c r="G267">
        <v>0</v>
      </c>
    </row>
    <row r="268" spans="1:7" x14ac:dyDescent="0.2">
      <c r="A268" s="3">
        <f t="shared" si="4"/>
        <v>51195</v>
      </c>
      <c r="B268">
        <v>2816.499390100631</v>
      </c>
      <c r="C268">
        <v>3003.7725235456614</v>
      </c>
      <c r="D268">
        <v>0</v>
      </c>
      <c r="E268">
        <v>361.69424981067004</v>
      </c>
      <c r="F268">
        <v>460748.44852854003</v>
      </c>
      <c r="G268">
        <v>0</v>
      </c>
    </row>
    <row r="269" spans="1:7" x14ac:dyDescent="0.2">
      <c r="A269" s="3">
        <f t="shared" si="4"/>
        <v>51226</v>
      </c>
      <c r="B269">
        <v>2811.0583823280858</v>
      </c>
      <c r="C269">
        <v>2958.4754975263331</v>
      </c>
      <c r="D269">
        <v>0</v>
      </c>
      <c r="E269">
        <v>360.19019761579455</v>
      </c>
      <c r="F269">
        <v>460689.35127318004</v>
      </c>
      <c r="G269">
        <v>0</v>
      </c>
    </row>
    <row r="270" spans="1:7" x14ac:dyDescent="0.2">
      <c r="A270" s="3">
        <f t="shared" si="4"/>
        <v>51256</v>
      </c>
      <c r="B270">
        <v>2765.8808866594804</v>
      </c>
      <c r="C270">
        <v>10699.17958532852</v>
      </c>
      <c r="D270">
        <v>0</v>
      </c>
      <c r="E270">
        <v>354.08292689954476</v>
      </c>
      <c r="F270">
        <v>452850.42217755056</v>
      </c>
      <c r="G270">
        <v>7747.8787320191805</v>
      </c>
    </row>
    <row r="271" spans="1:7" x14ac:dyDescent="0.2">
      <c r="A271" s="3">
        <f t="shared" si="4"/>
        <v>51287</v>
      </c>
      <c r="B271">
        <v>2756.6787246516519</v>
      </c>
      <c r="C271">
        <v>2912.4022284415933</v>
      </c>
      <c r="D271">
        <v>0</v>
      </c>
      <c r="E271">
        <v>352.78780523074994</v>
      </c>
      <c r="F271">
        <v>452782.73268685129</v>
      </c>
      <c r="G271">
        <v>0</v>
      </c>
    </row>
    <row r="272" spans="1:7" x14ac:dyDescent="0.2">
      <c r="A272" s="3">
        <f t="shared" si="4"/>
        <v>51317</v>
      </c>
      <c r="B272">
        <v>2750.3164722134056</v>
      </c>
      <c r="C272">
        <v>2880.8272906792713</v>
      </c>
      <c r="D272">
        <v>0</v>
      </c>
      <c r="E272">
        <v>351.51070851407195</v>
      </c>
      <c r="F272">
        <v>452741.46708666894</v>
      </c>
      <c r="G272">
        <v>0</v>
      </c>
    </row>
    <row r="273" spans="1:7" x14ac:dyDescent="0.2">
      <c r="A273" s="3">
        <f t="shared" si="4"/>
        <v>51348</v>
      </c>
      <c r="B273">
        <v>2739.7758310900931</v>
      </c>
      <c r="C273">
        <v>2895.5006725830503</v>
      </c>
      <c r="D273">
        <v>0</v>
      </c>
      <c r="E273">
        <v>350.44057318780494</v>
      </c>
      <c r="F273">
        <v>452676.01742928114</v>
      </c>
      <c r="G273">
        <v>0</v>
      </c>
    </row>
    <row r="274" spans="1:7" x14ac:dyDescent="0.2">
      <c r="A274" s="3">
        <f t="shared" si="4"/>
        <v>51379</v>
      </c>
      <c r="B274">
        <v>2676.5116099041056</v>
      </c>
      <c r="C274">
        <v>13294.994445953809</v>
      </c>
      <c r="D274">
        <v>0</v>
      </c>
      <c r="E274">
        <v>343.56582798356544</v>
      </c>
      <c r="F274">
        <v>442154.62081135629</v>
      </c>
      <c r="G274">
        <v>10478.95299236601</v>
      </c>
    </row>
    <row r="275" spans="1:7" x14ac:dyDescent="0.2">
      <c r="A275" s="3">
        <f t="shared" si="4"/>
        <v>51409</v>
      </c>
      <c r="B275">
        <v>2666.3638218758656</v>
      </c>
      <c r="C275">
        <v>2813.3946998679335</v>
      </c>
      <c r="D275">
        <v>0</v>
      </c>
      <c r="E275">
        <v>342.51770991588063</v>
      </c>
      <c r="F275">
        <v>442095.48234206549</v>
      </c>
      <c r="G275">
        <v>0</v>
      </c>
    </row>
    <row r="276" spans="1:7" x14ac:dyDescent="0.2">
      <c r="A276" s="3">
        <f t="shared" si="4"/>
        <v>51440</v>
      </c>
      <c r="B276">
        <v>2652.0366077048452</v>
      </c>
      <c r="C276">
        <v>2809.9499662093981</v>
      </c>
      <c r="D276">
        <v>0</v>
      </c>
      <c r="E276">
        <v>341.47206434564208</v>
      </c>
      <c r="F276">
        <v>442026.4494701979</v>
      </c>
      <c r="G276">
        <v>0</v>
      </c>
    </row>
    <row r="277" spans="1:7" x14ac:dyDescent="0.2">
      <c r="A277" s="3">
        <f t="shared" si="4"/>
        <v>51470</v>
      </c>
      <c r="B277">
        <v>2636.1257239138213</v>
      </c>
      <c r="C277">
        <v>2926.5273439016064</v>
      </c>
      <c r="D277">
        <v>0</v>
      </c>
      <c r="E277">
        <v>340.42901111889364</v>
      </c>
      <c r="F277">
        <v>441825.90419085172</v>
      </c>
      <c r="G277">
        <v>0</v>
      </c>
    </row>
    <row r="278" spans="1:7" x14ac:dyDescent="0.2">
      <c r="A278" s="3">
        <f t="shared" si="4"/>
        <v>51501</v>
      </c>
      <c r="B278">
        <v>2635.8115277445427</v>
      </c>
      <c r="C278">
        <v>2829.9723559246504</v>
      </c>
      <c r="D278">
        <v>0</v>
      </c>
      <c r="E278">
        <v>339.15275989228763</v>
      </c>
      <c r="F278">
        <v>441722.68073614</v>
      </c>
      <c r="G278">
        <v>0</v>
      </c>
    </row>
    <row r="279" spans="1:7" x14ac:dyDescent="0.2">
      <c r="A279" s="3">
        <f t="shared" si="4"/>
        <v>51532</v>
      </c>
      <c r="B279">
        <v>2625.1899908654464</v>
      </c>
      <c r="C279">
        <v>2810.8997784886064</v>
      </c>
      <c r="D279">
        <v>0</v>
      </c>
      <c r="E279">
        <v>337.08770220146573</v>
      </c>
      <c r="F279">
        <v>441629.87289804069</v>
      </c>
      <c r="G279">
        <v>0</v>
      </c>
    </row>
    <row r="280" spans="1:7" x14ac:dyDescent="0.2">
      <c r="A280" s="3">
        <f t="shared" si="4"/>
        <v>51560</v>
      </c>
      <c r="B280">
        <v>2588.4537578443287</v>
      </c>
      <c r="C280">
        <v>8288.5286629633083</v>
      </c>
      <c r="D280">
        <v>0</v>
      </c>
      <c r="E280">
        <v>332.0330580495866</v>
      </c>
      <c r="F280">
        <v>436027.66424391948</v>
      </c>
      <c r="G280">
        <v>5456.693058217108</v>
      </c>
    </row>
    <row r="281" spans="1:7" x14ac:dyDescent="0.2">
      <c r="A281" s="3">
        <f t="shared" si="4"/>
        <v>51591</v>
      </c>
      <c r="B281">
        <v>2583.9853919922816</v>
      </c>
      <c r="C281">
        <v>2789.3784729153203</v>
      </c>
      <c r="D281">
        <v>0</v>
      </c>
      <c r="E281">
        <v>330.64401115673581</v>
      </c>
      <c r="F281">
        <v>435916.07305798732</v>
      </c>
      <c r="G281">
        <v>0</v>
      </c>
    </row>
    <row r="282" spans="1:7" x14ac:dyDescent="0.2">
      <c r="A282" s="3">
        <f t="shared" si="4"/>
        <v>51621</v>
      </c>
      <c r="B282">
        <v>2534.9368172539557</v>
      </c>
      <c r="C282">
        <v>11804.634886968748</v>
      </c>
      <c r="D282">
        <v>0</v>
      </c>
      <c r="E282">
        <v>324.4343733474185</v>
      </c>
      <c r="F282">
        <v>426746.27789396932</v>
      </c>
      <c r="G282">
        <v>9031.2154665565613</v>
      </c>
    </row>
    <row r="283" spans="1:7" x14ac:dyDescent="0.2">
      <c r="A283" s="3">
        <f t="shared" si="4"/>
        <v>51652</v>
      </c>
      <c r="B283">
        <v>2526.8287796136192</v>
      </c>
      <c r="C283">
        <v>2737.722511329584</v>
      </c>
      <c r="D283">
        <v>0</v>
      </c>
      <c r="E283">
        <v>323.24223547397935</v>
      </c>
      <c r="F283">
        <v>426627.55297857535</v>
      </c>
      <c r="G283">
        <v>0</v>
      </c>
    </row>
    <row r="284" spans="1:7" x14ac:dyDescent="0.2">
      <c r="A284" s="3">
        <f t="shared" si="4"/>
        <v>51682</v>
      </c>
      <c r="B284">
        <v>2472.5059014015437</v>
      </c>
      <c r="C284">
        <v>9372.242319781024</v>
      </c>
      <c r="D284">
        <v>0</v>
      </c>
      <c r="E284">
        <v>317.95704970579817</v>
      </c>
      <c r="F284">
        <v>419825.15499093942</v>
      </c>
      <c r="G284">
        <v>6704.8179035956737</v>
      </c>
    </row>
    <row r="285" spans="1:7" x14ac:dyDescent="0.2">
      <c r="A285" s="3">
        <f t="shared" si="4"/>
        <v>51713</v>
      </c>
      <c r="B285">
        <v>2463.4147091861992</v>
      </c>
      <c r="C285">
        <v>2680.9612634496079</v>
      </c>
      <c r="D285">
        <v>0</v>
      </c>
      <c r="E285">
        <v>316.98731265660228</v>
      </c>
      <c r="F285">
        <v>419699.29489164054</v>
      </c>
      <c r="G285">
        <v>0</v>
      </c>
    </row>
    <row r="286" spans="1:7" x14ac:dyDescent="0.2">
      <c r="A286" s="3">
        <f t="shared" si="4"/>
        <v>51744</v>
      </c>
      <c r="B286">
        <v>2376.8562055715111</v>
      </c>
      <c r="C286">
        <v>20113.526059320615</v>
      </c>
      <c r="D286">
        <v>0</v>
      </c>
      <c r="E286">
        <v>306.39784087785313</v>
      </c>
      <c r="F286">
        <v>402064.77844762884</v>
      </c>
      <c r="G286">
        <v>17558.027746560601</v>
      </c>
    </row>
    <row r="287" spans="1:7" x14ac:dyDescent="0.2">
      <c r="A287" s="3">
        <f t="shared" si="4"/>
        <v>51774</v>
      </c>
      <c r="B287">
        <v>2353.577780595941</v>
      </c>
      <c r="C287">
        <v>6290.5788017717796</v>
      </c>
      <c r="D287">
        <v>0</v>
      </c>
      <c r="E287">
        <v>301.92164930652149</v>
      </c>
      <c r="F287">
        <v>398217.24091899069</v>
      </c>
      <c r="G287">
        <v>3761.4626303405726</v>
      </c>
    </row>
    <row r="288" spans="1:7" x14ac:dyDescent="0.2">
      <c r="A288" s="3">
        <f t="shared" si="4"/>
        <v>51805</v>
      </c>
      <c r="B288">
        <v>2341.0449051669184</v>
      </c>
      <c r="C288">
        <v>2525.9748627363329</v>
      </c>
      <c r="D288">
        <v>0</v>
      </c>
      <c r="E288">
        <v>301.00957519923736</v>
      </c>
      <c r="F288">
        <v>398118.94118875265</v>
      </c>
      <c r="G288">
        <v>0</v>
      </c>
    </row>
    <row r="289" spans="1:7" x14ac:dyDescent="0.2">
      <c r="A289" s="3">
        <f t="shared" si="4"/>
        <v>51835</v>
      </c>
      <c r="B289">
        <v>2301.4500550862622</v>
      </c>
      <c r="C289">
        <v>6816.7978631580863</v>
      </c>
      <c r="D289">
        <v>0</v>
      </c>
      <c r="E289">
        <v>296.64685129339261</v>
      </c>
      <c r="F289">
        <v>393694.49064322334</v>
      </c>
      <c r="G289">
        <v>4207.8228529719318</v>
      </c>
    </row>
    <row r="290" spans="1:7" x14ac:dyDescent="0.2">
      <c r="A290" s="3">
        <f t="shared" si="4"/>
        <v>51866</v>
      </c>
      <c r="B290">
        <v>2302.7061480547454</v>
      </c>
      <c r="C290">
        <v>2518.550336054449</v>
      </c>
      <c r="D290">
        <v>0</v>
      </c>
      <c r="E290">
        <v>295.53107223743984</v>
      </c>
      <c r="F290">
        <v>393566.35256844322</v>
      </c>
      <c r="G290">
        <v>0</v>
      </c>
    </row>
    <row r="291" spans="1:7" x14ac:dyDescent="0.2">
      <c r="A291" s="3">
        <f t="shared" si="4"/>
        <v>51897</v>
      </c>
      <c r="B291">
        <v>2272.7919305589535</v>
      </c>
      <c r="C291">
        <v>6960.4782728005748</v>
      </c>
      <c r="D291">
        <v>0</v>
      </c>
      <c r="E291">
        <v>290.08634692460259</v>
      </c>
      <c r="F291">
        <v>388971.69233026035</v>
      </c>
      <c r="G291">
        <v>4485.8574593391804</v>
      </c>
    </row>
    <row r="292" spans="1:7" x14ac:dyDescent="0.2">
      <c r="A292" s="3">
        <f t="shared" si="4"/>
        <v>51925</v>
      </c>
      <c r="B292">
        <v>2259.6352184269517</v>
      </c>
      <c r="C292">
        <v>2525.2953755127255</v>
      </c>
      <c r="D292">
        <v>0</v>
      </c>
      <c r="E292">
        <v>289.21067255694811</v>
      </c>
      <c r="F292">
        <v>388795.46133463597</v>
      </c>
      <c r="G292">
        <v>0</v>
      </c>
    </row>
    <row r="293" spans="1:7" x14ac:dyDescent="0.2">
      <c r="A293" s="3">
        <f t="shared" si="4"/>
        <v>51956</v>
      </c>
      <c r="B293">
        <v>2131.5365292721808</v>
      </c>
      <c r="C293">
        <v>25940.069320096241</v>
      </c>
      <c r="D293">
        <v>0</v>
      </c>
      <c r="E293">
        <v>274.46516584056781</v>
      </c>
      <c r="F293">
        <v>365090.93166203861</v>
      </c>
      <c r="G293">
        <v>23599.285905863944</v>
      </c>
    </row>
    <row r="294" spans="1:7" x14ac:dyDescent="0.2">
      <c r="A294" s="3">
        <f t="shared" si="4"/>
        <v>51986</v>
      </c>
      <c r="B294">
        <v>2005.8387012212743</v>
      </c>
      <c r="C294">
        <v>20067.289591250395</v>
      </c>
      <c r="D294">
        <v>0</v>
      </c>
      <c r="E294">
        <v>266.79296402620344</v>
      </c>
      <c r="F294">
        <v>347118.08120162075</v>
      </c>
      <c r="G294">
        <v>17799.758551355164</v>
      </c>
    </row>
    <row r="295" spans="1:7" x14ac:dyDescent="0.2">
      <c r="A295" s="3">
        <f t="shared" si="4"/>
        <v>52017</v>
      </c>
      <c r="B295">
        <v>2000.7629626261571</v>
      </c>
      <c r="C295">
        <v>3045.8947768984722</v>
      </c>
      <c r="D295">
        <v>0</v>
      </c>
      <c r="E295">
        <v>263.02231428970913</v>
      </c>
      <c r="F295">
        <v>346147.82501073024</v>
      </c>
      <c r="G295">
        <v>812.21839719635489</v>
      </c>
    </row>
    <row r="296" spans="1:7" x14ac:dyDescent="0.2">
      <c r="A296" s="3">
        <f t="shared" si="4"/>
        <v>52047</v>
      </c>
      <c r="B296">
        <v>1996.1109132652177</v>
      </c>
      <c r="C296">
        <v>2207.1013888549396</v>
      </c>
      <c r="D296">
        <v>0</v>
      </c>
      <c r="E296">
        <v>262.03676588278398</v>
      </c>
      <c r="F296">
        <v>346011.75122266391</v>
      </c>
      <c r="G296">
        <v>0</v>
      </c>
    </row>
    <row r="297" spans="1:7" x14ac:dyDescent="0.2">
      <c r="A297" s="3">
        <f t="shared" si="4"/>
        <v>52078</v>
      </c>
      <c r="B297">
        <v>1962.1307433077907</v>
      </c>
      <c r="C297">
        <v>8274.7677617085174</v>
      </c>
      <c r="D297">
        <v>0</v>
      </c>
      <c r="E297">
        <v>257.13306790951503</v>
      </c>
      <c r="F297">
        <v>339778.80213036097</v>
      </c>
      <c r="G297">
        <v>6093.2490536699152</v>
      </c>
    </row>
    <row r="298" spans="1:7" x14ac:dyDescent="0.2">
      <c r="A298" s="3">
        <f t="shared" si="4"/>
        <v>52109</v>
      </c>
      <c r="B298">
        <v>1954.3093389489061</v>
      </c>
      <c r="C298">
        <v>2163.4202898491362</v>
      </c>
      <c r="D298">
        <v>0</v>
      </c>
      <c r="E298">
        <v>255.99391275883545</v>
      </c>
      <c r="F298">
        <v>339644.45087108616</v>
      </c>
      <c r="G298">
        <v>0</v>
      </c>
    </row>
    <row r="299" spans="1:7" x14ac:dyDescent="0.2">
      <c r="A299" s="3">
        <f t="shared" si="4"/>
        <v>52139</v>
      </c>
      <c r="B299">
        <v>1910.3254837830409</v>
      </c>
      <c r="C299">
        <v>6877.9669701746679</v>
      </c>
      <c r="D299">
        <v>0</v>
      </c>
      <c r="E299">
        <v>251.80824597838622</v>
      </c>
      <c r="F299">
        <v>334755.62396047654</v>
      </c>
      <c r="G299">
        <v>4749.6332373296627</v>
      </c>
    </row>
    <row r="300" spans="1:7" x14ac:dyDescent="0.2">
      <c r="A300" s="3">
        <f t="shared" si="4"/>
        <v>52170</v>
      </c>
      <c r="B300">
        <v>1884.5910587041517</v>
      </c>
      <c r="C300">
        <v>6759.9270624298706</v>
      </c>
      <c r="D300">
        <v>0</v>
      </c>
      <c r="E300">
        <v>247.11376961687088</v>
      </c>
      <c r="F300">
        <v>329959.03803890623</v>
      </c>
      <c r="G300">
        <v>4661.2200125428926</v>
      </c>
    </row>
    <row r="301" spans="1:7" x14ac:dyDescent="0.2">
      <c r="A301" s="3">
        <f t="shared" si="4"/>
        <v>52200</v>
      </c>
      <c r="B301">
        <v>1872.6834820590179</v>
      </c>
      <c r="C301">
        <v>2201.4197644827896</v>
      </c>
      <c r="D301">
        <v>0</v>
      </c>
      <c r="E301">
        <v>246.36648109898942</v>
      </c>
      <c r="F301">
        <v>329705.12994805374</v>
      </c>
      <c r="G301">
        <v>0</v>
      </c>
    </row>
    <row r="302" spans="1:7" x14ac:dyDescent="0.2">
      <c r="A302" s="3">
        <f t="shared" si="4"/>
        <v>52231</v>
      </c>
      <c r="B302">
        <v>1864.8147890057737</v>
      </c>
      <c r="C302">
        <v>6590.5911292633573</v>
      </c>
      <c r="D302">
        <v>0</v>
      </c>
      <c r="E302">
        <v>239.2879036744537</v>
      </c>
      <c r="F302">
        <v>325061.01321300247</v>
      </c>
      <c r="G302">
        <v>4492.2947971079884</v>
      </c>
    </row>
    <row r="303" spans="1:7" x14ac:dyDescent="0.2">
      <c r="A303" s="3">
        <f t="shared" si="4"/>
        <v>52262</v>
      </c>
      <c r="B303">
        <v>1858.2054540930053</v>
      </c>
      <c r="C303">
        <v>2080.4715802392025</v>
      </c>
      <c r="D303">
        <v>0</v>
      </c>
      <c r="E303">
        <v>237.73447501172657</v>
      </c>
      <c r="F303">
        <v>324917.43936092628</v>
      </c>
      <c r="G303">
        <v>0</v>
      </c>
    </row>
    <row r="304" spans="1:7" x14ac:dyDescent="0.2">
      <c r="A304" s="3">
        <f t="shared" si="4"/>
        <v>52290</v>
      </c>
      <c r="B304">
        <v>1847.602144586099</v>
      </c>
      <c r="C304">
        <v>2127.9832057633316</v>
      </c>
      <c r="D304">
        <v>0</v>
      </c>
      <c r="E304">
        <v>237.0058197483938</v>
      </c>
      <c r="F304">
        <v>324716.33946883614</v>
      </c>
      <c r="G304">
        <v>0</v>
      </c>
    </row>
    <row r="305" spans="1:7" x14ac:dyDescent="0.2">
      <c r="A305" s="3">
        <f t="shared" si="4"/>
        <v>52321</v>
      </c>
      <c r="B305">
        <v>1843.0105780252907</v>
      </c>
      <c r="C305">
        <v>2090.5671905589129</v>
      </c>
      <c r="D305">
        <v>0</v>
      </c>
      <c r="E305">
        <v>235.94855548859445</v>
      </c>
      <c r="F305">
        <v>324548.92553136835</v>
      </c>
      <c r="G305">
        <v>0</v>
      </c>
    </row>
    <row r="306" spans="1:7" x14ac:dyDescent="0.2">
      <c r="A306" s="3">
        <f t="shared" si="4"/>
        <v>52351</v>
      </c>
      <c r="B306">
        <v>1834.0693607839573</v>
      </c>
      <c r="C306">
        <v>2072.1207239578698</v>
      </c>
      <c r="D306">
        <v>0</v>
      </c>
      <c r="E306">
        <v>234.89514952872668</v>
      </c>
      <c r="F306">
        <v>324391.90728212864</v>
      </c>
      <c r="G306">
        <v>0</v>
      </c>
    </row>
    <row r="307" spans="1:7" x14ac:dyDescent="0.2">
      <c r="A307" s="3">
        <f t="shared" si="4"/>
        <v>52382</v>
      </c>
      <c r="B307">
        <v>1829.7749900813271</v>
      </c>
      <c r="C307">
        <v>2093.1861788637434</v>
      </c>
      <c r="D307">
        <v>0</v>
      </c>
      <c r="E307">
        <v>234.17412378495743</v>
      </c>
      <c r="F307">
        <v>324210.09738549043</v>
      </c>
      <c r="G307">
        <v>0</v>
      </c>
    </row>
    <row r="308" spans="1:7" x14ac:dyDescent="0.2">
      <c r="A308" s="3">
        <f t="shared" si="4"/>
        <v>52412</v>
      </c>
      <c r="B308">
        <v>1743.7040043578684</v>
      </c>
      <c r="C308">
        <v>13745.023240558672</v>
      </c>
      <c r="D308">
        <v>0</v>
      </c>
      <c r="E308">
        <v>228.40136956922615</v>
      </c>
      <c r="F308">
        <v>312295.97521498363</v>
      </c>
      <c r="G308">
        <v>11755.854017757361</v>
      </c>
    </row>
    <row r="309" spans="1:7" x14ac:dyDescent="0.2">
      <c r="A309" s="3">
        <f t="shared" si="4"/>
        <v>52443</v>
      </c>
      <c r="B309">
        <v>1738.2741301240806</v>
      </c>
      <c r="C309">
        <v>2000.8674109971682</v>
      </c>
      <c r="D309">
        <v>0</v>
      </c>
      <c r="E309">
        <v>227.69806732778991</v>
      </c>
      <c r="F309">
        <v>312109.68464255042</v>
      </c>
      <c r="G309">
        <v>0</v>
      </c>
    </row>
    <row r="310" spans="1:7" x14ac:dyDescent="0.2">
      <c r="A310" s="3">
        <f t="shared" si="4"/>
        <v>52474</v>
      </c>
      <c r="B310">
        <v>1710.999763513357</v>
      </c>
      <c r="C310">
        <v>6149.2173698897577</v>
      </c>
      <c r="D310">
        <v>0</v>
      </c>
      <c r="E310">
        <v>223.36949258281228</v>
      </c>
      <c r="F310">
        <v>307751.91697703284</v>
      </c>
      <c r="G310">
        <v>4192.4597289273097</v>
      </c>
    </row>
    <row r="311" spans="1:7" x14ac:dyDescent="0.2">
      <c r="A311" s="3">
        <f t="shared" si="4"/>
        <v>52504</v>
      </c>
      <c r="B311">
        <v>1704.4513885575875</v>
      </c>
      <c r="C311">
        <v>1954.1537968286643</v>
      </c>
      <c r="D311">
        <v>0</v>
      </c>
      <c r="E311">
        <v>222.68505944260659</v>
      </c>
      <c r="F311">
        <v>307579.10692603287</v>
      </c>
      <c r="G311">
        <v>0</v>
      </c>
    </row>
    <row r="312" spans="1:7" x14ac:dyDescent="0.2">
      <c r="A312" s="3">
        <f t="shared" si="4"/>
        <v>52535</v>
      </c>
      <c r="B312">
        <v>1695.793729114871</v>
      </c>
      <c r="C312">
        <v>1951.3748181584037</v>
      </c>
      <c r="D312">
        <v>0</v>
      </c>
      <c r="E312">
        <v>222.0025679039239</v>
      </c>
      <c r="F312">
        <v>307400.93246592523</v>
      </c>
      <c r="G312">
        <v>0</v>
      </c>
    </row>
    <row r="313" spans="1:7" x14ac:dyDescent="0.2">
      <c r="A313" s="3">
        <f t="shared" si="4"/>
        <v>52565</v>
      </c>
      <c r="B313">
        <v>1685.085345050566</v>
      </c>
      <c r="C313">
        <v>1947.9710186158297</v>
      </c>
      <c r="D313">
        <v>0</v>
      </c>
      <c r="E313">
        <v>221.32158087948719</v>
      </c>
      <c r="F313">
        <v>307215.96096652665</v>
      </c>
      <c r="G313">
        <v>0</v>
      </c>
    </row>
    <row r="314" spans="1:7" x14ac:dyDescent="0.2">
      <c r="A314" s="3">
        <f t="shared" si="4"/>
        <v>52596</v>
      </c>
      <c r="B314">
        <v>1605.5999361233489</v>
      </c>
      <c r="C314">
        <v>15047.760601807022</v>
      </c>
      <c r="D314">
        <v>0</v>
      </c>
      <c r="E314">
        <v>213.23309077793613</v>
      </c>
      <c r="F314">
        <v>293859.62290682114</v>
      </c>
      <c r="G314">
        <v>13162.180527460321</v>
      </c>
    </row>
    <row r="315" spans="1:7" x14ac:dyDescent="0.2">
      <c r="A315" s="3">
        <f t="shared" si="4"/>
        <v>52627</v>
      </c>
      <c r="B315">
        <v>1600.4808441234941</v>
      </c>
      <c r="C315">
        <v>1868.3013993393365</v>
      </c>
      <c r="D315">
        <v>0</v>
      </c>
      <c r="E315">
        <v>211.82505991070732</v>
      </c>
      <c r="F315">
        <v>293666.03142117528</v>
      </c>
      <c r="G315">
        <v>0</v>
      </c>
    </row>
    <row r="316" spans="1:7" x14ac:dyDescent="0.2">
      <c r="A316" s="3">
        <f t="shared" si="4"/>
        <v>52656</v>
      </c>
      <c r="B316">
        <v>1591.4704009064046</v>
      </c>
      <c r="C316">
        <v>1912.5894206114422</v>
      </c>
      <c r="D316">
        <v>0</v>
      </c>
      <c r="E316">
        <v>211.1737596989756</v>
      </c>
      <c r="F316">
        <v>293419.60432193958</v>
      </c>
      <c r="G316">
        <v>0</v>
      </c>
    </row>
    <row r="317" spans="1:7" x14ac:dyDescent="0.2">
      <c r="A317" s="3">
        <f t="shared" si="4"/>
        <v>52687</v>
      </c>
      <c r="B317">
        <v>1588.3029238026365</v>
      </c>
      <c r="C317">
        <v>2295.6356191406167</v>
      </c>
      <c r="D317">
        <v>0</v>
      </c>
      <c r="E317">
        <v>207.95741221554337</v>
      </c>
      <c r="F317">
        <v>292789.94001304678</v>
      </c>
      <c r="G317">
        <v>418.32929735932004</v>
      </c>
    </row>
    <row r="318" spans="1:7" x14ac:dyDescent="0.2">
      <c r="A318" s="3">
        <f t="shared" si="4"/>
        <v>52717</v>
      </c>
      <c r="B318">
        <v>1580.8971241221439</v>
      </c>
      <c r="C318">
        <v>1859.9955946912319</v>
      </c>
      <c r="D318">
        <v>0</v>
      </c>
      <c r="E318">
        <v>207.00026499852686</v>
      </c>
      <c r="F318">
        <v>292588.85413696175</v>
      </c>
      <c r="G318">
        <v>0</v>
      </c>
    </row>
    <row r="319" spans="1:7" x14ac:dyDescent="0.2">
      <c r="A319" s="3">
        <f t="shared" si="4"/>
        <v>52748</v>
      </c>
      <c r="B319">
        <v>1541.8875780645542</v>
      </c>
      <c r="C319">
        <v>6756.3275468060119</v>
      </c>
      <c r="D319">
        <v>0</v>
      </c>
      <c r="E319">
        <v>203.17727620813807</v>
      </c>
      <c r="F319">
        <v>287456.05400685756</v>
      </c>
      <c r="G319">
        <v>4910.4789851265778</v>
      </c>
    </row>
    <row r="320" spans="1:7" x14ac:dyDescent="0.2">
      <c r="A320" s="3">
        <f t="shared" si="4"/>
        <v>52778</v>
      </c>
      <c r="B320">
        <v>1535.8393501027888</v>
      </c>
      <c r="C320">
        <v>1821.4970870122343</v>
      </c>
      <c r="D320">
        <v>0</v>
      </c>
      <c r="E320">
        <v>202.3868281017659</v>
      </c>
      <c r="F320">
        <v>287247.83009389625</v>
      </c>
      <c r="G320">
        <v>0</v>
      </c>
    </row>
    <row r="321" spans="1:7" x14ac:dyDescent="0.2">
      <c r="A321" s="3">
        <f t="shared" si="4"/>
        <v>52809</v>
      </c>
      <c r="B321">
        <v>1531.5564854594395</v>
      </c>
      <c r="C321">
        <v>1833.3182080488734</v>
      </c>
      <c r="D321">
        <v>0</v>
      </c>
      <c r="E321">
        <v>201.75865440481121</v>
      </c>
      <c r="F321">
        <v>287023.92767587822</v>
      </c>
      <c r="G321">
        <v>0</v>
      </c>
    </row>
    <row r="322" spans="1:7" x14ac:dyDescent="0.2">
      <c r="A322" s="3">
        <f t="shared" si="4"/>
        <v>52840</v>
      </c>
      <c r="B322">
        <v>1525.7209138364594</v>
      </c>
      <c r="C322">
        <v>1816.9779042032949</v>
      </c>
      <c r="D322">
        <v>0</v>
      </c>
      <c r="E322">
        <v>200.81604399254155</v>
      </c>
      <c r="F322">
        <v>286811.25464536872</v>
      </c>
      <c r="G322">
        <v>0</v>
      </c>
    </row>
    <row r="323" spans="1:7" x14ac:dyDescent="0.2">
      <c r="A323" s="3">
        <f t="shared" si="4"/>
        <v>52870</v>
      </c>
      <c r="B323">
        <v>1520.1769762653005</v>
      </c>
      <c r="C323">
        <v>1814.5352502053611</v>
      </c>
      <c r="D323">
        <v>0</v>
      </c>
      <c r="E323">
        <v>200.19145242765561</v>
      </c>
      <c r="F323">
        <v>286595.89789883699</v>
      </c>
      <c r="G323">
        <v>0</v>
      </c>
    </row>
    <row r="324" spans="1:7" x14ac:dyDescent="0.2">
      <c r="A324" s="3">
        <f t="shared" ref="A324:A387" si="5">DATE(YEAR(A323),MONTH(A323)+2,1)-1</f>
        <v>52901</v>
      </c>
      <c r="B324">
        <v>1477.9648691728958</v>
      </c>
      <c r="C324">
        <v>8547.5695701202694</v>
      </c>
      <c r="D324">
        <v>0</v>
      </c>
      <c r="E324">
        <v>195.87938604863805</v>
      </c>
      <c r="F324">
        <v>279609.39715523215</v>
      </c>
      <c r="G324">
        <v>6777.4208688225417</v>
      </c>
    </row>
    <row r="325" spans="1:7" x14ac:dyDescent="0.2">
      <c r="A325" s="3">
        <f t="shared" si="5"/>
        <v>52931</v>
      </c>
      <c r="B325">
        <v>1468.6285796155196</v>
      </c>
      <c r="C325">
        <v>1766.82024531703</v>
      </c>
      <c r="D325">
        <v>0</v>
      </c>
      <c r="E325">
        <v>195.27050150880871</v>
      </c>
      <c r="F325">
        <v>279388.11740596249</v>
      </c>
      <c r="G325">
        <v>0</v>
      </c>
    </row>
    <row r="326" spans="1:7" x14ac:dyDescent="0.2">
      <c r="A326" s="3">
        <f t="shared" si="5"/>
        <v>52962</v>
      </c>
      <c r="B326">
        <v>1470.2817570934246</v>
      </c>
      <c r="C326">
        <v>1785.3266107181889</v>
      </c>
      <c r="D326">
        <v>0</v>
      </c>
      <c r="E326">
        <v>194.66556505702235</v>
      </c>
      <c r="F326">
        <v>279150.37400310009</v>
      </c>
      <c r="G326">
        <v>0</v>
      </c>
    </row>
    <row r="327" spans="1:7" x14ac:dyDescent="0.2">
      <c r="A327" s="3">
        <f t="shared" si="5"/>
        <v>52993</v>
      </c>
      <c r="B327">
        <v>1426.0264272489117</v>
      </c>
      <c r="C327">
        <v>7852.9912080944587</v>
      </c>
      <c r="D327">
        <v>0</v>
      </c>
      <c r="E327">
        <v>189.87347930157495</v>
      </c>
      <c r="F327">
        <v>272805.2713303052</v>
      </c>
      <c r="G327">
        <v>6121.4592960272194</v>
      </c>
    </row>
    <row r="328" spans="1:7" x14ac:dyDescent="0.2">
      <c r="A328" s="3">
        <f t="shared" si="5"/>
        <v>53021</v>
      </c>
      <c r="B328">
        <v>1418.044832235837</v>
      </c>
      <c r="C328">
        <v>1745.9292929094775</v>
      </c>
      <c r="D328">
        <v>0</v>
      </c>
      <c r="E328">
        <v>189.28031706159004</v>
      </c>
      <c r="F328">
        <v>272553.66557573964</v>
      </c>
      <c r="G328">
        <v>0</v>
      </c>
    </row>
    <row r="329" spans="1:7" x14ac:dyDescent="0.2">
      <c r="A329" s="3">
        <f t="shared" si="5"/>
        <v>53052</v>
      </c>
      <c r="B329">
        <v>1415.7430652242131</v>
      </c>
      <c r="C329">
        <v>1739.9159597972243</v>
      </c>
      <c r="D329">
        <v>0</v>
      </c>
      <c r="E329">
        <v>188.54281152126111</v>
      </c>
      <c r="F329">
        <v>272306.26397020754</v>
      </c>
      <c r="G329">
        <v>0</v>
      </c>
    </row>
    <row r="330" spans="1:7" x14ac:dyDescent="0.2">
      <c r="A330" s="3">
        <f t="shared" si="5"/>
        <v>53082</v>
      </c>
      <c r="B330">
        <v>1371.7396827714442</v>
      </c>
      <c r="C330">
        <v>13637.430218234414</v>
      </c>
      <c r="D330">
        <v>0</v>
      </c>
      <c r="E330">
        <v>178.48064486985731</v>
      </c>
      <c r="F330">
        <v>260127.16606030773</v>
      </c>
      <c r="G330">
        <v>11990.986473268249</v>
      </c>
    </row>
    <row r="331" spans="1:7" x14ac:dyDescent="0.2">
      <c r="A331" s="3">
        <f t="shared" si="5"/>
        <v>53113</v>
      </c>
      <c r="B331">
        <v>1368.2043193238028</v>
      </c>
      <c r="C331">
        <v>1664.7874087346904</v>
      </c>
      <c r="D331">
        <v>0</v>
      </c>
      <c r="E331">
        <v>177.9258735054627</v>
      </c>
      <c r="F331">
        <v>259905.87477086968</v>
      </c>
      <c r="G331">
        <v>0</v>
      </c>
    </row>
    <row r="332" spans="1:7" x14ac:dyDescent="0.2">
      <c r="A332" s="3">
        <f t="shared" si="5"/>
        <v>53143</v>
      </c>
      <c r="B332">
        <v>1363.1017340461635</v>
      </c>
      <c r="C332">
        <v>1642.1370057815725</v>
      </c>
      <c r="D332">
        <v>0</v>
      </c>
      <c r="E332">
        <v>177.22248692448534</v>
      </c>
      <c r="F332">
        <v>259702.6192723334</v>
      </c>
      <c r="G332">
        <v>0</v>
      </c>
    </row>
    <row r="333" spans="1:7" x14ac:dyDescent="0.2">
      <c r="A333" s="3">
        <f t="shared" si="5"/>
        <v>53174</v>
      </c>
      <c r="B333">
        <v>1359.7144316012559</v>
      </c>
      <c r="C333">
        <v>1653.0466207585778</v>
      </c>
      <c r="D333">
        <v>0</v>
      </c>
      <c r="E333">
        <v>176.67164553409165</v>
      </c>
      <c r="F333">
        <v>259485.41984113565</v>
      </c>
      <c r="G333">
        <v>0</v>
      </c>
    </row>
    <row r="334" spans="1:7" x14ac:dyDescent="0.2">
      <c r="A334" s="3">
        <f t="shared" si="5"/>
        <v>53205</v>
      </c>
      <c r="B334">
        <v>1332.2640288879834</v>
      </c>
      <c r="C334">
        <v>6713.4125802702547</v>
      </c>
      <c r="D334">
        <v>0</v>
      </c>
      <c r="E334">
        <v>172.56162498956482</v>
      </c>
      <c r="F334">
        <v>254184.30263807313</v>
      </c>
      <c r="G334">
        <v>5107.9070238040667</v>
      </c>
    </row>
    <row r="335" spans="1:7" x14ac:dyDescent="0.2">
      <c r="A335" s="3">
        <f t="shared" si="5"/>
        <v>53235</v>
      </c>
      <c r="B335">
        <v>1327.7730919769283</v>
      </c>
      <c r="C335">
        <v>1602.7300676254697</v>
      </c>
      <c r="D335">
        <v>0</v>
      </c>
      <c r="E335">
        <v>172.02748994721389</v>
      </c>
      <c r="F335">
        <v>253984.75083675294</v>
      </c>
      <c r="G335">
        <v>0</v>
      </c>
    </row>
    <row r="336" spans="1:7" x14ac:dyDescent="0.2">
      <c r="A336" s="3">
        <f t="shared" si="5"/>
        <v>53266</v>
      </c>
      <c r="B336">
        <v>1320.3085675002258</v>
      </c>
      <c r="C336">
        <v>1746.3639436035487</v>
      </c>
      <c r="D336">
        <v>0</v>
      </c>
      <c r="E336">
        <v>169.48124595598537</v>
      </c>
      <c r="F336">
        <v>253636.45262765858</v>
      </c>
      <c r="G336">
        <v>147.2244595806182</v>
      </c>
    </row>
    <row r="337" spans="1:7" x14ac:dyDescent="0.2">
      <c r="A337" s="3">
        <f t="shared" si="5"/>
        <v>53296</v>
      </c>
      <c r="B337">
        <v>1311.9560778646717</v>
      </c>
      <c r="C337">
        <v>1596.1022104412098</v>
      </c>
      <c r="D337">
        <v>0</v>
      </c>
      <c r="E337">
        <v>168.96069523933954</v>
      </c>
      <c r="F337">
        <v>253430.24516608866</v>
      </c>
      <c r="G337">
        <v>0</v>
      </c>
    </row>
    <row r="338" spans="1:7" x14ac:dyDescent="0.2">
      <c r="A338" s="3">
        <f t="shared" si="5"/>
        <v>53327</v>
      </c>
      <c r="B338">
        <v>1314.2616255857502</v>
      </c>
      <c r="C338">
        <v>1613.6604334196745</v>
      </c>
      <c r="D338">
        <v>0</v>
      </c>
      <c r="E338">
        <v>168.44369884011846</v>
      </c>
      <c r="F338">
        <v>253209.10129547754</v>
      </c>
      <c r="G338">
        <v>0</v>
      </c>
    </row>
    <row r="339" spans="1:7" x14ac:dyDescent="0.2">
      <c r="A339" s="3">
        <f t="shared" si="5"/>
        <v>53358</v>
      </c>
      <c r="B339">
        <v>1308.7777461008466</v>
      </c>
      <c r="C339">
        <v>1598.1530048880609</v>
      </c>
      <c r="D339">
        <v>0</v>
      </c>
      <c r="E339">
        <v>167.26963265239081</v>
      </c>
      <c r="F339">
        <v>252998.93977024933</v>
      </c>
      <c r="G339">
        <v>0</v>
      </c>
    </row>
    <row r="340" spans="1:7" x14ac:dyDescent="0.2">
      <c r="A340" s="3">
        <f t="shared" si="5"/>
        <v>53386</v>
      </c>
      <c r="B340">
        <v>1301.4685850706733</v>
      </c>
      <c r="C340">
        <v>1611.6847935496594</v>
      </c>
      <c r="D340">
        <v>0</v>
      </c>
      <c r="E340">
        <v>166.75322038538636</v>
      </c>
      <c r="F340">
        <v>252768.2491283773</v>
      </c>
      <c r="G340">
        <v>0</v>
      </c>
    </row>
    <row r="341" spans="1:7" x14ac:dyDescent="0.2">
      <c r="A341" s="3">
        <f t="shared" si="5"/>
        <v>53417</v>
      </c>
      <c r="B341">
        <v>1299.6802458227289</v>
      </c>
      <c r="C341">
        <v>1599.4826332674536</v>
      </c>
      <c r="D341">
        <v>0</v>
      </c>
      <c r="E341">
        <v>166.10110392940311</v>
      </c>
      <c r="F341">
        <v>252548.39986095382</v>
      </c>
      <c r="G341">
        <v>0</v>
      </c>
    </row>
    <row r="342" spans="1:7" x14ac:dyDescent="0.2">
      <c r="A342" s="3">
        <f t="shared" si="5"/>
        <v>53447</v>
      </c>
      <c r="B342">
        <v>1293.8799584572289</v>
      </c>
      <c r="C342">
        <v>1590.2436073856572</v>
      </c>
      <c r="D342">
        <v>0</v>
      </c>
      <c r="E342">
        <v>165.45161355826087</v>
      </c>
      <c r="F342">
        <v>252332.42481278232</v>
      </c>
      <c r="G342">
        <v>0</v>
      </c>
    </row>
    <row r="343" spans="1:7" x14ac:dyDescent="0.2">
      <c r="A343" s="3">
        <f t="shared" si="5"/>
        <v>53478</v>
      </c>
      <c r="B343">
        <v>1255.0590451128046</v>
      </c>
      <c r="C343">
        <v>11260.78512672109</v>
      </c>
      <c r="D343">
        <v>0</v>
      </c>
      <c r="E343">
        <v>160.47638790778845</v>
      </c>
      <c r="F343">
        <v>242411.85231925806</v>
      </c>
      <c r="G343">
        <v>9712.7052903836575</v>
      </c>
    </row>
    <row r="344" spans="1:7" x14ac:dyDescent="0.2">
      <c r="A344" s="3">
        <f t="shared" si="5"/>
        <v>53508</v>
      </c>
      <c r="B344">
        <v>1250.5232407861379</v>
      </c>
      <c r="C344">
        <v>1526.9005312485554</v>
      </c>
      <c r="D344">
        <v>0</v>
      </c>
      <c r="E344">
        <v>159.84242160509908</v>
      </c>
      <c r="F344">
        <v>242211.60552073712</v>
      </c>
      <c r="G344">
        <v>0</v>
      </c>
    </row>
    <row r="345" spans="1:7" x14ac:dyDescent="0.2">
      <c r="A345" s="3">
        <f t="shared" si="5"/>
        <v>53539</v>
      </c>
      <c r="B345">
        <v>1212.8761584339591</v>
      </c>
      <c r="C345">
        <v>6638.0162422674266</v>
      </c>
      <c r="D345">
        <v>0</v>
      </c>
      <c r="E345">
        <v>156.32009446093872</v>
      </c>
      <c r="F345">
        <v>236865.92332814218</v>
      </c>
      <c r="G345">
        <v>5135.3424333515577</v>
      </c>
    </row>
    <row r="346" spans="1:7" x14ac:dyDescent="0.2">
      <c r="A346" s="3">
        <f t="shared" si="5"/>
        <v>53570</v>
      </c>
      <c r="B346">
        <v>1189.8347448124346</v>
      </c>
      <c r="C346">
        <v>5904.7361585146027</v>
      </c>
      <c r="D346">
        <v>0</v>
      </c>
      <c r="E346">
        <v>152.4912030616342</v>
      </c>
      <c r="F346">
        <v>232229.10500678871</v>
      </c>
      <c r="G346">
        <v>4443.1885251867288</v>
      </c>
    </row>
    <row r="347" spans="1:7" x14ac:dyDescent="0.2">
      <c r="A347" s="3">
        <f t="shared" si="5"/>
        <v>53600</v>
      </c>
      <c r="B347">
        <v>1161.3493248016396</v>
      </c>
      <c r="C347">
        <v>6338.9309393227077</v>
      </c>
      <c r="D347">
        <v>0</v>
      </c>
      <c r="E347">
        <v>148.97629498273028</v>
      </c>
      <c r="F347">
        <v>227128.60773744938</v>
      </c>
      <c r="G347">
        <v>4909.6572675840544</v>
      </c>
    </row>
    <row r="348" spans="1:7" x14ac:dyDescent="0.2">
      <c r="A348" s="3">
        <f t="shared" si="5"/>
        <v>53631</v>
      </c>
      <c r="B348">
        <v>1154.8760927158417</v>
      </c>
      <c r="C348">
        <v>1426.7957083814524</v>
      </c>
      <c r="D348">
        <v>0</v>
      </c>
      <c r="E348">
        <v>148.52404096376284</v>
      </c>
      <c r="F348">
        <v>226929.2597030215</v>
      </c>
      <c r="G348">
        <v>0</v>
      </c>
    </row>
    <row r="349" spans="1:7" x14ac:dyDescent="0.2">
      <c r="A349" s="3">
        <f t="shared" si="5"/>
        <v>53661</v>
      </c>
      <c r="B349">
        <v>1147.5605757094725</v>
      </c>
      <c r="C349">
        <v>1423.9745027631805</v>
      </c>
      <c r="D349">
        <v>0</v>
      </c>
      <c r="E349">
        <v>148.07284480538064</v>
      </c>
      <c r="F349">
        <v>226725.67450040809</v>
      </c>
      <c r="G349">
        <v>0</v>
      </c>
    </row>
    <row r="350" spans="1:7" x14ac:dyDescent="0.2">
      <c r="A350" s="3">
        <f t="shared" si="5"/>
        <v>53692</v>
      </c>
      <c r="B350">
        <v>1150.5792671846477</v>
      </c>
      <c r="C350">
        <v>1440.5709749937751</v>
      </c>
      <c r="D350">
        <v>0</v>
      </c>
      <c r="E350">
        <v>147.62494095080902</v>
      </c>
      <c r="F350">
        <v>226508.76124331733</v>
      </c>
      <c r="G350">
        <v>0</v>
      </c>
    </row>
    <row r="351" spans="1:7" x14ac:dyDescent="0.2">
      <c r="A351" s="3">
        <f t="shared" si="5"/>
        <v>53723</v>
      </c>
      <c r="B351">
        <v>1146.0144609534511</v>
      </c>
      <c r="C351">
        <v>1426.0142351201334</v>
      </c>
      <c r="D351">
        <v>0</v>
      </c>
      <c r="E351">
        <v>146.57308509538925</v>
      </c>
      <c r="F351">
        <v>226302.68062411284</v>
      </c>
      <c r="G351">
        <v>0</v>
      </c>
    </row>
    <row r="352" spans="1:7" x14ac:dyDescent="0.2">
      <c r="A352" s="3">
        <f t="shared" si="5"/>
        <v>53751</v>
      </c>
      <c r="B352">
        <v>1139.6739802543004</v>
      </c>
      <c r="C352">
        <v>1438.7169667246651</v>
      </c>
      <c r="D352">
        <v>0</v>
      </c>
      <c r="E352">
        <v>146.1254980232159</v>
      </c>
      <c r="F352">
        <v>226077.80377296705</v>
      </c>
      <c r="G352">
        <v>0</v>
      </c>
    </row>
    <row r="353" spans="1:7" x14ac:dyDescent="0.2">
      <c r="A353" s="3">
        <f t="shared" si="5"/>
        <v>53782</v>
      </c>
      <c r="B353">
        <v>1138.6954205988752</v>
      </c>
      <c r="C353">
        <v>1427.4008573190442</v>
      </c>
      <c r="D353">
        <v>0</v>
      </c>
      <c r="E353">
        <v>145.55046395354736</v>
      </c>
      <c r="F353">
        <v>225863.6206019643</v>
      </c>
      <c r="G353">
        <v>0</v>
      </c>
    </row>
    <row r="354" spans="1:7" x14ac:dyDescent="0.2">
      <c r="A354" s="3">
        <f t="shared" si="5"/>
        <v>53812</v>
      </c>
      <c r="B354">
        <v>1133.8141662394562</v>
      </c>
      <c r="C354">
        <v>1418.8044611172566</v>
      </c>
      <c r="D354">
        <v>0</v>
      </c>
      <c r="E354">
        <v>144.97771363462539</v>
      </c>
      <c r="F354">
        <v>225653.51682908094</v>
      </c>
      <c r="G354">
        <v>0</v>
      </c>
    </row>
    <row r="355" spans="1:7" x14ac:dyDescent="0.2">
      <c r="A355" s="3">
        <f t="shared" si="5"/>
        <v>53843</v>
      </c>
      <c r="B355">
        <v>1130.7041329295657</v>
      </c>
      <c r="C355">
        <v>1435.8299854434372</v>
      </c>
      <c r="D355">
        <v>0</v>
      </c>
      <c r="E355">
        <v>144.53535671761543</v>
      </c>
      <c r="F355">
        <v>225423.51533247789</v>
      </c>
      <c r="G355">
        <v>0</v>
      </c>
    </row>
    <row r="356" spans="1:7" x14ac:dyDescent="0.2">
      <c r="A356" s="3">
        <f t="shared" si="5"/>
        <v>53873</v>
      </c>
      <c r="B356">
        <v>1073.7654990306487</v>
      </c>
      <c r="C356">
        <v>9831.5569279619231</v>
      </c>
      <c r="D356">
        <v>0</v>
      </c>
      <c r="E356">
        <v>140.20558639361124</v>
      </c>
      <c r="F356">
        <v>216744.95413758003</v>
      </c>
      <c r="G356">
        <v>8468.8626116379655</v>
      </c>
    </row>
    <row r="357" spans="1:7" x14ac:dyDescent="0.2">
      <c r="A357" s="3">
        <f t="shared" si="5"/>
        <v>53904</v>
      </c>
      <c r="B357">
        <v>1045.7413700576235</v>
      </c>
      <c r="C357">
        <v>6505.0570545421424</v>
      </c>
      <c r="D357">
        <v>0</v>
      </c>
      <c r="E357">
        <v>136.71893809696945</v>
      </c>
      <c r="F357">
        <v>211359.90729399945</v>
      </c>
      <c r="G357">
        <v>5164.4310916474906</v>
      </c>
    </row>
    <row r="358" spans="1:7" x14ac:dyDescent="0.2">
      <c r="A358" s="3">
        <f t="shared" si="5"/>
        <v>53935</v>
      </c>
      <c r="B358">
        <v>1041.757534500973</v>
      </c>
      <c r="C358">
        <v>1327.1359924968931</v>
      </c>
      <c r="D358">
        <v>0</v>
      </c>
      <c r="E358">
        <v>136.03776711090785</v>
      </c>
      <c r="F358">
        <v>211144.23683855654</v>
      </c>
      <c r="G358">
        <v>0</v>
      </c>
    </row>
    <row r="359" spans="1:7" x14ac:dyDescent="0.2">
      <c r="A359" s="3">
        <f t="shared" si="5"/>
        <v>53965</v>
      </c>
      <c r="B359">
        <v>1038.0894003251969</v>
      </c>
      <c r="C359">
        <v>1325.3412465707504</v>
      </c>
      <c r="D359">
        <v>0</v>
      </c>
      <c r="E359">
        <v>135.62137150119253</v>
      </c>
      <c r="F359">
        <v>210926.89944865266</v>
      </c>
      <c r="G359">
        <v>0</v>
      </c>
    </row>
    <row r="360" spans="1:7" x14ac:dyDescent="0.2">
      <c r="A360" s="3">
        <f t="shared" si="5"/>
        <v>53996</v>
      </c>
      <c r="B360">
        <v>1032.3178220034556</v>
      </c>
      <c r="C360">
        <v>1322.8970594540501</v>
      </c>
      <c r="D360">
        <v>0</v>
      </c>
      <c r="E360">
        <v>135.2058749290737</v>
      </c>
      <c r="F360">
        <v>210706.43859963727</v>
      </c>
      <c r="G360">
        <v>0</v>
      </c>
    </row>
    <row r="361" spans="1:7" x14ac:dyDescent="0.2">
      <c r="A361" s="3">
        <f t="shared" si="5"/>
        <v>54026</v>
      </c>
      <c r="B361">
        <v>1025.7489480957458</v>
      </c>
      <c r="C361">
        <v>1320.1092462647057</v>
      </c>
      <c r="D361">
        <v>0</v>
      </c>
      <c r="E361">
        <v>134.79136851701395</v>
      </c>
      <c r="F361">
        <v>210482.39659134322</v>
      </c>
      <c r="G361">
        <v>0</v>
      </c>
    </row>
    <row r="362" spans="1:7" x14ac:dyDescent="0.2">
      <c r="A362" s="3">
        <f t="shared" si="5"/>
        <v>54057</v>
      </c>
      <c r="B362">
        <v>1029.2001325912104</v>
      </c>
      <c r="C362">
        <v>1335.627778877039</v>
      </c>
      <c r="D362">
        <v>0</v>
      </c>
      <c r="E362">
        <v>134.38002302499234</v>
      </c>
      <c r="F362">
        <v>210246.48048941535</v>
      </c>
      <c r="G362">
        <v>0</v>
      </c>
    </row>
    <row r="363" spans="1:7" x14ac:dyDescent="0.2">
      <c r="A363" s="3">
        <f t="shared" si="5"/>
        <v>54088</v>
      </c>
      <c r="B363">
        <v>1025.2713188038485</v>
      </c>
      <c r="C363">
        <v>1321.7249274479877</v>
      </c>
      <c r="D363">
        <v>0</v>
      </c>
      <c r="E363">
        <v>133.40628164451593</v>
      </c>
      <c r="F363">
        <v>210021.28251680656</v>
      </c>
      <c r="G363">
        <v>0</v>
      </c>
    </row>
    <row r="364" spans="1:7" x14ac:dyDescent="0.2">
      <c r="A364" s="3">
        <f t="shared" si="5"/>
        <v>54117</v>
      </c>
      <c r="B364">
        <v>1019.6176944929745</v>
      </c>
      <c r="C364">
        <v>1333.4784420213086</v>
      </c>
      <c r="D364">
        <v>0</v>
      </c>
      <c r="E364">
        <v>132.99361311067412</v>
      </c>
      <c r="F364">
        <v>209778.87085757891</v>
      </c>
      <c r="G364">
        <v>0</v>
      </c>
    </row>
    <row r="365" spans="1:7" x14ac:dyDescent="0.2">
      <c r="A365" s="3">
        <f t="shared" si="5"/>
        <v>54148</v>
      </c>
      <c r="B365">
        <v>1019.1711220772195</v>
      </c>
      <c r="C365">
        <v>1322.7968122944001</v>
      </c>
      <c r="D365">
        <v>0</v>
      </c>
      <c r="E365">
        <v>132.46141768285526</v>
      </c>
      <c r="F365">
        <v>209546.99047836458</v>
      </c>
      <c r="G365">
        <v>0</v>
      </c>
    </row>
    <row r="366" spans="1:7" x14ac:dyDescent="0.2">
      <c r="A366" s="3">
        <f t="shared" si="5"/>
        <v>54178</v>
      </c>
      <c r="B366">
        <v>1014.9310951606956</v>
      </c>
      <c r="C366">
        <v>1314.6435379809807</v>
      </c>
      <c r="D366">
        <v>0</v>
      </c>
      <c r="E366">
        <v>131.93132704575805</v>
      </c>
      <c r="F366">
        <v>209319.32771600696</v>
      </c>
      <c r="G366">
        <v>0</v>
      </c>
    </row>
    <row r="367" spans="1:7" x14ac:dyDescent="0.2">
      <c r="A367" s="3">
        <f t="shared" si="5"/>
        <v>54209</v>
      </c>
      <c r="B367">
        <v>990.39314186706451</v>
      </c>
      <c r="C367">
        <v>7689.6333424575878</v>
      </c>
      <c r="D367">
        <v>0</v>
      </c>
      <c r="E367">
        <v>127.99035722758227</v>
      </c>
      <c r="F367">
        <v>202695.85655010876</v>
      </c>
      <c r="G367">
        <v>6396.9043161952713</v>
      </c>
    </row>
    <row r="368" spans="1:7" x14ac:dyDescent="0.2">
      <c r="A368" s="3">
        <f t="shared" si="5"/>
        <v>54239</v>
      </c>
      <c r="B368">
        <v>984.79133488942023</v>
      </c>
      <c r="C368">
        <v>1517.4622611439634</v>
      </c>
      <c r="D368">
        <v>0</v>
      </c>
      <c r="E368">
        <v>125.64884587602357</v>
      </c>
      <c r="F368">
        <v>202234.84863124078</v>
      </c>
      <c r="G368">
        <v>243.91963468729992</v>
      </c>
    </row>
    <row r="369" spans="1:7" x14ac:dyDescent="0.2">
      <c r="A369" s="3">
        <f t="shared" si="5"/>
        <v>54270</v>
      </c>
      <c r="B369">
        <v>981.00350651015708</v>
      </c>
      <c r="C369">
        <v>1281.9650470805777</v>
      </c>
      <c r="D369">
        <v>0</v>
      </c>
      <c r="E369">
        <v>125.25579879967358</v>
      </c>
      <c r="F369">
        <v>202005.49438249751</v>
      </c>
      <c r="G369">
        <v>0</v>
      </c>
    </row>
    <row r="370" spans="1:7" x14ac:dyDescent="0.2">
      <c r="A370" s="3">
        <f t="shared" si="5"/>
        <v>54301</v>
      </c>
      <c r="B370">
        <v>977.29963515648296</v>
      </c>
      <c r="C370">
        <v>1269.2135284100655</v>
      </c>
      <c r="D370">
        <v>0</v>
      </c>
      <c r="E370">
        <v>124.61620923157533</v>
      </c>
      <c r="F370">
        <v>201785.60410849345</v>
      </c>
      <c r="G370">
        <v>0</v>
      </c>
    </row>
    <row r="371" spans="1:7" x14ac:dyDescent="0.2">
      <c r="A371" s="3">
        <f t="shared" si="5"/>
        <v>54331</v>
      </c>
      <c r="B371">
        <v>973.8916780053961</v>
      </c>
      <c r="C371">
        <v>1267.5743923667656</v>
      </c>
      <c r="D371">
        <v>0</v>
      </c>
      <c r="E371">
        <v>124.22563357611249</v>
      </c>
      <c r="F371">
        <v>201564.12153948407</v>
      </c>
      <c r="G371">
        <v>0</v>
      </c>
    </row>
    <row r="372" spans="1:7" x14ac:dyDescent="0.2">
      <c r="A372" s="3">
        <f t="shared" si="5"/>
        <v>54362</v>
      </c>
      <c r="B372">
        <v>968.44174984063932</v>
      </c>
      <c r="C372">
        <v>1265.1187282587498</v>
      </c>
      <c r="D372">
        <v>0</v>
      </c>
      <c r="E372">
        <v>123.83581924963241</v>
      </c>
      <c r="F372">
        <v>201339.81892119104</v>
      </c>
      <c r="G372">
        <v>0</v>
      </c>
    </row>
    <row r="373" spans="1:7" x14ac:dyDescent="0.2">
      <c r="A373" s="3">
        <f t="shared" si="5"/>
        <v>54392</v>
      </c>
      <c r="B373">
        <v>962.23957950665306</v>
      </c>
      <c r="C373">
        <v>1262.3386963755636</v>
      </c>
      <c r="D373">
        <v>0</v>
      </c>
      <c r="E373">
        <v>123.44693531969216</v>
      </c>
      <c r="F373">
        <v>201112.26470368047</v>
      </c>
      <c r="G373">
        <v>0</v>
      </c>
    </row>
    <row r="374" spans="1:7" x14ac:dyDescent="0.2">
      <c r="A374" s="3">
        <f t="shared" si="5"/>
        <v>54423</v>
      </c>
      <c r="B374">
        <v>965.75323818330025</v>
      </c>
      <c r="C374">
        <v>1276.8237727067828</v>
      </c>
      <c r="D374">
        <v>0</v>
      </c>
      <c r="E374">
        <v>123.06107844415206</v>
      </c>
      <c r="F374">
        <v>200873.90341546395</v>
      </c>
      <c r="G374">
        <v>0</v>
      </c>
    </row>
    <row r="375" spans="1:7" x14ac:dyDescent="0.2">
      <c r="A375" s="3">
        <f t="shared" si="5"/>
        <v>54454</v>
      </c>
      <c r="B375">
        <v>926.8333257588265</v>
      </c>
      <c r="C375">
        <v>7017.0815280177258</v>
      </c>
      <c r="D375">
        <v>0</v>
      </c>
      <c r="E375">
        <v>119.21559866941284</v>
      </c>
      <c r="F375">
        <v>194853.35219224275</v>
      </c>
      <c r="G375">
        <v>5790.1852231622715</v>
      </c>
    </row>
    <row r="376" spans="1:7" x14ac:dyDescent="0.2">
      <c r="A376" s="3">
        <f t="shared" si="5"/>
        <v>54482</v>
      </c>
      <c r="B376">
        <v>921.73000849002472</v>
      </c>
      <c r="C376">
        <v>1237.7720792234077</v>
      </c>
      <c r="D376">
        <v>0</v>
      </c>
      <c r="E376">
        <v>118.83913343277301</v>
      </c>
      <c r="F376">
        <v>194601.72151694892</v>
      </c>
      <c r="G376">
        <v>0</v>
      </c>
    </row>
    <row r="377" spans="1:7" x14ac:dyDescent="0.2">
      <c r="A377" s="3">
        <f t="shared" si="5"/>
        <v>54513</v>
      </c>
      <c r="B377">
        <v>888.10830018704337</v>
      </c>
      <c r="C377">
        <v>6682.2991430539514</v>
      </c>
      <c r="D377">
        <v>0</v>
      </c>
      <c r="E377">
        <v>115.48568711304571</v>
      </c>
      <c r="F377">
        <v>188875.0588688766</v>
      </c>
      <c r="G377">
        <v>5489.2976957131077</v>
      </c>
    </row>
    <row r="378" spans="1:7" x14ac:dyDescent="0.2">
      <c r="A378" s="3">
        <f t="shared" si="5"/>
        <v>54543</v>
      </c>
      <c r="B378">
        <v>884.59732246461112</v>
      </c>
      <c r="C378">
        <v>1185.3477967500089</v>
      </c>
      <c r="D378">
        <v>0</v>
      </c>
      <c r="E378">
        <v>115.00811136339721</v>
      </c>
      <c r="F378">
        <v>188636.92850485753</v>
      </c>
      <c r="G378">
        <v>0</v>
      </c>
    </row>
    <row r="379" spans="1:7" x14ac:dyDescent="0.2">
      <c r="A379" s="3">
        <f t="shared" si="5"/>
        <v>54574</v>
      </c>
      <c r="B379">
        <v>882.31728223196126</v>
      </c>
      <c r="C379">
        <v>1183.9714015559052</v>
      </c>
      <c r="D379">
        <v>0</v>
      </c>
      <c r="E379">
        <v>114.64527472352414</v>
      </c>
      <c r="F379">
        <v>188398.03338189112</v>
      </c>
      <c r="G379">
        <v>0</v>
      </c>
    </row>
    <row r="380" spans="1:7" x14ac:dyDescent="0.2">
      <c r="A380" s="3">
        <f t="shared" si="5"/>
        <v>54604</v>
      </c>
      <c r="B380">
        <v>877.34513714168907</v>
      </c>
      <c r="C380">
        <v>1181.6478981211042</v>
      </c>
      <c r="D380">
        <v>0</v>
      </c>
      <c r="E380">
        <v>114.28311647698379</v>
      </c>
      <c r="F380">
        <v>188156.62710574668</v>
      </c>
      <c r="G380">
        <v>0</v>
      </c>
    </row>
    <row r="381" spans="1:7" x14ac:dyDescent="0.2">
      <c r="A381" s="3">
        <f t="shared" si="5"/>
        <v>54635</v>
      </c>
      <c r="B381">
        <v>874.15070350178985</v>
      </c>
      <c r="C381">
        <v>1189.4500577332924</v>
      </c>
      <c r="D381">
        <v>0</v>
      </c>
      <c r="E381">
        <v>113.92234317834421</v>
      </c>
      <c r="F381">
        <v>187904.35797825686</v>
      </c>
      <c r="G381">
        <v>0</v>
      </c>
    </row>
    <row r="382" spans="1:7" x14ac:dyDescent="0.2">
      <c r="A382" s="3">
        <f t="shared" si="5"/>
        <v>54666</v>
      </c>
      <c r="B382">
        <v>871.02061400328739</v>
      </c>
      <c r="C382">
        <v>1177.4108511547918</v>
      </c>
      <c r="D382">
        <v>0</v>
      </c>
      <c r="E382">
        <v>113.32977026950104</v>
      </c>
      <c r="F382">
        <v>187661.35329335669</v>
      </c>
      <c r="G382">
        <v>0</v>
      </c>
    </row>
    <row r="383" spans="1:7" x14ac:dyDescent="0.2">
      <c r="A383" s="3">
        <f t="shared" si="5"/>
        <v>54696</v>
      </c>
      <c r="B383">
        <v>820.14160468237367</v>
      </c>
      <c r="C383">
        <v>8908.2688433664753</v>
      </c>
      <c r="D383">
        <v>0</v>
      </c>
      <c r="E383">
        <v>109.64358789874737</v>
      </c>
      <c r="F383">
        <v>179640.06925467349</v>
      </c>
      <c r="G383">
        <v>7785.5097621189188</v>
      </c>
    </row>
    <row r="384" spans="1:7" x14ac:dyDescent="0.2">
      <c r="A384" s="3">
        <f t="shared" si="5"/>
        <v>54727</v>
      </c>
      <c r="B384">
        <v>777.81957873879821</v>
      </c>
      <c r="C384">
        <v>11717.75734586579</v>
      </c>
      <c r="D384">
        <v>0</v>
      </c>
      <c r="E384">
        <v>103.22268778450666</v>
      </c>
      <c r="F384">
        <v>168765.85194252655</v>
      </c>
      <c r="G384">
        <v>10663.006285327021</v>
      </c>
    </row>
    <row r="385" spans="1:7" x14ac:dyDescent="0.2">
      <c r="A385" s="3">
        <f t="shared" si="5"/>
        <v>54757</v>
      </c>
      <c r="B385">
        <v>772.85427612630383</v>
      </c>
      <c r="C385">
        <v>1052.2856820249324</v>
      </c>
      <c r="D385">
        <v>0</v>
      </c>
      <c r="E385">
        <v>102.90103429565528</v>
      </c>
      <c r="F385">
        <v>168542.23594870639</v>
      </c>
      <c r="G385">
        <v>0</v>
      </c>
    </row>
    <row r="386" spans="1:7" x14ac:dyDescent="0.2">
      <c r="A386" s="3">
        <f t="shared" si="5"/>
        <v>54788</v>
      </c>
      <c r="B386">
        <v>777.30182792488336</v>
      </c>
      <c r="C386">
        <v>1066.0762711111731</v>
      </c>
      <c r="D386">
        <v>0</v>
      </c>
      <c r="E386">
        <v>102.58218627102013</v>
      </c>
      <c r="F386">
        <v>168309.38546516563</v>
      </c>
      <c r="G386">
        <v>0</v>
      </c>
    </row>
    <row r="387" spans="1:7" x14ac:dyDescent="0.2">
      <c r="A387" s="3">
        <f t="shared" si="5"/>
        <v>54819</v>
      </c>
      <c r="B387">
        <v>773.13555684939479</v>
      </c>
      <c r="C387">
        <v>1053.2472191832483</v>
      </c>
      <c r="D387">
        <v>0</v>
      </c>
      <c r="E387">
        <v>101.78867836453662</v>
      </c>
      <c r="F387">
        <v>168085.6751145024</v>
      </c>
      <c r="G387">
        <v>0</v>
      </c>
    </row>
    <row r="388" spans="1:7" x14ac:dyDescent="0.2">
      <c r="A388" s="3">
        <f t="shared" ref="A388:A451" si="6">DATE(YEAR(A387),MONTH(A387)+2,1)-1</f>
        <v>54847</v>
      </c>
      <c r="B388">
        <v>768.98131449803793</v>
      </c>
      <c r="C388">
        <v>1063.5062912338406</v>
      </c>
      <c r="D388">
        <v>0</v>
      </c>
      <c r="E388">
        <v>101.46977635505161</v>
      </c>
      <c r="F388">
        <v>167847.66009140652</v>
      </c>
      <c r="G388">
        <v>0</v>
      </c>
    </row>
    <row r="389" spans="1:7" x14ac:dyDescent="0.2">
      <c r="A389" s="3">
        <f t="shared" si="6"/>
        <v>54878</v>
      </c>
      <c r="B389">
        <v>768.18029385417321</v>
      </c>
      <c r="C389">
        <v>1236.0887364786986</v>
      </c>
      <c r="D389">
        <v>0</v>
      </c>
      <c r="E389">
        <v>99.485740889773894</v>
      </c>
      <c r="F389">
        <v>167438.02193322551</v>
      </c>
      <c r="G389">
        <v>182.12243034397756</v>
      </c>
    </row>
    <row r="390" spans="1:7" x14ac:dyDescent="0.2">
      <c r="A390" s="3">
        <f t="shared" si="6"/>
        <v>54908</v>
      </c>
      <c r="B390">
        <v>765.35759705636963</v>
      </c>
      <c r="C390">
        <v>1118.7156851705959</v>
      </c>
      <c r="D390">
        <v>0</v>
      </c>
      <c r="E390">
        <v>97.514722347900587</v>
      </c>
      <c r="F390">
        <v>167144.52013893047</v>
      </c>
      <c r="G390">
        <v>71.885442336797695</v>
      </c>
    </row>
    <row r="391" spans="1:7" x14ac:dyDescent="0.2">
      <c r="A391" s="3">
        <f t="shared" si="6"/>
        <v>54939</v>
      </c>
      <c r="B391">
        <v>701.169874984628</v>
      </c>
      <c r="C391">
        <v>11918.307415766176</v>
      </c>
      <c r="D391">
        <v>0</v>
      </c>
      <c r="E391">
        <v>93.251894685531795</v>
      </c>
      <c r="F391">
        <v>155991.22586427175</v>
      </c>
      <c r="G391">
        <v>10946.649467722737</v>
      </c>
    </row>
    <row r="392" spans="1:7" x14ac:dyDescent="0.2">
      <c r="A392" s="3">
        <f t="shared" si="6"/>
        <v>54969</v>
      </c>
      <c r="B392">
        <v>697.36416912233699</v>
      </c>
      <c r="C392">
        <v>969.70457435730748</v>
      </c>
      <c r="D392">
        <v>0</v>
      </c>
      <c r="E392">
        <v>92.948050081372216</v>
      </c>
      <c r="F392">
        <v>155772.54985363182</v>
      </c>
      <c r="G392">
        <v>0</v>
      </c>
    </row>
    <row r="393" spans="1:7" x14ac:dyDescent="0.2">
      <c r="A393" s="3">
        <f t="shared" si="6"/>
        <v>55000</v>
      </c>
      <c r="B393">
        <v>695.29497605561539</v>
      </c>
      <c r="C393">
        <v>977.2249770449007</v>
      </c>
      <c r="D393">
        <v>0</v>
      </c>
      <c r="E393">
        <v>92.645452994416559</v>
      </c>
      <c r="F393">
        <v>155544.38131594087</v>
      </c>
      <c r="G393">
        <v>0</v>
      </c>
    </row>
    <row r="394" spans="1:7" x14ac:dyDescent="0.2">
      <c r="A394" s="3">
        <f t="shared" si="6"/>
        <v>55031</v>
      </c>
      <c r="B394">
        <v>693.2687262160099</v>
      </c>
      <c r="C394">
        <v>966.19313578066021</v>
      </c>
      <c r="D394">
        <v>0</v>
      </c>
      <c r="E394">
        <v>92.124939775807732</v>
      </c>
      <c r="F394">
        <v>155325.52443270909</v>
      </c>
      <c r="G394">
        <v>0</v>
      </c>
    </row>
    <row r="395" spans="1:7" x14ac:dyDescent="0.2">
      <c r="A395" s="3">
        <f t="shared" si="6"/>
        <v>55061</v>
      </c>
      <c r="B395">
        <v>667.84904558121434</v>
      </c>
      <c r="C395">
        <v>6675.6897407588376</v>
      </c>
      <c r="D395">
        <v>0</v>
      </c>
      <c r="E395">
        <v>88.942418324434087</v>
      </c>
      <c r="F395">
        <v>149374.72808693425</v>
      </c>
      <c r="G395">
        <v>5747.8447728249848</v>
      </c>
    </row>
    <row r="396" spans="1:7" x14ac:dyDescent="0.2">
      <c r="A396" s="3">
        <f t="shared" si="6"/>
        <v>55092</v>
      </c>
      <c r="B396">
        <v>663.60830009510221</v>
      </c>
      <c r="C396">
        <v>925.61692347834787</v>
      </c>
      <c r="D396">
        <v>0</v>
      </c>
      <c r="E396">
        <v>88.653749789911544</v>
      </c>
      <c r="F396">
        <v>149164.45946947625</v>
      </c>
      <c r="G396">
        <v>0</v>
      </c>
    </row>
    <row r="397" spans="1:7" x14ac:dyDescent="0.2">
      <c r="A397" s="3">
        <f t="shared" si="6"/>
        <v>55122</v>
      </c>
      <c r="B397">
        <v>659.39449875969638</v>
      </c>
      <c r="C397">
        <v>923.38174380519524</v>
      </c>
      <c r="D397">
        <v>0</v>
      </c>
      <c r="E397">
        <v>88.365959963753227</v>
      </c>
      <c r="F397">
        <v>148952.30239370756</v>
      </c>
      <c r="G397">
        <v>0</v>
      </c>
    </row>
    <row r="398" spans="1:7" x14ac:dyDescent="0.2">
      <c r="A398" s="3">
        <f t="shared" si="6"/>
        <v>55153</v>
      </c>
      <c r="B398">
        <v>664.30067537519187</v>
      </c>
      <c r="C398">
        <v>936.56388694074292</v>
      </c>
      <c r="D398">
        <v>0</v>
      </c>
      <c r="E398">
        <v>88.080849108793203</v>
      </c>
      <c r="F398">
        <v>148731.955060882</v>
      </c>
      <c r="G398">
        <v>0</v>
      </c>
    </row>
    <row r="399" spans="1:7" x14ac:dyDescent="0.2">
      <c r="A399" s="3">
        <f t="shared" si="6"/>
        <v>55184</v>
      </c>
      <c r="B399">
        <v>660.83404378443299</v>
      </c>
      <c r="C399">
        <v>924.30895410490234</v>
      </c>
      <c r="D399">
        <v>0</v>
      </c>
      <c r="E399">
        <v>87.364297444946331</v>
      </c>
      <c r="F399">
        <v>148520.90548174575</v>
      </c>
      <c r="G399">
        <v>0</v>
      </c>
    </row>
    <row r="400" spans="1:7" x14ac:dyDescent="0.2">
      <c r="A400" s="3">
        <f t="shared" si="6"/>
        <v>55212</v>
      </c>
      <c r="B400">
        <v>657.37602036858664</v>
      </c>
      <c r="C400">
        <v>922.3204207691133</v>
      </c>
      <c r="D400">
        <v>0</v>
      </c>
      <c r="E400">
        <v>87.079113002562366</v>
      </c>
      <c r="F400">
        <v>148308.47323648995</v>
      </c>
      <c r="G400">
        <v>0</v>
      </c>
    </row>
    <row r="401" spans="1:7" x14ac:dyDescent="0.2">
      <c r="A401" s="3">
        <f t="shared" si="6"/>
        <v>55243</v>
      </c>
      <c r="B401">
        <v>624.18781819435333</v>
      </c>
      <c r="C401">
        <v>6745.3265010499836</v>
      </c>
      <c r="D401">
        <v>0</v>
      </c>
      <c r="E401">
        <v>83.978668795409845</v>
      </c>
      <c r="F401">
        <v>142242.74749296909</v>
      </c>
      <c r="G401">
        <v>5859.9665816797697</v>
      </c>
    </row>
    <row r="402" spans="1:7" x14ac:dyDescent="0.2">
      <c r="A402" s="3">
        <f t="shared" si="6"/>
        <v>55273</v>
      </c>
      <c r="B402">
        <v>569.93859641354629</v>
      </c>
      <c r="C402">
        <v>11085.465535536779</v>
      </c>
      <c r="D402">
        <v>0</v>
      </c>
      <c r="E402">
        <v>78.340905744150433</v>
      </c>
      <c r="F402">
        <v>131782.57022481138</v>
      </c>
      <c r="G402">
        <v>10265.562785584338</v>
      </c>
    </row>
    <row r="403" spans="1:7" x14ac:dyDescent="0.2">
      <c r="A403" s="3">
        <f t="shared" si="6"/>
        <v>55304</v>
      </c>
      <c r="B403">
        <v>566.58270907136523</v>
      </c>
      <c r="C403">
        <v>817.93423346630141</v>
      </c>
      <c r="D403">
        <v>0</v>
      </c>
      <c r="E403">
        <v>78.085305606866967</v>
      </c>
      <c r="F403">
        <v>131576.99269958361</v>
      </c>
      <c r="G403">
        <v>0</v>
      </c>
    </row>
    <row r="404" spans="1:7" x14ac:dyDescent="0.2">
      <c r="A404" s="3">
        <f t="shared" si="6"/>
        <v>55334</v>
      </c>
      <c r="B404">
        <v>563.59028321356629</v>
      </c>
      <c r="C404">
        <v>816.19772510844234</v>
      </c>
      <c r="D404">
        <v>0</v>
      </c>
      <c r="E404">
        <v>77.830565469360394</v>
      </c>
      <c r="F404">
        <v>131370.22077956484</v>
      </c>
      <c r="G404">
        <v>0</v>
      </c>
    </row>
    <row r="405" spans="1:7" x14ac:dyDescent="0.2">
      <c r="A405" s="3">
        <f t="shared" si="6"/>
        <v>55365</v>
      </c>
      <c r="B405">
        <v>514.2408623756894</v>
      </c>
      <c r="C405">
        <v>9075.8927878568575</v>
      </c>
      <c r="D405">
        <v>0</v>
      </c>
      <c r="E405">
        <v>74.23697772592277</v>
      </c>
      <c r="F405">
        <v>122857.80362369138</v>
      </c>
      <c r="G405">
        <v>8304.9198326925416</v>
      </c>
    </row>
    <row r="406" spans="1:7" x14ac:dyDescent="0.2">
      <c r="A406" s="3">
        <f t="shared" si="6"/>
        <v>55396</v>
      </c>
      <c r="B406">
        <v>513.29031051324557</v>
      </c>
      <c r="C406">
        <v>827.61828488977653</v>
      </c>
      <c r="D406">
        <v>0</v>
      </c>
      <c r="E406">
        <v>72.263273776386796</v>
      </c>
      <c r="F406">
        <v>122586.68350436026</v>
      </c>
      <c r="G406">
        <v>66.768333029537303</v>
      </c>
    </row>
    <row r="407" spans="1:7" x14ac:dyDescent="0.2">
      <c r="A407" s="3">
        <f t="shared" si="6"/>
        <v>55426</v>
      </c>
      <c r="B407">
        <v>510.03544729862108</v>
      </c>
      <c r="C407">
        <v>758.8673394573126</v>
      </c>
      <c r="D407">
        <v>0</v>
      </c>
      <c r="E407">
        <v>72.019064364777066</v>
      </c>
      <c r="F407">
        <v>122381.04885730399</v>
      </c>
      <c r="G407">
        <v>0</v>
      </c>
    </row>
    <row r="408" spans="1:7" x14ac:dyDescent="0.2">
      <c r="A408" s="3">
        <f t="shared" si="6"/>
        <v>55457</v>
      </c>
      <c r="B408">
        <v>506.80123510527744</v>
      </c>
      <c r="C408">
        <v>756.88087854314267</v>
      </c>
      <c r="D408">
        <v>0</v>
      </c>
      <c r="E408">
        <v>71.775649211438562</v>
      </c>
      <c r="F408">
        <v>122174.21660300587</v>
      </c>
      <c r="G408">
        <v>0</v>
      </c>
    </row>
    <row r="409" spans="1:7" x14ac:dyDescent="0.2">
      <c r="A409" s="3">
        <f t="shared" si="6"/>
        <v>55487</v>
      </c>
      <c r="B409">
        <v>503.58754283559165</v>
      </c>
      <c r="C409">
        <v>754.89068872606038</v>
      </c>
      <c r="D409">
        <v>0</v>
      </c>
      <c r="E409">
        <v>71.533027759502716</v>
      </c>
      <c r="F409">
        <v>121966.20907098845</v>
      </c>
      <c r="G409">
        <v>0</v>
      </c>
    </row>
    <row r="410" spans="1:7" x14ac:dyDescent="0.2">
      <c r="A410" s="3">
        <f t="shared" si="6"/>
        <v>55518</v>
      </c>
      <c r="B410">
        <v>485.78699747977436</v>
      </c>
      <c r="C410">
        <v>5451.711365483653</v>
      </c>
      <c r="D410">
        <v>0</v>
      </c>
      <c r="E410">
        <v>68.79728021564182</v>
      </c>
      <c r="F410">
        <v>117046.12056306731</v>
      </c>
      <c r="G410">
        <v>4713.2299610206246</v>
      </c>
    </row>
    <row r="411" spans="1:7" x14ac:dyDescent="0.2">
      <c r="A411" s="3">
        <f t="shared" si="6"/>
        <v>55549</v>
      </c>
      <c r="B411">
        <v>483.41939233247615</v>
      </c>
      <c r="C411">
        <v>726.46330488803767</v>
      </c>
      <c r="D411">
        <v>0</v>
      </c>
      <c r="E411">
        <v>68.193432243053337</v>
      </c>
      <c r="F411">
        <v>116844.89208434796</v>
      </c>
      <c r="G411">
        <v>0</v>
      </c>
    </row>
    <row r="412" spans="1:7" x14ac:dyDescent="0.2">
      <c r="A412" s="3">
        <f t="shared" si="6"/>
        <v>55578</v>
      </c>
      <c r="B412">
        <v>481.0545645719526</v>
      </c>
      <c r="C412">
        <v>724.80397787092727</v>
      </c>
      <c r="D412">
        <v>0</v>
      </c>
      <c r="E412">
        <v>67.961877112415962</v>
      </c>
      <c r="F412">
        <v>116643.00053015264</v>
      </c>
      <c r="G412">
        <v>0</v>
      </c>
    </row>
    <row r="413" spans="1:7" x14ac:dyDescent="0.2">
      <c r="A413" s="3">
        <f t="shared" si="6"/>
        <v>55609</v>
      </c>
      <c r="B413">
        <v>449.2621320929992</v>
      </c>
      <c r="C413">
        <v>5998.1278367639679</v>
      </c>
      <c r="D413">
        <v>0</v>
      </c>
      <c r="E413">
        <v>65.172862248898483</v>
      </c>
      <c r="F413">
        <v>111138.59194637682</v>
      </c>
      <c r="G413">
        <v>5308.6171727771762</v>
      </c>
    </row>
    <row r="414" spans="1:7" x14ac:dyDescent="0.2">
      <c r="A414" s="3">
        <f t="shared" si="6"/>
        <v>55639</v>
      </c>
      <c r="B414">
        <v>446.41628247922898</v>
      </c>
      <c r="C414">
        <v>687.6452453846565</v>
      </c>
      <c r="D414">
        <v>0</v>
      </c>
      <c r="E414">
        <v>64.950915953897791</v>
      </c>
      <c r="F414">
        <v>110936.86858789469</v>
      </c>
      <c r="G414">
        <v>0</v>
      </c>
    </row>
    <row r="415" spans="1:7" x14ac:dyDescent="0.2">
      <c r="A415" s="3">
        <f t="shared" si="6"/>
        <v>55670</v>
      </c>
      <c r="B415">
        <v>443.84042836722494</v>
      </c>
      <c r="C415">
        <v>685.87208704442719</v>
      </c>
      <c r="D415">
        <v>0</v>
      </c>
      <c r="E415">
        <v>64.729758675892256</v>
      </c>
      <c r="F415">
        <v>110734.37409592987</v>
      </c>
      <c r="G415">
        <v>0</v>
      </c>
    </row>
    <row r="416" spans="1:7" x14ac:dyDescent="0.2">
      <c r="A416" s="3">
        <f t="shared" si="6"/>
        <v>55700</v>
      </c>
      <c r="B416">
        <v>441.60207263603115</v>
      </c>
      <c r="C416">
        <v>684.5132669758442</v>
      </c>
      <c r="D416">
        <v>0</v>
      </c>
      <c r="E416">
        <v>64.50938971108296</v>
      </c>
      <c r="F416">
        <v>110531.03011750834</v>
      </c>
      <c r="G416">
        <v>0</v>
      </c>
    </row>
    <row r="417" spans="1:7" x14ac:dyDescent="0.2">
      <c r="A417" s="3">
        <f t="shared" si="6"/>
        <v>55731</v>
      </c>
      <c r="B417">
        <v>438.80265176315839</v>
      </c>
      <c r="C417">
        <v>686.76224991466631</v>
      </c>
      <c r="D417">
        <v>0</v>
      </c>
      <c r="E417">
        <v>64.289563395489253</v>
      </c>
      <c r="F417">
        <v>110322.66644341967</v>
      </c>
      <c r="G417">
        <v>0</v>
      </c>
    </row>
    <row r="418" spans="1:7" x14ac:dyDescent="0.2">
      <c r="A418" s="3">
        <f t="shared" si="6"/>
        <v>55762</v>
      </c>
      <c r="B418">
        <v>430.40954839494577</v>
      </c>
      <c r="C418">
        <v>4283.9441649927157</v>
      </c>
      <c r="D418">
        <v>0</v>
      </c>
      <c r="E418">
        <v>60.149178847185183</v>
      </c>
      <c r="F418">
        <v>106512.67229936938</v>
      </c>
      <c r="G418">
        <v>3623.1423732223907</v>
      </c>
    </row>
    <row r="419" spans="1:7" x14ac:dyDescent="0.2">
      <c r="A419" s="3">
        <f t="shared" si="6"/>
        <v>55792</v>
      </c>
      <c r="B419">
        <v>427.67747753294145</v>
      </c>
      <c r="C419">
        <v>658.99969315111571</v>
      </c>
      <c r="D419">
        <v>0</v>
      </c>
      <c r="E419">
        <v>59.941143885985589</v>
      </c>
      <c r="F419">
        <v>106321.51766834215</v>
      </c>
      <c r="G419">
        <v>0</v>
      </c>
    </row>
    <row r="420" spans="1:7" x14ac:dyDescent="0.2">
      <c r="A420" s="3">
        <f t="shared" si="6"/>
        <v>55823</v>
      </c>
      <c r="B420">
        <v>424.96275651878346</v>
      </c>
      <c r="C420">
        <v>657.19519510119687</v>
      </c>
      <c r="D420">
        <v>0</v>
      </c>
      <c r="E420">
        <v>59.733798070255752</v>
      </c>
      <c r="F420">
        <v>106129.48049847316</v>
      </c>
      <c r="G420">
        <v>0</v>
      </c>
    </row>
    <row r="421" spans="1:7" x14ac:dyDescent="0.2">
      <c r="A421" s="3">
        <f t="shared" si="6"/>
        <v>55853</v>
      </c>
      <c r="B421">
        <v>422.26527512303238</v>
      </c>
      <c r="C421">
        <v>655.38839311002926</v>
      </c>
      <c r="D421">
        <v>0</v>
      </c>
      <c r="E421">
        <v>59.527140782593435</v>
      </c>
      <c r="F421">
        <v>105936.57881531678</v>
      </c>
      <c r="G421">
        <v>0</v>
      </c>
    </row>
    <row r="422" spans="1:7" x14ac:dyDescent="0.2">
      <c r="A422" s="3">
        <f t="shared" si="6"/>
        <v>55884</v>
      </c>
      <c r="B422">
        <v>427.25532730517682</v>
      </c>
      <c r="C422">
        <v>667.53270918474084</v>
      </c>
      <c r="D422">
        <v>0</v>
      </c>
      <c r="E422">
        <v>59.322689717043239</v>
      </c>
      <c r="F422">
        <v>105736.54601562742</v>
      </c>
      <c r="G422">
        <v>0</v>
      </c>
    </row>
    <row r="423" spans="1:7" x14ac:dyDescent="0.2">
      <c r="A423" s="3">
        <f t="shared" si="6"/>
        <v>55915</v>
      </c>
      <c r="B423">
        <v>425.21352542496783</v>
      </c>
      <c r="C423">
        <v>656.24374315396665</v>
      </c>
      <c r="D423">
        <v>0</v>
      </c>
      <c r="E423">
        <v>58.773228696339267</v>
      </c>
      <c r="F423">
        <v>105546.12183503639</v>
      </c>
      <c r="G423">
        <v>0</v>
      </c>
    </row>
    <row r="424" spans="1:7" x14ac:dyDescent="0.2">
      <c r="A424" s="3">
        <f t="shared" si="6"/>
        <v>55943</v>
      </c>
      <c r="B424">
        <v>423.17364531117511</v>
      </c>
      <c r="C424">
        <v>654.71825236118423</v>
      </c>
      <c r="D424">
        <v>0</v>
      </c>
      <c r="E424">
        <v>58.568545118611958</v>
      </c>
      <c r="F424">
        <v>105355.20897354193</v>
      </c>
      <c r="G424">
        <v>0</v>
      </c>
    </row>
    <row r="425" spans="1:7" x14ac:dyDescent="0.2">
      <c r="A425" s="3">
        <f t="shared" si="6"/>
        <v>55974</v>
      </c>
      <c r="B425">
        <v>407.27217998216838</v>
      </c>
      <c r="C425">
        <v>4500.746656042219</v>
      </c>
      <c r="D425">
        <v>0</v>
      </c>
      <c r="E425">
        <v>56.197868918098187</v>
      </c>
      <c r="F425">
        <v>101304.55748477811</v>
      </c>
      <c r="G425">
        <v>3871.9217566904358</v>
      </c>
    </row>
    <row r="426" spans="1:7" x14ac:dyDescent="0.2">
      <c r="A426" s="3">
        <f t="shared" si="6"/>
        <v>56004</v>
      </c>
      <c r="B426">
        <v>404.68123318761724</v>
      </c>
      <c r="C426">
        <v>627.10435195862669</v>
      </c>
      <c r="D426">
        <v>0</v>
      </c>
      <c r="E426">
        <v>56.003454639222156</v>
      </c>
      <c r="F426">
        <v>101121.34465654755</v>
      </c>
      <c r="G426">
        <v>0</v>
      </c>
    </row>
    <row r="427" spans="1:7" x14ac:dyDescent="0.2">
      <c r="A427" s="3">
        <f t="shared" si="6"/>
        <v>56035</v>
      </c>
      <c r="B427">
        <v>402.34508336983657</v>
      </c>
      <c r="C427">
        <v>625.48330641867165</v>
      </c>
      <c r="D427">
        <v>0</v>
      </c>
      <c r="E427">
        <v>55.809726087479518</v>
      </c>
      <c r="F427">
        <v>100937.43825520937</v>
      </c>
      <c r="G427">
        <v>0</v>
      </c>
    </row>
    <row r="428" spans="1:7" x14ac:dyDescent="0.2">
      <c r="A428" s="3">
        <f t="shared" si="6"/>
        <v>56065</v>
      </c>
      <c r="B428">
        <v>400.32502913566441</v>
      </c>
      <c r="C428">
        <v>623.53793425113406</v>
      </c>
      <c r="D428">
        <v>0</v>
      </c>
      <c r="E428">
        <v>55.616675590840728</v>
      </c>
      <c r="F428">
        <v>100753.47737304668</v>
      </c>
      <c r="G428">
        <v>0</v>
      </c>
    </row>
    <row r="429" spans="1:7" x14ac:dyDescent="0.2">
      <c r="A429" s="3">
        <f t="shared" si="6"/>
        <v>56096</v>
      </c>
      <c r="B429">
        <v>397.77848004620205</v>
      </c>
      <c r="C429">
        <v>622.13028779921274</v>
      </c>
      <c r="D429">
        <v>0</v>
      </c>
      <c r="E429">
        <v>55.424345736963531</v>
      </c>
      <c r="F429">
        <v>100568.39701764067</v>
      </c>
      <c r="G429">
        <v>0</v>
      </c>
    </row>
    <row r="430" spans="1:7" x14ac:dyDescent="0.2">
      <c r="A430" s="3">
        <f t="shared" si="6"/>
        <v>56127</v>
      </c>
      <c r="B430">
        <v>397.39674087930462</v>
      </c>
      <c r="C430">
        <v>620.86119152586571</v>
      </c>
      <c r="D430">
        <v>0</v>
      </c>
      <c r="E430">
        <v>55.232936338965146</v>
      </c>
      <c r="F430">
        <v>100384.22147611313</v>
      </c>
      <c r="G430">
        <v>0</v>
      </c>
    </row>
    <row r="431" spans="1:7" x14ac:dyDescent="0.2">
      <c r="A431" s="3">
        <f t="shared" si="6"/>
        <v>56157</v>
      </c>
      <c r="B431">
        <v>394.86665511233804</v>
      </c>
      <c r="C431">
        <v>619.13949024687133</v>
      </c>
      <c r="D431">
        <v>0</v>
      </c>
      <c r="E431">
        <v>55.041900795152301</v>
      </c>
      <c r="F431">
        <v>100199.2554834285</v>
      </c>
      <c r="G431">
        <v>0</v>
      </c>
    </row>
    <row r="432" spans="1:7" x14ac:dyDescent="0.2">
      <c r="A432" s="3">
        <f t="shared" si="6"/>
        <v>56188</v>
      </c>
      <c r="B432">
        <v>392.35268463544037</v>
      </c>
      <c r="C432">
        <v>617.41580757648728</v>
      </c>
      <c r="D432">
        <v>0</v>
      </c>
      <c r="E432">
        <v>54.851497848529796</v>
      </c>
      <c r="F432">
        <v>100013.51576074485</v>
      </c>
      <c r="G432">
        <v>0</v>
      </c>
    </row>
    <row r="433" spans="1:7" x14ac:dyDescent="0.2">
      <c r="A433" s="3">
        <f t="shared" si="6"/>
        <v>56218</v>
      </c>
      <c r="B433">
        <v>389.85472675613363</v>
      </c>
      <c r="C433">
        <v>615.69023140089314</v>
      </c>
      <c r="D433">
        <v>0</v>
      </c>
      <c r="E433">
        <v>54.661726957045296</v>
      </c>
      <c r="F433">
        <v>99827.018854899332</v>
      </c>
      <c r="G433">
        <v>0</v>
      </c>
    </row>
    <row r="434" spans="1:7" x14ac:dyDescent="0.2">
      <c r="A434" s="3">
        <f t="shared" si="6"/>
        <v>56249</v>
      </c>
      <c r="B434">
        <v>363.16303131495846</v>
      </c>
      <c r="C434">
        <v>6294.4709600068845</v>
      </c>
      <c r="D434">
        <v>0</v>
      </c>
      <c r="E434">
        <v>51.825184601340624</v>
      </c>
      <c r="F434">
        <v>93937.710783354312</v>
      </c>
      <c r="G434">
        <v>5702.0365008585832</v>
      </c>
    </row>
    <row r="435" spans="1:7" x14ac:dyDescent="0.2">
      <c r="A435" s="3">
        <f t="shared" si="6"/>
        <v>56280</v>
      </c>
      <c r="B435">
        <v>361.48507342018365</v>
      </c>
      <c r="C435">
        <v>581.70410569896137</v>
      </c>
      <c r="D435">
        <v>0</v>
      </c>
      <c r="E435">
        <v>51.32945479686569</v>
      </c>
      <c r="F435">
        <v>93754.452117382069</v>
      </c>
      <c r="G435">
        <v>0</v>
      </c>
    </row>
    <row r="436" spans="1:7" x14ac:dyDescent="0.2">
      <c r="A436" s="3">
        <f t="shared" si="6"/>
        <v>56308</v>
      </c>
      <c r="B436">
        <v>359.80787849168564</v>
      </c>
      <c r="C436">
        <v>580.33008877808004</v>
      </c>
      <c r="D436">
        <v>0</v>
      </c>
      <c r="E436">
        <v>51.149068265072373</v>
      </c>
      <c r="F436">
        <v>93570.898419470614</v>
      </c>
      <c r="G436">
        <v>0</v>
      </c>
    </row>
    <row r="437" spans="1:7" x14ac:dyDescent="0.2">
      <c r="A437" s="3">
        <f t="shared" si="6"/>
        <v>56339</v>
      </c>
      <c r="B437">
        <v>358.00584366639549</v>
      </c>
      <c r="C437">
        <v>578.81911681073177</v>
      </c>
      <c r="D437">
        <v>0</v>
      </c>
      <c r="E437">
        <v>50.969245169731671</v>
      </c>
      <c r="F437">
        <v>93387.060964039643</v>
      </c>
      <c r="G437">
        <v>0</v>
      </c>
    </row>
    <row r="438" spans="1:7" x14ac:dyDescent="0.2">
      <c r="A438" s="3">
        <f t="shared" si="6"/>
        <v>56369</v>
      </c>
      <c r="B438">
        <v>355.71845900900269</v>
      </c>
      <c r="C438">
        <v>577.15158322543698</v>
      </c>
      <c r="D438">
        <v>0</v>
      </c>
      <c r="E438">
        <v>50.789947139697865</v>
      </c>
      <c r="F438">
        <v>93202.610171112785</v>
      </c>
      <c r="G438">
        <v>0</v>
      </c>
    </row>
    <row r="439" spans="1:7" x14ac:dyDescent="0.2">
      <c r="A439" s="3">
        <f t="shared" si="6"/>
        <v>56400</v>
      </c>
      <c r="B439">
        <v>353.67100224582055</v>
      </c>
      <c r="C439">
        <v>575.59136268835664</v>
      </c>
      <c r="D439">
        <v>0</v>
      </c>
      <c r="E439">
        <v>50.611304416047581</v>
      </c>
      <c r="F439">
        <v>93017.677423768342</v>
      </c>
      <c r="G439">
        <v>0</v>
      </c>
    </row>
    <row r="440" spans="1:7" x14ac:dyDescent="0.2">
      <c r="A440" s="3">
        <f t="shared" si="6"/>
        <v>56430</v>
      </c>
      <c r="B440">
        <v>351.91938202320648</v>
      </c>
      <c r="C440">
        <v>575.24250338178479</v>
      </c>
      <c r="D440">
        <v>0</v>
      </c>
      <c r="E440">
        <v>50.433302167100138</v>
      </c>
      <c r="F440">
        <v>92831.346103864082</v>
      </c>
      <c r="G440">
        <v>0</v>
      </c>
    </row>
    <row r="441" spans="1:7" x14ac:dyDescent="0.2">
      <c r="A441" s="3">
        <f t="shared" si="6"/>
        <v>56461</v>
      </c>
      <c r="B441">
        <v>349.66637188920879</v>
      </c>
      <c r="C441">
        <v>573.88279431381898</v>
      </c>
      <c r="D441">
        <v>0</v>
      </c>
      <c r="E441">
        <v>50.255415939699212</v>
      </c>
      <c r="F441">
        <v>92644.124240743477</v>
      </c>
      <c r="G441">
        <v>0</v>
      </c>
    </row>
    <row r="442" spans="1:7" x14ac:dyDescent="0.2">
      <c r="A442" s="3">
        <f t="shared" si="6"/>
        <v>56492</v>
      </c>
      <c r="B442">
        <v>349.50073873304848</v>
      </c>
      <c r="C442">
        <v>572.67077184727691</v>
      </c>
      <c r="D442">
        <v>0</v>
      </c>
      <c r="E442">
        <v>50.078410473619741</v>
      </c>
      <c r="F442">
        <v>92457.949807021156</v>
      </c>
      <c r="G442">
        <v>0</v>
      </c>
    </row>
    <row r="443" spans="1:7" x14ac:dyDescent="0.2">
      <c r="A443" s="3">
        <f t="shared" si="6"/>
        <v>56522</v>
      </c>
      <c r="B443">
        <v>347.2610717757218</v>
      </c>
      <c r="C443">
        <v>570.99141637233583</v>
      </c>
      <c r="D443">
        <v>0</v>
      </c>
      <c r="E443">
        <v>49.901751203330981</v>
      </c>
      <c r="F443">
        <v>92271.216740162563</v>
      </c>
      <c r="G443">
        <v>0</v>
      </c>
    </row>
    <row r="444" spans="1:7" x14ac:dyDescent="0.2">
      <c r="A444" s="3">
        <f t="shared" si="6"/>
        <v>56553</v>
      </c>
      <c r="B444">
        <v>345.03576683327469</v>
      </c>
      <c r="C444">
        <v>569.31121097756454</v>
      </c>
      <c r="D444">
        <v>0</v>
      </c>
      <c r="E444">
        <v>49.725700724376431</v>
      </c>
      <c r="F444">
        <v>92083.939118265058</v>
      </c>
      <c r="G444">
        <v>0</v>
      </c>
    </row>
    <row r="445" spans="1:7" x14ac:dyDescent="0.2">
      <c r="A445" s="3">
        <f t="shared" si="6"/>
        <v>56583</v>
      </c>
      <c r="B445">
        <v>342.82473174305983</v>
      </c>
      <c r="C445">
        <v>567.63022907079778</v>
      </c>
      <c r="D445">
        <v>0</v>
      </c>
      <c r="E445">
        <v>49.550258276204183</v>
      </c>
      <c r="F445">
        <v>91896.130867847809</v>
      </c>
      <c r="G445">
        <v>0</v>
      </c>
    </row>
    <row r="446" spans="1:7" x14ac:dyDescent="0.2">
      <c r="A446" s="3">
        <f t="shared" si="6"/>
        <v>56614</v>
      </c>
      <c r="B446">
        <v>327.60421747282913</v>
      </c>
      <c r="C446">
        <v>5489.9669568870586</v>
      </c>
      <c r="D446">
        <v>0</v>
      </c>
      <c r="E446">
        <v>46.950976016554648</v>
      </c>
      <c r="F446">
        <v>86773.188141094055</v>
      </c>
      <c r="G446">
        <v>4941.2165986744158</v>
      </c>
    </row>
    <row r="447" spans="1:7" x14ac:dyDescent="0.2">
      <c r="A447" s="3">
        <f t="shared" si="6"/>
        <v>56645</v>
      </c>
      <c r="B447">
        <v>326.101920020075</v>
      </c>
      <c r="C447">
        <v>696.0297375308794</v>
      </c>
      <c r="D447">
        <v>0</v>
      </c>
      <c r="E447">
        <v>43.945284961171097</v>
      </c>
      <c r="F447">
        <v>86440.871095222363</v>
      </c>
      <c r="G447">
        <v>157.36262315815452</v>
      </c>
    </row>
    <row r="448" spans="1:7" x14ac:dyDescent="0.2">
      <c r="A448" s="3">
        <f t="shared" si="6"/>
        <v>56673</v>
      </c>
      <c r="B448">
        <v>324.60037835673847</v>
      </c>
      <c r="C448">
        <v>537.36773130436973</v>
      </c>
      <c r="D448">
        <v>0</v>
      </c>
      <c r="E448">
        <v>43.779344518586043</v>
      </c>
      <c r="F448">
        <v>86265.568117465431</v>
      </c>
      <c r="G448">
        <v>0</v>
      </c>
    </row>
    <row r="449" spans="1:7" x14ac:dyDescent="0.2">
      <c r="A449" s="3">
        <f t="shared" si="6"/>
        <v>56704</v>
      </c>
      <c r="B449">
        <v>322.98424852567069</v>
      </c>
      <c r="C449">
        <v>535.91197547180207</v>
      </c>
      <c r="D449">
        <v>0</v>
      </c>
      <c r="E449">
        <v>43.613919247354765</v>
      </c>
      <c r="F449">
        <v>86090.105427880102</v>
      </c>
      <c r="G449">
        <v>0</v>
      </c>
    </row>
    <row r="450" spans="1:7" x14ac:dyDescent="0.2">
      <c r="A450" s="3">
        <f t="shared" si="6"/>
        <v>56734</v>
      </c>
      <c r="B450">
        <v>320.90480336549211</v>
      </c>
      <c r="C450">
        <v>534.30464820467273</v>
      </c>
      <c r="D450">
        <v>0</v>
      </c>
      <c r="E450">
        <v>43.44898493510005</v>
      </c>
      <c r="F450">
        <v>85914.170641503471</v>
      </c>
      <c r="G450">
        <v>0</v>
      </c>
    </row>
    <row r="451" spans="1:7" x14ac:dyDescent="0.2">
      <c r="A451" s="3">
        <f t="shared" si="6"/>
        <v>56765</v>
      </c>
      <c r="B451">
        <v>319.05168077081851</v>
      </c>
      <c r="C451">
        <v>532.80924249611871</v>
      </c>
      <c r="D451">
        <v>0</v>
      </c>
      <c r="E451">
        <v>43.284665196380374</v>
      </c>
      <c r="F451">
        <v>85737.877101056365</v>
      </c>
      <c r="G451">
        <v>0</v>
      </c>
    </row>
    <row r="452" spans="1:7" x14ac:dyDescent="0.2">
      <c r="A452" s="3">
        <f t="shared" ref="A452:A515" si="7">DATE(YEAR(A451),MONTH(A451)+2,1)-1</f>
        <v>56795</v>
      </c>
      <c r="B452">
        <v>317.47509665532999</v>
      </c>
      <c r="C452">
        <v>531.92976419215324</v>
      </c>
      <c r="D452">
        <v>0</v>
      </c>
      <c r="E452">
        <v>43.120940370587334</v>
      </c>
      <c r="F452">
        <v>85560.884485516028</v>
      </c>
      <c r="G452">
        <v>0</v>
      </c>
    </row>
    <row r="453" spans="1:7" x14ac:dyDescent="0.2">
      <c r="A453" s="3">
        <f t="shared" si="7"/>
        <v>56826</v>
      </c>
      <c r="B453">
        <v>315.42842330190103</v>
      </c>
      <c r="C453">
        <v>530.64737507473853</v>
      </c>
      <c r="D453">
        <v>0</v>
      </c>
      <c r="E453">
        <v>42.957516889722868</v>
      </c>
      <c r="F453">
        <v>85383.124658068991</v>
      </c>
      <c r="G453">
        <v>0</v>
      </c>
    </row>
    <row r="454" spans="1:7" x14ac:dyDescent="0.2">
      <c r="A454" s="3">
        <f t="shared" si="7"/>
        <v>56857</v>
      </c>
      <c r="B454">
        <v>315.39473315702935</v>
      </c>
      <c r="C454">
        <v>529.50431889795061</v>
      </c>
      <c r="D454">
        <v>0</v>
      </c>
      <c r="E454">
        <v>42.794918140490267</v>
      </c>
      <c r="F454">
        <v>85206.469723167305</v>
      </c>
      <c r="G454">
        <v>0</v>
      </c>
    </row>
    <row r="455" spans="1:7" x14ac:dyDescent="0.2">
      <c r="A455" s="3">
        <f t="shared" si="7"/>
        <v>56887</v>
      </c>
      <c r="B455">
        <v>313.35937909509903</v>
      </c>
      <c r="C455">
        <v>527.89328171732359</v>
      </c>
      <c r="D455">
        <v>0</v>
      </c>
      <c r="E455">
        <v>42.632630732736601</v>
      </c>
      <c r="F455">
        <v>85029.386725018587</v>
      </c>
      <c r="G455">
        <v>0</v>
      </c>
    </row>
    <row r="456" spans="1:7" x14ac:dyDescent="0.2">
      <c r="A456" s="3">
        <f t="shared" si="7"/>
        <v>56918</v>
      </c>
      <c r="B456">
        <v>311.33717109775387</v>
      </c>
      <c r="C456">
        <v>526.28198434348451</v>
      </c>
      <c r="D456">
        <v>0</v>
      </c>
      <c r="E456">
        <v>42.470912050358272</v>
      </c>
      <c r="F456">
        <v>84851.888098828698</v>
      </c>
      <c r="G456">
        <v>0</v>
      </c>
    </row>
    <row r="457" spans="1:7" x14ac:dyDescent="0.2">
      <c r="A457" s="3">
        <f t="shared" si="7"/>
        <v>56948</v>
      </c>
      <c r="B457">
        <v>309.32802418088295</v>
      </c>
      <c r="C457">
        <v>524.67049153671849</v>
      </c>
      <c r="D457">
        <v>0</v>
      </c>
      <c r="E457">
        <v>42.309761296963558</v>
      </c>
      <c r="F457">
        <v>84673.986142543159</v>
      </c>
      <c r="G457">
        <v>0</v>
      </c>
    </row>
    <row r="458" spans="1:7" x14ac:dyDescent="0.2">
      <c r="A458" s="3">
        <f t="shared" si="7"/>
        <v>56979</v>
      </c>
      <c r="B458">
        <v>253.06950244776715</v>
      </c>
      <c r="C458">
        <v>14014.722518213264</v>
      </c>
      <c r="D458">
        <v>0</v>
      </c>
      <c r="E458">
        <v>35.542223398186557</v>
      </c>
      <c r="F458">
        <v>70956.373969927445</v>
      </c>
      <c r="G458">
        <v>13575.229633117047</v>
      </c>
    </row>
    <row r="459" spans="1:7" x14ac:dyDescent="0.2">
      <c r="A459" s="3">
        <f t="shared" si="7"/>
        <v>57010</v>
      </c>
      <c r="B459">
        <v>252.00709847173351</v>
      </c>
      <c r="C459">
        <v>440.13198961995079</v>
      </c>
      <c r="D459">
        <v>0</v>
      </c>
      <c r="E459">
        <v>35.310749119612233</v>
      </c>
      <c r="F459">
        <v>70799.628538647128</v>
      </c>
      <c r="G459">
        <v>0</v>
      </c>
    </row>
    <row r="460" spans="1:7" x14ac:dyDescent="0.2">
      <c r="A460" s="3">
        <f t="shared" si="7"/>
        <v>57039</v>
      </c>
      <c r="B460">
        <v>250.94351606899531</v>
      </c>
      <c r="C460">
        <v>439.0628975281341</v>
      </c>
      <c r="D460">
        <v>0</v>
      </c>
      <c r="E460">
        <v>35.175240455536979</v>
      </c>
      <c r="F460">
        <v>70642.876804415529</v>
      </c>
      <c r="G460">
        <v>0</v>
      </c>
    </row>
    <row r="461" spans="1:7" x14ac:dyDescent="0.2">
      <c r="A461" s="3">
        <f t="shared" si="7"/>
        <v>57070</v>
      </c>
      <c r="B461">
        <v>234.29311546643146</v>
      </c>
      <c r="C461">
        <v>4169.0061290159019</v>
      </c>
      <c r="D461">
        <v>0</v>
      </c>
      <c r="E461">
        <v>33.023303392482667</v>
      </c>
      <c r="F461">
        <v>66741.536047928254</v>
      </c>
      <c r="G461">
        <v>3754.2679159208487</v>
      </c>
    </row>
    <row r="462" spans="1:7" x14ac:dyDescent="0.2">
      <c r="A462" s="3">
        <f t="shared" si="7"/>
        <v>57100</v>
      </c>
      <c r="B462">
        <v>232.77928759005147</v>
      </c>
      <c r="C462">
        <v>413.41933372175083</v>
      </c>
      <c r="D462">
        <v>0</v>
      </c>
      <c r="E462">
        <v>32.896305058338065</v>
      </c>
      <c r="F462">
        <v>66590.728479765792</v>
      </c>
      <c r="G462">
        <v>0</v>
      </c>
    </row>
    <row r="463" spans="1:7" x14ac:dyDescent="0.2">
      <c r="A463" s="3">
        <f t="shared" si="7"/>
        <v>57131</v>
      </c>
      <c r="B463">
        <v>231.47638085967475</v>
      </c>
      <c r="C463">
        <v>412.21333566727191</v>
      </c>
      <c r="D463">
        <v>0</v>
      </c>
      <c r="E463">
        <v>32.769802698722827</v>
      </c>
      <c r="F463">
        <v>66439.808764839021</v>
      </c>
      <c r="G463">
        <v>0</v>
      </c>
    </row>
    <row r="464" spans="1:7" x14ac:dyDescent="0.2">
      <c r="A464" s="3">
        <f t="shared" si="7"/>
        <v>57161</v>
      </c>
      <c r="B464">
        <v>230.42911387082245</v>
      </c>
      <c r="C464">
        <v>411.74867772945572</v>
      </c>
      <c r="D464">
        <v>0</v>
      </c>
      <c r="E464">
        <v>32.643774450693947</v>
      </c>
      <c r="F464">
        <v>66288.290623257111</v>
      </c>
      <c r="G464">
        <v>0</v>
      </c>
    </row>
    <row r="465" spans="1:7" x14ac:dyDescent="0.2">
      <c r="A465" s="3">
        <f t="shared" si="7"/>
        <v>57192</v>
      </c>
      <c r="B465">
        <v>228.93720523405599</v>
      </c>
      <c r="C465">
        <v>410.7628755625247</v>
      </c>
      <c r="D465">
        <v>0</v>
      </c>
      <c r="E465">
        <v>32.517888159021496</v>
      </c>
      <c r="F465">
        <v>66136.249853197951</v>
      </c>
      <c r="G465">
        <v>0</v>
      </c>
    </row>
    <row r="466" spans="1:7" x14ac:dyDescent="0.2">
      <c r="A466" s="3">
        <f t="shared" si="7"/>
        <v>57223</v>
      </c>
      <c r="B466">
        <v>215.83322738748529</v>
      </c>
      <c r="C466">
        <v>4979.535420700915</v>
      </c>
      <c r="D466">
        <v>0</v>
      </c>
      <c r="E466">
        <v>30.095253499158979</v>
      </c>
      <c r="F466">
        <v>61404.6122953085</v>
      </c>
      <c r="G466">
        <v>4597.2584072316258</v>
      </c>
    </row>
    <row r="467" spans="1:7" x14ac:dyDescent="0.2">
      <c r="A467" s="3">
        <f t="shared" si="7"/>
        <v>57253</v>
      </c>
      <c r="B467">
        <v>214.43239443093759</v>
      </c>
      <c r="C467">
        <v>381.03932289595963</v>
      </c>
      <c r="D467">
        <v>0</v>
      </c>
      <c r="E467">
        <v>29.979421768159657</v>
      </c>
      <c r="F467">
        <v>61265.738680347094</v>
      </c>
      <c r="G467">
        <v>0</v>
      </c>
    </row>
    <row r="468" spans="1:7" x14ac:dyDescent="0.2">
      <c r="A468" s="3">
        <f t="shared" si="7"/>
        <v>57284</v>
      </c>
      <c r="B468">
        <v>213.04066186324641</v>
      </c>
      <c r="C468">
        <v>379.80224987503755</v>
      </c>
      <c r="D468">
        <v>0</v>
      </c>
      <c r="E468">
        <v>29.864010328628385</v>
      </c>
      <c r="F468">
        <v>61126.69529326928</v>
      </c>
      <c r="G468">
        <v>0</v>
      </c>
    </row>
    <row r="469" spans="1:7" x14ac:dyDescent="0.2">
      <c r="A469" s="3">
        <f t="shared" si="7"/>
        <v>57314</v>
      </c>
      <c r="B469">
        <v>211.65797050700291</v>
      </c>
      <c r="C469">
        <v>378.56583476544512</v>
      </c>
      <c r="D469">
        <v>0</v>
      </c>
      <c r="E469">
        <v>29.749018464722486</v>
      </c>
      <c r="F469">
        <v>60987.489938234838</v>
      </c>
      <c r="G469">
        <v>0</v>
      </c>
    </row>
    <row r="470" spans="1:7" x14ac:dyDescent="0.2">
      <c r="A470" s="3">
        <f t="shared" si="7"/>
        <v>57345</v>
      </c>
      <c r="B470">
        <v>208.40325555011978</v>
      </c>
      <c r="C470">
        <v>2531.4186588666444</v>
      </c>
      <c r="D470">
        <v>0</v>
      </c>
      <c r="E470">
        <v>27.999268014590143</v>
      </c>
      <c r="F470">
        <v>58693.795958788673</v>
      </c>
      <c r="G470">
        <v>2166.6588524009167</v>
      </c>
    </row>
    <row r="471" spans="1:7" x14ac:dyDescent="0.2">
      <c r="A471" s="3">
        <f t="shared" si="7"/>
        <v>57376</v>
      </c>
      <c r="B471">
        <v>180.10022771061065</v>
      </c>
      <c r="C471">
        <v>8902.7006175755669</v>
      </c>
      <c r="D471">
        <v>0</v>
      </c>
      <c r="E471">
        <v>23.761785248662761</v>
      </c>
      <c r="F471">
        <v>50002.598687118698</v>
      </c>
      <c r="G471">
        <v>8589.6094230298404</v>
      </c>
    </row>
    <row r="472" spans="1:7" x14ac:dyDescent="0.2">
      <c r="A472" s="3">
        <f t="shared" si="7"/>
        <v>57404</v>
      </c>
      <c r="B472">
        <v>179.45922712306879</v>
      </c>
      <c r="C472">
        <v>312.41399456268158</v>
      </c>
      <c r="D472">
        <v>0</v>
      </c>
      <c r="E472">
        <v>23.671305071244046</v>
      </c>
      <c r="F472">
        <v>49892.96886835913</v>
      </c>
      <c r="G472">
        <v>0</v>
      </c>
    </row>
    <row r="473" spans="1:7" x14ac:dyDescent="0.2">
      <c r="A473" s="3">
        <f t="shared" si="7"/>
        <v>57435</v>
      </c>
      <c r="B473">
        <v>178.28905183537222</v>
      </c>
      <c r="C473">
        <v>311.41992745682961</v>
      </c>
      <c r="D473">
        <v>0</v>
      </c>
      <c r="E473">
        <v>23.580989476548119</v>
      </c>
      <c r="F473">
        <v>49783.150218552095</v>
      </c>
      <c r="G473">
        <v>0</v>
      </c>
    </row>
    <row r="474" spans="1:7" x14ac:dyDescent="0.2">
      <c r="A474" s="3">
        <f t="shared" si="7"/>
        <v>57465</v>
      </c>
      <c r="B474">
        <v>177.12651389388483</v>
      </c>
      <c r="C474">
        <v>310.42610517294611</v>
      </c>
      <c r="D474">
        <v>0</v>
      </c>
      <c r="E474">
        <v>23.490990799475949</v>
      </c>
      <c r="F474">
        <v>49673.149635826376</v>
      </c>
      <c r="G474">
        <v>0</v>
      </c>
    </row>
    <row r="475" spans="1:7" x14ac:dyDescent="0.2">
      <c r="A475" s="3">
        <f t="shared" si="7"/>
        <v>57496</v>
      </c>
      <c r="B475">
        <v>176.16146975114461</v>
      </c>
      <c r="C475">
        <v>309.54093196571574</v>
      </c>
      <c r="D475">
        <v>0</v>
      </c>
      <c r="E475">
        <v>23.4013461743798</v>
      </c>
      <c r="F475">
        <v>49563.055439857679</v>
      </c>
      <c r="G475">
        <v>0</v>
      </c>
    </row>
    <row r="476" spans="1:7" x14ac:dyDescent="0.2">
      <c r="A476" s="3">
        <f t="shared" si="7"/>
        <v>57526</v>
      </c>
      <c r="B476">
        <v>153.97384876309326</v>
      </c>
      <c r="C476">
        <v>7660.0943509494946</v>
      </c>
      <c r="D476">
        <v>0</v>
      </c>
      <c r="E476">
        <v>20.613429407570209</v>
      </c>
      <c r="F476">
        <v>42082.904645766539</v>
      </c>
      <c r="G476">
        <v>7400.5529891278075</v>
      </c>
    </row>
    <row r="477" spans="1:7" x14ac:dyDescent="0.2">
      <c r="A477" s="3">
        <f t="shared" si="7"/>
        <v>57557</v>
      </c>
      <c r="B477">
        <v>135.17329836636139</v>
      </c>
      <c r="C477">
        <v>10583.295157662742</v>
      </c>
      <c r="D477">
        <v>0</v>
      </c>
      <c r="E477">
        <v>15.886920206013947</v>
      </c>
      <c r="F477">
        <v>31658.448587867661</v>
      </c>
      <c r="G477">
        <v>10386.063404454591</v>
      </c>
    </row>
    <row r="478" spans="1:7" x14ac:dyDescent="0.2">
      <c r="A478" s="3">
        <f t="shared" si="7"/>
        <v>57588</v>
      </c>
      <c r="B478">
        <v>94.817884492750323</v>
      </c>
      <c r="C478">
        <v>9523.498847218083</v>
      </c>
      <c r="D478">
        <v>0</v>
      </c>
      <c r="E478">
        <v>11.491919414943256</v>
      </c>
      <c r="F478">
        <v>22248.030728911632</v>
      </c>
      <c r="G478">
        <v>9384.4294941701628</v>
      </c>
    </row>
    <row r="479" spans="1:7" x14ac:dyDescent="0.2">
      <c r="A479" s="3">
        <f t="shared" si="7"/>
        <v>57618</v>
      </c>
      <c r="B479">
        <v>94.202745123938655</v>
      </c>
      <c r="C479">
        <v>138.68642180078453</v>
      </c>
      <c r="D479">
        <v>0</v>
      </c>
      <c r="E479">
        <v>11.449860494055155</v>
      </c>
      <c r="F479">
        <v>22213.007586901291</v>
      </c>
      <c r="G479">
        <v>0</v>
      </c>
    </row>
    <row r="480" spans="1:7" x14ac:dyDescent="0.2">
      <c r="A480" s="3">
        <f t="shared" si="7"/>
        <v>57649</v>
      </c>
      <c r="B480">
        <v>93.59159709384322</v>
      </c>
      <c r="C480">
        <v>138.30283404737747</v>
      </c>
      <c r="D480">
        <v>0</v>
      </c>
      <c r="E480">
        <v>11.407938332570172</v>
      </c>
      <c r="F480">
        <v>22177.765889357201</v>
      </c>
      <c r="G480">
        <v>0</v>
      </c>
    </row>
    <row r="481" spans="1:7" x14ac:dyDescent="0.2">
      <c r="A481" s="3">
        <f t="shared" si="7"/>
        <v>57679</v>
      </c>
      <c r="B481">
        <v>92.984414500913061</v>
      </c>
      <c r="C481">
        <v>137.918613052713</v>
      </c>
      <c r="D481">
        <v>0</v>
      </c>
      <c r="E481">
        <v>11.366152881289855</v>
      </c>
      <c r="F481">
        <v>22142.30989283244</v>
      </c>
      <c r="G481">
        <v>0</v>
      </c>
    </row>
    <row r="482" spans="1:7" x14ac:dyDescent="0.2">
      <c r="A482" s="3">
        <f t="shared" si="7"/>
        <v>57710</v>
      </c>
      <c r="B482">
        <v>38.669581551106134</v>
      </c>
      <c r="C482">
        <v>10238.76274167289</v>
      </c>
      <c r="D482">
        <v>0</v>
      </c>
      <c r="E482">
        <v>6.9049065886111824</v>
      </c>
      <c r="F482">
        <v>11956.122856782165</v>
      </c>
      <c r="G482">
        <v>10164.16496367808</v>
      </c>
    </row>
    <row r="483" spans="1:7" x14ac:dyDescent="0.2">
      <c r="A483" s="3">
        <f t="shared" si="7"/>
        <v>57741</v>
      </c>
      <c r="B483">
        <v>38.420828390859064</v>
      </c>
      <c r="C483">
        <v>74.714145149529941</v>
      </c>
      <c r="D483">
        <v>0</v>
      </c>
      <c r="E483">
        <v>6.8588210468164146</v>
      </c>
      <c r="F483">
        <v>11924.20799460659</v>
      </c>
      <c r="G483">
        <v>0</v>
      </c>
    </row>
    <row r="484" spans="1:7" x14ac:dyDescent="0.2">
      <c r="A484" s="3">
        <f t="shared" si="7"/>
        <v>57769</v>
      </c>
      <c r="B484">
        <v>38.676361158492078</v>
      </c>
      <c r="C484">
        <v>74.750477951874629</v>
      </c>
      <c r="D484">
        <v>0</v>
      </c>
      <c r="E484">
        <v>6.8303784901769138</v>
      </c>
      <c r="F484">
        <v>11892.510778932719</v>
      </c>
      <c r="G484">
        <v>0</v>
      </c>
    </row>
    <row r="485" spans="1:7" x14ac:dyDescent="0.2">
      <c r="A485" s="3">
        <f t="shared" si="7"/>
        <v>57800</v>
      </c>
      <c r="B485">
        <v>38.426594899305378</v>
      </c>
      <c r="C485">
        <v>74.479281805446789</v>
      </c>
      <c r="D485">
        <v>0</v>
      </c>
      <c r="E485">
        <v>6.8019095879702238</v>
      </c>
      <c r="F485">
        <v>11860.833670588852</v>
      </c>
      <c r="G485">
        <v>0</v>
      </c>
    </row>
    <row r="486" spans="1:7" x14ac:dyDescent="0.2">
      <c r="A486" s="3">
        <f t="shared" si="7"/>
        <v>57830</v>
      </c>
      <c r="B486">
        <v>38.178441636314183</v>
      </c>
      <c r="C486">
        <v>74.20856432921623</v>
      </c>
      <c r="D486">
        <v>0</v>
      </c>
      <c r="E486">
        <v>6.7735602488975761</v>
      </c>
      <c r="F486">
        <v>11829.177703236252</v>
      </c>
      <c r="G486">
        <v>0</v>
      </c>
    </row>
    <row r="487" spans="1:7" x14ac:dyDescent="0.2">
      <c r="A487" s="3">
        <f t="shared" si="7"/>
        <v>57861</v>
      </c>
      <c r="B487">
        <v>38.111113674465741</v>
      </c>
      <c r="C487">
        <v>74.040635329267886</v>
      </c>
      <c r="D487">
        <v>0</v>
      </c>
      <c r="E487">
        <v>6.7453655252611977</v>
      </c>
      <c r="F487">
        <v>11797.620778954257</v>
      </c>
      <c r="G487">
        <v>0</v>
      </c>
    </row>
    <row r="488" spans="1:7" x14ac:dyDescent="0.2">
      <c r="A488" s="3">
        <f t="shared" si="7"/>
        <v>57891</v>
      </c>
      <c r="B488">
        <v>37.864653696012248</v>
      </c>
      <c r="C488">
        <v>73.770856414689604</v>
      </c>
      <c r="D488">
        <v>0</v>
      </c>
      <c r="E488">
        <v>6.7172279090588871</v>
      </c>
      <c r="F488">
        <v>11766.085651621686</v>
      </c>
      <c r="G488">
        <v>0</v>
      </c>
    </row>
    <row r="489" spans="1:7" x14ac:dyDescent="0.2">
      <c r="A489" s="3">
        <f t="shared" si="7"/>
        <v>57922</v>
      </c>
      <c r="B489">
        <v>37.61978759364905</v>
      </c>
      <c r="C489">
        <v>73.501562666286773</v>
      </c>
      <c r="D489">
        <v>0</v>
      </c>
      <c r="E489">
        <v>6.6892088397450511</v>
      </c>
      <c r="F489">
        <v>11734.573331888001</v>
      </c>
      <c r="G489">
        <v>0</v>
      </c>
    </row>
    <row r="490" spans="1:7" x14ac:dyDescent="0.2">
      <c r="A490" s="3">
        <f t="shared" si="7"/>
        <v>57953</v>
      </c>
      <c r="B490">
        <v>37.376505059337596</v>
      </c>
      <c r="C490">
        <v>73.290791427182626</v>
      </c>
      <c r="D490">
        <v>0</v>
      </c>
      <c r="E490">
        <v>6.6613078900178175</v>
      </c>
      <c r="F490">
        <v>11703.02678412869</v>
      </c>
      <c r="G490">
        <v>0</v>
      </c>
    </row>
    <row r="491" spans="1:7" x14ac:dyDescent="0.2">
      <c r="A491" s="3">
        <f t="shared" si="7"/>
        <v>57983</v>
      </c>
      <c r="B491">
        <v>37.134656249052746</v>
      </c>
      <c r="C491">
        <v>73.021862820734512</v>
      </c>
      <c r="D491">
        <v>0</v>
      </c>
      <c r="E491">
        <v>6.6334746907652828</v>
      </c>
      <c r="F491">
        <v>11671.505499514536</v>
      </c>
      <c r="G491">
        <v>0</v>
      </c>
    </row>
    <row r="492" spans="1:7" x14ac:dyDescent="0.2">
      <c r="A492" s="3">
        <f t="shared" si="7"/>
        <v>58014</v>
      </c>
      <c r="B492">
        <v>36.894372408151206</v>
      </c>
      <c r="C492">
        <v>72.753436744481036</v>
      </c>
      <c r="D492">
        <v>0</v>
      </c>
      <c r="E492">
        <v>6.6057593877665211</v>
      </c>
      <c r="F492">
        <v>11640.010446332708</v>
      </c>
      <c r="G492">
        <v>0</v>
      </c>
    </row>
    <row r="493" spans="1:7" x14ac:dyDescent="0.2">
      <c r="A493" s="3">
        <f t="shared" si="7"/>
        <v>58044</v>
      </c>
      <c r="B493">
        <v>36.655643409551274</v>
      </c>
      <c r="C493">
        <v>72.485517407957445</v>
      </c>
      <c r="D493">
        <v>0</v>
      </c>
      <c r="E493">
        <v>6.578161596511892</v>
      </c>
      <c r="F493">
        <v>11608.542579828329</v>
      </c>
      <c r="G493">
        <v>0</v>
      </c>
    </row>
    <row r="494" spans="1:7" x14ac:dyDescent="0.2">
      <c r="A494" s="3">
        <f t="shared" si="7"/>
        <v>58075</v>
      </c>
      <c r="B494">
        <v>36.418459191707186</v>
      </c>
      <c r="C494">
        <v>72.218108948472548</v>
      </c>
      <c r="D494">
        <v>0</v>
      </c>
      <c r="E494">
        <v>6.550680932830538</v>
      </c>
      <c r="F494">
        <v>11577.102842329661</v>
      </c>
      <c r="G494">
        <v>0</v>
      </c>
    </row>
    <row r="495" spans="1:7" x14ac:dyDescent="0.2">
      <c r="A495" s="3">
        <f t="shared" si="7"/>
        <v>58106</v>
      </c>
      <c r="B495">
        <v>36.182809758184945</v>
      </c>
      <c r="C495">
        <v>72.325091234323551</v>
      </c>
      <c r="D495">
        <v>0</v>
      </c>
      <c r="E495">
        <v>6.506436392222148</v>
      </c>
      <c r="F495">
        <v>11545.335168190395</v>
      </c>
      <c r="G495">
        <v>0</v>
      </c>
    </row>
    <row r="496" spans="1:7" x14ac:dyDescent="0.2">
      <c r="A496" s="3">
        <f t="shared" si="7"/>
        <v>58134</v>
      </c>
      <c r="B496">
        <v>36.423094589626572</v>
      </c>
      <c r="C496">
        <v>72.350842943595978</v>
      </c>
      <c r="D496">
        <v>0</v>
      </c>
      <c r="E496">
        <v>6.4791827272086007</v>
      </c>
      <c r="F496">
        <v>11513.779423156629</v>
      </c>
      <c r="G496">
        <v>0</v>
      </c>
    </row>
    <row r="497" spans="1:7" x14ac:dyDescent="0.2">
      <c r="A497" s="3">
        <f t="shared" si="7"/>
        <v>58165</v>
      </c>
      <c r="B497">
        <v>36.186506888914906</v>
      </c>
      <c r="C497">
        <v>72.082418330514557</v>
      </c>
      <c r="D497">
        <v>0</v>
      </c>
      <c r="E497">
        <v>6.4519074138779668</v>
      </c>
      <c r="F497">
        <v>11482.253131854006</v>
      </c>
      <c r="G497">
        <v>0</v>
      </c>
    </row>
    <row r="498" spans="1:7" x14ac:dyDescent="0.2">
      <c r="A498" s="3">
        <f t="shared" si="7"/>
        <v>58195</v>
      </c>
      <c r="B498">
        <v>35.951455991818165</v>
      </c>
      <c r="C498">
        <v>71.81451715295394</v>
      </c>
      <c r="D498">
        <v>0</v>
      </c>
      <c r="E498">
        <v>6.4247481794001198</v>
      </c>
      <c r="F498">
        <v>11450.757219254632</v>
      </c>
      <c r="G498">
        <v>0</v>
      </c>
    </row>
    <row r="499" spans="1:7" x14ac:dyDescent="0.2">
      <c r="A499" s="3">
        <f t="shared" si="7"/>
        <v>58226</v>
      </c>
      <c r="B499">
        <v>35.886995010997317</v>
      </c>
      <c r="C499">
        <v>71.644376277216864</v>
      </c>
      <c r="D499">
        <v>0</v>
      </c>
      <c r="E499">
        <v>6.3977380704033893</v>
      </c>
      <c r="F499">
        <v>11419.364394399699</v>
      </c>
      <c r="G499">
        <v>0</v>
      </c>
    </row>
    <row r="500" spans="1:7" x14ac:dyDescent="0.2">
      <c r="A500" s="3">
        <f t="shared" si="7"/>
        <v>58256</v>
      </c>
      <c r="B500">
        <v>35.653569518512391</v>
      </c>
      <c r="C500">
        <v>71.377490383018966</v>
      </c>
      <c r="D500">
        <v>0</v>
      </c>
      <c r="E500">
        <v>6.3707855782547904</v>
      </c>
      <c r="F500">
        <v>11388.002477068876</v>
      </c>
      <c r="G500">
        <v>0</v>
      </c>
    </row>
    <row r="501" spans="1:7" x14ac:dyDescent="0.2">
      <c r="A501" s="3">
        <f t="shared" si="7"/>
        <v>58287</v>
      </c>
      <c r="B501">
        <v>35.421662377297402</v>
      </c>
      <c r="C501">
        <v>71.111133194469986</v>
      </c>
      <c r="D501">
        <v>0</v>
      </c>
      <c r="E501">
        <v>6.3439481437904863</v>
      </c>
      <c r="F501">
        <v>11356.672370899343</v>
      </c>
      <c r="G501">
        <v>0</v>
      </c>
    </row>
    <row r="502" spans="1:7" x14ac:dyDescent="0.2">
      <c r="A502" s="3">
        <f t="shared" si="7"/>
        <v>58318</v>
      </c>
      <c r="B502">
        <v>35.191263710718296</v>
      </c>
      <c r="C502">
        <v>70.901952294498329</v>
      </c>
      <c r="D502">
        <v>0</v>
      </c>
      <c r="E502">
        <v>6.3172253437778796</v>
      </c>
      <c r="F502">
        <v>11325.318323341266</v>
      </c>
      <c r="G502">
        <v>0</v>
      </c>
    </row>
    <row r="503" spans="1:7" x14ac:dyDescent="0.2">
      <c r="A503" s="3">
        <f t="shared" si="7"/>
        <v>58348</v>
      </c>
      <c r="B503">
        <v>34.962231363842648</v>
      </c>
      <c r="C503">
        <v>70.636053728327283</v>
      </c>
      <c r="D503">
        <v>0</v>
      </c>
      <c r="E503">
        <v>6.2905685037488439</v>
      </c>
      <c r="F503">
        <v>11293.998329918619</v>
      </c>
      <c r="G503">
        <v>0</v>
      </c>
    </row>
    <row r="504" spans="1:7" x14ac:dyDescent="0.2">
      <c r="A504" s="3">
        <f t="shared" si="7"/>
        <v>58379</v>
      </c>
      <c r="B504">
        <v>34.734689663933047</v>
      </c>
      <c r="C504">
        <v>70.370699559974767</v>
      </c>
      <c r="D504">
        <v>0</v>
      </c>
      <c r="E504">
        <v>6.2640260638116532</v>
      </c>
      <c r="F504">
        <v>11262.713254487133</v>
      </c>
      <c r="G504">
        <v>0</v>
      </c>
    </row>
    <row r="505" spans="1:7" x14ac:dyDescent="0.2">
      <c r="A505" s="3">
        <f t="shared" si="7"/>
        <v>58409</v>
      </c>
      <c r="B505">
        <v>34.508628908822338</v>
      </c>
      <c r="C505">
        <v>70.105893441905081</v>
      </c>
      <c r="D505">
        <v>0</v>
      </c>
      <c r="E505">
        <v>6.2375976414391996</v>
      </c>
      <c r="F505">
        <v>11231.463948742346</v>
      </c>
      <c r="G505">
        <v>0</v>
      </c>
    </row>
    <row r="506" spans="1:7" x14ac:dyDescent="0.2">
      <c r="A506" s="3">
        <f t="shared" si="7"/>
        <v>58440</v>
      </c>
      <c r="B506">
        <v>34.284039459494174</v>
      </c>
      <c r="C506">
        <v>69.841638959154679</v>
      </c>
      <c r="D506">
        <v>0</v>
      </c>
      <c r="E506">
        <v>6.2112828545235148</v>
      </c>
      <c r="F506">
        <v>11200.251252338345</v>
      </c>
      <c r="G506">
        <v>0</v>
      </c>
    </row>
    <row r="507" spans="1:7" x14ac:dyDescent="0.2">
      <c r="A507" s="3">
        <f t="shared" si="7"/>
        <v>58471</v>
      </c>
      <c r="B507">
        <v>34.060911739671894</v>
      </c>
      <c r="C507">
        <v>69.939750392978908</v>
      </c>
      <c r="D507">
        <v>0</v>
      </c>
      <c r="E507">
        <v>6.1688396928497138</v>
      </c>
      <c r="F507">
        <v>11168.730423871068</v>
      </c>
      <c r="G507">
        <v>0</v>
      </c>
    </row>
    <row r="508" spans="1:7" x14ac:dyDescent="0.2">
      <c r="A508" s="3">
        <f t="shared" si="7"/>
        <v>58500</v>
      </c>
      <c r="B508">
        <v>34.286755255381934</v>
      </c>
      <c r="C508">
        <v>69.958084791153865</v>
      </c>
      <c r="D508">
        <v>0</v>
      </c>
      <c r="E508">
        <v>6.1427429224896057</v>
      </c>
      <c r="F508">
        <v>11137.413575614379</v>
      </c>
      <c r="G508">
        <v>0</v>
      </c>
    </row>
    <row r="509" spans="1:7" x14ac:dyDescent="0.2">
      <c r="A509" s="3">
        <f t="shared" si="7"/>
        <v>58531</v>
      </c>
      <c r="B509">
        <v>34.062751647859791</v>
      </c>
      <c r="C509">
        <v>69.692933960851974</v>
      </c>
      <c r="D509">
        <v>0</v>
      </c>
      <c r="E509">
        <v>6.1166276847763177</v>
      </c>
      <c r="F509">
        <v>11106.13455585703</v>
      </c>
      <c r="G509">
        <v>0</v>
      </c>
    </row>
    <row r="510" spans="1:7" x14ac:dyDescent="0.2">
      <c r="A510" s="3">
        <f t="shared" si="7"/>
        <v>58561</v>
      </c>
      <c r="B510">
        <v>33.840211546439491</v>
      </c>
      <c r="C510">
        <v>69.428346366382954</v>
      </c>
      <c r="D510">
        <v>0</v>
      </c>
      <c r="E510">
        <v>6.0906250438898324</v>
      </c>
      <c r="F510">
        <v>11074.89418782657</v>
      </c>
      <c r="G510">
        <v>0</v>
      </c>
    </row>
    <row r="511" spans="1:7" x14ac:dyDescent="0.2">
      <c r="A511" s="3">
        <f t="shared" si="7"/>
        <v>58592</v>
      </c>
      <c r="B511">
        <v>33.778533139363844</v>
      </c>
      <c r="C511">
        <v>69.260285991733397</v>
      </c>
      <c r="D511">
        <v>0</v>
      </c>
      <c r="E511">
        <v>6.0647661393251111</v>
      </c>
      <c r="F511">
        <v>11043.756698589041</v>
      </c>
      <c r="G511">
        <v>0</v>
      </c>
    </row>
    <row r="512" spans="1:7" x14ac:dyDescent="0.2">
      <c r="A512" s="3">
        <f t="shared" si="7"/>
        <v>58622</v>
      </c>
      <c r="B512">
        <v>33.557540461195195</v>
      </c>
      <c r="C512">
        <v>68.996746616597477</v>
      </c>
      <c r="D512">
        <v>0</v>
      </c>
      <c r="E512">
        <v>6.0389630015192477</v>
      </c>
      <c r="F512">
        <v>11012.658293800409</v>
      </c>
      <c r="G512">
        <v>0</v>
      </c>
    </row>
    <row r="513" spans="1:7" x14ac:dyDescent="0.2">
      <c r="A513" s="3">
        <f t="shared" si="7"/>
        <v>58653</v>
      </c>
      <c r="B513">
        <v>33.33799364815119</v>
      </c>
      <c r="C513">
        <v>68.733774777462713</v>
      </c>
      <c r="D513">
        <v>0</v>
      </c>
      <c r="E513">
        <v>6.0132714563182175</v>
      </c>
      <c r="F513">
        <v>10981.599776931735</v>
      </c>
      <c r="G513">
        <v>0</v>
      </c>
    </row>
    <row r="514" spans="1:7" x14ac:dyDescent="0.2">
      <c r="A514" s="3">
        <f t="shared" si="7"/>
        <v>58684</v>
      </c>
      <c r="B514">
        <v>33.119883240247276</v>
      </c>
      <c r="C514">
        <v>68.519282832325658</v>
      </c>
      <c r="D514">
        <v>0</v>
      </c>
      <c r="E514">
        <v>5.9876910904807268</v>
      </c>
      <c r="F514">
        <v>10950.534030804507</v>
      </c>
      <c r="G514">
        <v>0</v>
      </c>
    </row>
    <row r="515" spans="1:7" x14ac:dyDescent="0.2">
      <c r="A515" s="3">
        <f t="shared" si="7"/>
        <v>58714</v>
      </c>
      <c r="B515">
        <v>32.903091065928493</v>
      </c>
      <c r="C515">
        <v>68.256934378031161</v>
      </c>
      <c r="D515">
        <v>0</v>
      </c>
      <c r="E515">
        <v>5.9621810774741819</v>
      </c>
      <c r="F515">
        <v>10919.510153014033</v>
      </c>
      <c r="G515">
        <v>0</v>
      </c>
    </row>
    <row r="516" spans="1:7" x14ac:dyDescent="0.2">
      <c r="A516" s="3">
        <f t="shared" ref="A516:A579" si="8">DATE(YEAR(A515),MONTH(A515)+2,1)-1</f>
        <v>58745</v>
      </c>
      <c r="B516">
        <v>32.687717994497362</v>
      </c>
      <c r="C516">
        <v>67.99516700195899</v>
      </c>
      <c r="D516">
        <v>0</v>
      </c>
      <c r="E516">
        <v>5.9367819319523178</v>
      </c>
      <c r="F516">
        <v>10888.528910068542</v>
      </c>
      <c r="G516">
        <v>0</v>
      </c>
    </row>
    <row r="517" spans="1:7" x14ac:dyDescent="0.2">
      <c r="A517" s="3">
        <f t="shared" si="8"/>
        <v>58775</v>
      </c>
      <c r="B517">
        <v>32.473754736298581</v>
      </c>
      <c r="C517">
        <v>67.733983835720437</v>
      </c>
      <c r="D517">
        <v>0</v>
      </c>
      <c r="E517">
        <v>5.9114932744333419</v>
      </c>
      <c r="F517">
        <v>10857.591057154908</v>
      </c>
      <c r="G517">
        <v>0</v>
      </c>
    </row>
    <row r="518" spans="1:7" x14ac:dyDescent="0.2">
      <c r="A518" s="3">
        <f t="shared" si="8"/>
        <v>58806</v>
      </c>
      <c r="B518">
        <v>32.261192062490444</v>
      </c>
      <c r="C518">
        <v>67.473387948090775</v>
      </c>
      <c r="D518">
        <v>0</v>
      </c>
      <c r="E518">
        <v>5.886314725926038</v>
      </c>
      <c r="F518">
        <v>10826.697338251164</v>
      </c>
      <c r="G518">
        <v>0</v>
      </c>
    </row>
    <row r="519" spans="1:7" x14ac:dyDescent="0.2">
      <c r="A519" s="3">
        <f t="shared" si="8"/>
        <v>58837</v>
      </c>
      <c r="B519">
        <v>32.050020804646728</v>
      </c>
      <c r="C519">
        <v>67.563141985362577</v>
      </c>
      <c r="D519">
        <v>0</v>
      </c>
      <c r="E519">
        <v>5.8456344828539919</v>
      </c>
      <c r="F519">
        <v>10795.51433802344</v>
      </c>
      <c r="G519">
        <v>0</v>
      </c>
    </row>
    <row r="520" spans="1:7" x14ac:dyDescent="0.2">
      <c r="A520" s="3">
        <f t="shared" si="8"/>
        <v>58865</v>
      </c>
      <c r="B520">
        <v>21.569739477889811</v>
      </c>
      <c r="C520">
        <v>3506.6929894126856</v>
      </c>
      <c r="D520">
        <v>0</v>
      </c>
      <c r="E520">
        <v>4.2157708989943163</v>
      </c>
      <c r="F520">
        <v>7316.321764464923</v>
      </c>
      <c r="G520">
        <v>3460.7220200845272</v>
      </c>
    </row>
    <row r="521" spans="1:7" x14ac:dyDescent="0.2">
      <c r="A521" s="3">
        <f t="shared" si="8"/>
        <v>58896</v>
      </c>
      <c r="B521">
        <v>21.428388555370972</v>
      </c>
      <c r="C521">
        <v>45.790976021362624</v>
      </c>
      <c r="D521">
        <v>0</v>
      </c>
      <c r="E521">
        <v>4.1973705671468062</v>
      </c>
      <c r="F521">
        <v>7294.6382433210038</v>
      </c>
      <c r="G521">
        <v>0</v>
      </c>
    </row>
    <row r="522" spans="1:7" x14ac:dyDescent="0.2">
      <c r="A522" s="3">
        <f t="shared" si="8"/>
        <v>58926</v>
      </c>
      <c r="B522">
        <v>21.287963949302302</v>
      </c>
      <c r="C522">
        <v>45.611421230349222</v>
      </c>
      <c r="D522">
        <v>0</v>
      </c>
      <c r="E522">
        <v>4.1790523811833697</v>
      </c>
      <c r="F522">
        <v>7272.9917907219697</v>
      </c>
      <c r="G522">
        <v>0</v>
      </c>
    </row>
    <row r="523" spans="1:7" x14ac:dyDescent="0.2">
      <c r="A523" s="3">
        <f t="shared" si="8"/>
        <v>58957</v>
      </c>
      <c r="B523">
        <v>13.636730226973157</v>
      </c>
      <c r="C523">
        <v>2416.0204756961734</v>
      </c>
      <c r="D523">
        <v>0</v>
      </c>
      <c r="E523">
        <v>2.7770826517932177</v>
      </c>
      <c r="F523">
        <v>4874.6666746779938</v>
      </c>
      <c r="G523">
        <v>2385.4087843666812</v>
      </c>
    </row>
    <row r="524" spans="1:7" x14ac:dyDescent="0.2">
      <c r="A524" s="3">
        <f t="shared" si="8"/>
        <v>58987</v>
      </c>
      <c r="B524">
        <v>13.547473423551537</v>
      </c>
      <c r="C524">
        <v>30.488771711486848</v>
      </c>
      <c r="D524">
        <v>0</v>
      </c>
      <c r="E524">
        <v>2.764901361313413</v>
      </c>
      <c r="F524">
        <v>4859.5420583466366</v>
      </c>
      <c r="G524">
        <v>0</v>
      </c>
    </row>
    <row r="525" spans="1:7" x14ac:dyDescent="0.2">
      <c r="A525" s="3">
        <f t="shared" si="8"/>
        <v>59018</v>
      </c>
      <c r="B525">
        <v>13.458800846950659</v>
      </c>
      <c r="C525">
        <v>30.366184096293679</v>
      </c>
      <c r="D525">
        <v>0</v>
      </c>
      <c r="E525">
        <v>2.7527751665773796</v>
      </c>
      <c r="F525">
        <v>4844.4492679812884</v>
      </c>
      <c r="G525">
        <v>0</v>
      </c>
    </row>
    <row r="526" spans="1:7" x14ac:dyDescent="0.2">
      <c r="A526" s="3">
        <f t="shared" si="8"/>
        <v>59049</v>
      </c>
      <c r="B526">
        <v>10.410169636921967</v>
      </c>
      <c r="C526">
        <v>1355.9368690175281</v>
      </c>
      <c r="D526">
        <v>0</v>
      </c>
      <c r="E526">
        <v>1.616603974540336</v>
      </c>
      <c r="F526">
        <v>3501.8591473218639</v>
      </c>
      <c r="G526">
        <v>1334.0409169796767</v>
      </c>
    </row>
    <row r="527" spans="1:7" x14ac:dyDescent="0.2">
      <c r="A527" s="3">
        <f t="shared" si="8"/>
        <v>59079</v>
      </c>
      <c r="B527">
        <v>10.342197892820755</v>
      </c>
      <c r="C527">
        <v>21.813640006183302</v>
      </c>
      <c r="D527">
        <v>0</v>
      </c>
      <c r="E527">
        <v>1.6101057988177481</v>
      </c>
      <c r="F527">
        <v>3492.0689135695461</v>
      </c>
      <c r="G527">
        <v>0</v>
      </c>
    </row>
    <row r="528" spans="1:7" x14ac:dyDescent="0.2">
      <c r="A528" s="3">
        <f t="shared" si="8"/>
        <v>59110</v>
      </c>
      <c r="B528">
        <v>10.274669960699299</v>
      </c>
      <c r="C528">
        <v>21.731496061592285</v>
      </c>
      <c r="D528">
        <v>0</v>
      </c>
      <c r="E528">
        <v>1.60363388144602</v>
      </c>
      <c r="F528">
        <v>3482.2905661391169</v>
      </c>
      <c r="G528">
        <v>0</v>
      </c>
    </row>
    <row r="529" spans="1:7" x14ac:dyDescent="0.2">
      <c r="A529" s="3">
        <f t="shared" si="8"/>
        <v>59140</v>
      </c>
      <c r="B529">
        <v>10.207582942749458</v>
      </c>
      <c r="C529">
        <v>21.64952135582854</v>
      </c>
      <c r="D529">
        <v>0</v>
      </c>
      <c r="E529">
        <v>1.5971881522344145</v>
      </c>
      <c r="F529">
        <v>3472.5243616894322</v>
      </c>
      <c r="G529">
        <v>0</v>
      </c>
    </row>
    <row r="530" spans="1:7" x14ac:dyDescent="0.2">
      <c r="A530" s="3">
        <f t="shared" si="8"/>
        <v>59171</v>
      </c>
      <c r="B530">
        <v>10.140933960083924</v>
      </c>
      <c r="C530">
        <v>21.567717019424681</v>
      </c>
      <c r="D530">
        <v>0</v>
      </c>
      <c r="E530">
        <v>1.5907685408640257</v>
      </c>
      <c r="F530">
        <v>3462.7705531814745</v>
      </c>
      <c r="G530">
        <v>0</v>
      </c>
    </row>
    <row r="531" spans="1:7" x14ac:dyDescent="0.2">
      <c r="A531" s="3">
        <f t="shared" si="8"/>
        <v>59202</v>
      </c>
      <c r="B531">
        <v>10.074720152612681</v>
      </c>
      <c r="C531">
        <v>21.598185538810039</v>
      </c>
      <c r="D531">
        <v>0</v>
      </c>
      <c r="E531">
        <v>1.5793581660461731</v>
      </c>
      <c r="F531">
        <v>3452.9223053487476</v>
      </c>
      <c r="G531">
        <v>0</v>
      </c>
    </row>
    <row r="532" spans="1:7" x14ac:dyDescent="0.2">
      <c r="A532" s="3">
        <f t="shared" si="8"/>
        <v>59230</v>
      </c>
      <c r="B532">
        <v>10.209117452498674</v>
      </c>
      <c r="C532">
        <v>21.651191132968854</v>
      </c>
      <c r="D532">
        <v>0</v>
      </c>
      <c r="E532">
        <v>1.5730002556938669</v>
      </c>
      <c r="F532">
        <v>3443.1525509980925</v>
      </c>
      <c r="G532">
        <v>0</v>
      </c>
    </row>
    <row r="533" spans="1:7" x14ac:dyDescent="0.2">
      <c r="A533" s="3">
        <f t="shared" si="8"/>
        <v>59261</v>
      </c>
      <c r="B533">
        <v>10.142068993459453</v>
      </c>
      <c r="C533">
        <v>21.56895523328367</v>
      </c>
      <c r="D533">
        <v>0</v>
      </c>
      <c r="E533">
        <v>1.5666078485277506</v>
      </c>
      <c r="F533">
        <v>3433.3951941353998</v>
      </c>
      <c r="G533">
        <v>0</v>
      </c>
    </row>
    <row r="534" spans="1:7" x14ac:dyDescent="0.2">
      <c r="A534" s="3">
        <f t="shared" si="8"/>
        <v>59291</v>
      </c>
      <c r="B534">
        <v>10.075460875701486</v>
      </c>
      <c r="C534">
        <v>21.486892011086422</v>
      </c>
      <c r="D534">
        <v>0</v>
      </c>
      <c r="E534">
        <v>1.5602414578387682</v>
      </c>
      <c r="F534">
        <v>3423.6504880600905</v>
      </c>
      <c r="G534">
        <v>0</v>
      </c>
    </row>
    <row r="535" spans="1:7" x14ac:dyDescent="0.2">
      <c r="A535" s="3">
        <f t="shared" si="8"/>
        <v>59322</v>
      </c>
      <c r="B535">
        <v>10.009290207279955</v>
      </c>
      <c r="C535">
        <v>21.405002583711838</v>
      </c>
      <c r="D535">
        <v>0</v>
      </c>
      <c r="E535">
        <v>1.5539010131702979</v>
      </c>
      <c r="F535">
        <v>3413.9186823708324</v>
      </c>
      <c r="G535">
        <v>0</v>
      </c>
    </row>
    <row r="536" spans="1:7" x14ac:dyDescent="0.2">
      <c r="A536" s="3">
        <f t="shared" si="8"/>
        <v>59352</v>
      </c>
      <c r="B536">
        <v>9.9435541152429057</v>
      </c>
      <c r="C536">
        <v>21.323288047360101</v>
      </c>
      <c r="D536">
        <v>0</v>
      </c>
      <c r="E536">
        <v>1.5475864439426323</v>
      </c>
      <c r="F536">
        <v>3404.2000230023114</v>
      </c>
      <c r="G536">
        <v>0</v>
      </c>
    </row>
    <row r="537" spans="1:7" x14ac:dyDescent="0.2">
      <c r="A537" s="3">
        <f t="shared" si="8"/>
        <v>59383</v>
      </c>
      <c r="B537">
        <v>9.8782497455065208</v>
      </c>
      <c r="C537">
        <v>21.24174947732023</v>
      </c>
      <c r="D537">
        <v>0</v>
      </c>
      <c r="E537">
        <v>1.5412976794572617</v>
      </c>
      <c r="F537">
        <v>3394.4947522616885</v>
      </c>
      <c r="G537">
        <v>0</v>
      </c>
    </row>
    <row r="538" spans="1:7" x14ac:dyDescent="0.2">
      <c r="A538" s="3">
        <f t="shared" si="8"/>
        <v>59414</v>
      </c>
      <c r="B538">
        <v>9.8133742627311982</v>
      </c>
      <c r="C538">
        <v>21.160387928191412</v>
      </c>
      <c r="D538">
        <v>0</v>
      </c>
      <c r="E538">
        <v>1.5350346489011071</v>
      </c>
      <c r="F538">
        <v>3384.8031088647376</v>
      </c>
      <c r="G538">
        <v>0</v>
      </c>
    </row>
    <row r="539" spans="1:7" x14ac:dyDescent="0.2">
      <c r="A539" s="3">
        <f t="shared" si="8"/>
        <v>59444</v>
      </c>
      <c r="B539">
        <v>9.7489248501984562</v>
      </c>
      <c r="C539">
        <v>21.079204434102422</v>
      </c>
      <c r="D539">
        <v>0</v>
      </c>
      <c r="E539">
        <v>1.5287972813507067</v>
      </c>
      <c r="F539">
        <v>3375.125327971673</v>
      </c>
      <c r="G539">
        <v>0</v>
      </c>
    </row>
    <row r="540" spans="1:7" x14ac:dyDescent="0.2">
      <c r="A540" s="3">
        <f t="shared" si="8"/>
        <v>59475</v>
      </c>
      <c r="B540">
        <v>9.6848987096886319</v>
      </c>
      <c r="C540">
        <v>20.998200008929064</v>
      </c>
      <c r="D540">
        <v>0</v>
      </c>
      <c r="E540">
        <v>1.5225855057763513</v>
      </c>
      <c r="F540">
        <v>3365.4616412226628</v>
      </c>
      <c r="G540">
        <v>0</v>
      </c>
    </row>
    <row r="541" spans="1:7" x14ac:dyDescent="0.2">
      <c r="A541" s="3">
        <f t="shared" si="8"/>
        <v>59505</v>
      </c>
      <c r="B541">
        <v>9.6212930613593883</v>
      </c>
      <c r="C541">
        <v>20.917375646509651</v>
      </c>
      <c r="D541">
        <v>0</v>
      </c>
      <c r="E541">
        <v>1.5163992510461761</v>
      </c>
      <c r="F541">
        <v>3355.8122767730406</v>
      </c>
      <c r="G541">
        <v>0</v>
      </c>
    </row>
    <row r="542" spans="1:7" x14ac:dyDescent="0.2">
      <c r="A542" s="3">
        <f t="shared" si="8"/>
        <v>59536</v>
      </c>
      <c r="B542">
        <v>9.5581051436250259</v>
      </c>
      <c r="C542">
        <v>20.836732320858619</v>
      </c>
      <c r="D542">
        <v>0</v>
      </c>
      <c r="E542">
        <v>1.5102384459302012</v>
      </c>
      <c r="F542">
        <v>3346.177459328208</v>
      </c>
      <c r="G542">
        <v>0</v>
      </c>
    </row>
    <row r="543" spans="1:7" x14ac:dyDescent="0.2">
      <c r="A543" s="3">
        <f t="shared" si="8"/>
        <v>59567</v>
      </c>
      <c r="B543">
        <v>9.4953322130365869</v>
      </c>
      <c r="C543">
        <v>20.864623444730348</v>
      </c>
      <c r="D543">
        <v>0</v>
      </c>
      <c r="E543">
        <v>1.4992819966726612</v>
      </c>
      <c r="F543">
        <v>3336.4538787423126</v>
      </c>
      <c r="G543">
        <v>0</v>
      </c>
    </row>
    <row r="544" spans="1:7" x14ac:dyDescent="0.2">
      <c r="A544" s="3">
        <f t="shared" si="8"/>
        <v>59595</v>
      </c>
      <c r="B544">
        <v>9.6216309750459832</v>
      </c>
      <c r="C544">
        <v>20.899214329644785</v>
      </c>
      <c r="D544">
        <v>0</v>
      </c>
      <c r="E544">
        <v>1.4931803051890586</v>
      </c>
      <c r="F544">
        <v>3326.818968762771</v>
      </c>
      <c r="G544">
        <v>0</v>
      </c>
    </row>
    <row r="545" spans="1:7" x14ac:dyDescent="0.2">
      <c r="A545" s="3">
        <f t="shared" si="8"/>
        <v>59626</v>
      </c>
      <c r="B545">
        <v>9.5581143380658791</v>
      </c>
      <c r="C545">
        <v>20.818315777021642</v>
      </c>
      <c r="D545">
        <v>0</v>
      </c>
      <c r="E545">
        <v>1.4870528136985484</v>
      </c>
      <c r="F545">
        <v>3317.1985125675315</v>
      </c>
      <c r="G545">
        <v>0</v>
      </c>
    </row>
    <row r="546" spans="1:7" x14ac:dyDescent="0.2">
      <c r="A546" s="3">
        <f t="shared" si="8"/>
        <v>59656</v>
      </c>
      <c r="B546">
        <v>9.4950170024686429</v>
      </c>
      <c r="C546">
        <v>20.737599648691109</v>
      </c>
      <c r="D546">
        <v>0</v>
      </c>
      <c r="E546">
        <v>1.4809506118494995</v>
      </c>
      <c r="F546">
        <v>3307.5927353288116</v>
      </c>
      <c r="G546">
        <v>0</v>
      </c>
    </row>
    <row r="547" spans="1:7" x14ac:dyDescent="0.2">
      <c r="A547" s="3">
        <f t="shared" si="8"/>
        <v>59687</v>
      </c>
      <c r="B547">
        <v>9.4323362002605915</v>
      </c>
      <c r="C547">
        <v>20.657066906995034</v>
      </c>
      <c r="D547">
        <v>0</v>
      </c>
      <c r="E547">
        <v>1.474873628645732</v>
      </c>
      <c r="F547">
        <v>3298.0018587711238</v>
      </c>
      <c r="G547">
        <v>0</v>
      </c>
    </row>
    <row r="548" spans="1:7" x14ac:dyDescent="0.2">
      <c r="A548" s="3">
        <f t="shared" si="8"/>
        <v>59717</v>
      </c>
      <c r="B548">
        <v>9.3700691817207975</v>
      </c>
      <c r="C548">
        <v>20.576718494572049</v>
      </c>
      <c r="D548">
        <v>0</v>
      </c>
      <c r="E548">
        <v>1.4688217929965681</v>
      </c>
      <c r="F548">
        <v>3288.4261012061038</v>
      </c>
      <c r="G548">
        <v>0</v>
      </c>
    </row>
    <row r="549" spans="1:7" x14ac:dyDescent="0.2">
      <c r="A549" s="3">
        <f t="shared" si="8"/>
        <v>59748</v>
      </c>
      <c r="B549">
        <v>9.3082132152804533</v>
      </c>
      <c r="C549">
        <v>20.49655533456993</v>
      </c>
      <c r="D549">
        <v>0</v>
      </c>
      <c r="E549">
        <v>1.4627950337208167</v>
      </c>
      <c r="F549">
        <v>3278.8656775670383</v>
      </c>
      <c r="G549">
        <v>0</v>
      </c>
    </row>
    <row r="550" spans="1:7" x14ac:dyDescent="0.2">
      <c r="A550" s="3">
        <f t="shared" si="8"/>
        <v>59779</v>
      </c>
      <c r="B550">
        <v>9.2467655874030452</v>
      </c>
      <c r="C550">
        <v>20.416578330856037</v>
      </c>
      <c r="D550">
        <v>0</v>
      </c>
      <c r="E550">
        <v>1.4567932795507101</v>
      </c>
      <c r="F550">
        <v>3269.3207994430895</v>
      </c>
      <c r="G550">
        <v>0</v>
      </c>
    </row>
    <row r="551" spans="1:7" x14ac:dyDescent="0.2">
      <c r="A551" s="3">
        <f t="shared" si="8"/>
        <v>59809</v>
      </c>
      <c r="B551">
        <v>9.1857236024653108</v>
      </c>
      <c r="C551">
        <v>20.336788368225807</v>
      </c>
      <c r="D551">
        <v>0</v>
      </c>
      <c r="E551">
        <v>1.4508164591357948</v>
      </c>
      <c r="F551">
        <v>3259.7916751132179</v>
      </c>
      <c r="G551">
        <v>0</v>
      </c>
    </row>
    <row r="552" spans="1:7" x14ac:dyDescent="0.2">
      <c r="A552" s="3">
        <f t="shared" si="8"/>
        <v>59840</v>
      </c>
      <c r="B552">
        <v>9.1250845826389906</v>
      </c>
      <c r="C552">
        <v>20.257186312609431</v>
      </c>
      <c r="D552">
        <v>0</v>
      </c>
      <c r="E552">
        <v>1.4448645010467775</v>
      </c>
      <c r="F552">
        <v>3250.2785095798122</v>
      </c>
      <c r="G552">
        <v>0</v>
      </c>
    </row>
    <row r="553" spans="1:7" x14ac:dyDescent="0.2">
      <c r="A553" s="3">
        <f t="shared" si="8"/>
        <v>59870</v>
      </c>
      <c r="B553">
        <v>9.0648458677733483</v>
      </c>
      <c r="C553">
        <v>20.177773011276656</v>
      </c>
      <c r="D553">
        <v>0</v>
      </c>
      <c r="E553">
        <v>1.4389373337793239</v>
      </c>
      <c r="F553">
        <v>3240.7815046020205</v>
      </c>
      <c r="G553">
        <v>0</v>
      </c>
    </row>
    <row r="554" spans="1:7" x14ac:dyDescent="0.2">
      <c r="A554" s="3">
        <f t="shared" si="8"/>
        <v>59901</v>
      </c>
      <c r="B554">
        <v>9.0050048152784825</v>
      </c>
      <c r="C554">
        <v>20.098549293039731</v>
      </c>
      <c r="D554">
        <v>0</v>
      </c>
      <c r="E554">
        <v>1.4330348857578166</v>
      </c>
      <c r="F554">
        <v>3231.3008587287941</v>
      </c>
      <c r="G554">
        <v>0</v>
      </c>
    </row>
    <row r="555" spans="1:7" x14ac:dyDescent="0.2">
      <c r="A555" s="3">
        <f t="shared" si="8"/>
        <v>59932</v>
      </c>
      <c r="B555">
        <v>8.945558800009394</v>
      </c>
      <c r="C555">
        <v>20.124076068044609</v>
      </c>
      <c r="D555">
        <v>0</v>
      </c>
      <c r="E555">
        <v>1.4225285637447733</v>
      </c>
      <c r="F555">
        <v>3221.736835753642</v>
      </c>
      <c r="G555">
        <v>0</v>
      </c>
    </row>
    <row r="556" spans="1:7" x14ac:dyDescent="0.2">
      <c r="A556" s="3">
        <f t="shared" si="8"/>
        <v>59961</v>
      </c>
    </row>
    <row r="557" spans="1:7" x14ac:dyDescent="0.2">
      <c r="A557" s="3">
        <f t="shared" si="8"/>
        <v>59992</v>
      </c>
    </row>
    <row r="558" spans="1:7" x14ac:dyDescent="0.2">
      <c r="A558" s="3">
        <f t="shared" si="8"/>
        <v>60022</v>
      </c>
    </row>
    <row r="559" spans="1:7" x14ac:dyDescent="0.2">
      <c r="A559" s="3">
        <f t="shared" si="8"/>
        <v>60053</v>
      </c>
    </row>
    <row r="560" spans="1:7" x14ac:dyDescent="0.2">
      <c r="A560" s="3">
        <f t="shared" si="8"/>
        <v>60083</v>
      </c>
    </row>
    <row r="561" spans="1:1" x14ac:dyDescent="0.2">
      <c r="A561" s="3">
        <f t="shared" si="8"/>
        <v>60114</v>
      </c>
    </row>
    <row r="562" spans="1:1" x14ac:dyDescent="0.2">
      <c r="A562" s="3">
        <f t="shared" si="8"/>
        <v>60145</v>
      </c>
    </row>
    <row r="563" spans="1:1" x14ac:dyDescent="0.2">
      <c r="A563" s="3">
        <f t="shared" si="8"/>
        <v>60175</v>
      </c>
    </row>
    <row r="564" spans="1:1" x14ac:dyDescent="0.2">
      <c r="A564" s="3">
        <f t="shared" si="8"/>
        <v>60206</v>
      </c>
    </row>
    <row r="565" spans="1:1" x14ac:dyDescent="0.2">
      <c r="A565" s="3">
        <f t="shared" si="8"/>
        <v>60236</v>
      </c>
    </row>
    <row r="566" spans="1:1" x14ac:dyDescent="0.2">
      <c r="A566" s="3">
        <f t="shared" si="8"/>
        <v>60267</v>
      </c>
    </row>
    <row r="567" spans="1:1" x14ac:dyDescent="0.2">
      <c r="A567" s="3">
        <f t="shared" si="8"/>
        <v>60298</v>
      </c>
    </row>
    <row r="568" spans="1:1" x14ac:dyDescent="0.2">
      <c r="A568" s="3">
        <f t="shared" si="8"/>
        <v>60326</v>
      </c>
    </row>
    <row r="569" spans="1:1" x14ac:dyDescent="0.2">
      <c r="A569" s="3">
        <f t="shared" si="8"/>
        <v>60357</v>
      </c>
    </row>
    <row r="570" spans="1:1" x14ac:dyDescent="0.2">
      <c r="A570" s="3">
        <f t="shared" si="8"/>
        <v>60387</v>
      </c>
    </row>
    <row r="571" spans="1:1" x14ac:dyDescent="0.2">
      <c r="A571" s="3">
        <f t="shared" si="8"/>
        <v>60418</v>
      </c>
    </row>
    <row r="572" spans="1:1" x14ac:dyDescent="0.2">
      <c r="A572" s="3">
        <f t="shared" si="8"/>
        <v>60448</v>
      </c>
    </row>
    <row r="573" spans="1:1" x14ac:dyDescent="0.2">
      <c r="A573" s="3">
        <f t="shared" si="8"/>
        <v>60479</v>
      </c>
    </row>
    <row r="574" spans="1:1" x14ac:dyDescent="0.2">
      <c r="A574" s="3">
        <f t="shared" si="8"/>
        <v>60510</v>
      </c>
    </row>
    <row r="575" spans="1:1" x14ac:dyDescent="0.2">
      <c r="A575" s="3">
        <f t="shared" si="8"/>
        <v>60540</v>
      </c>
    </row>
    <row r="576" spans="1:1" x14ac:dyDescent="0.2">
      <c r="A576" s="3">
        <f t="shared" si="8"/>
        <v>60571</v>
      </c>
    </row>
    <row r="577" spans="1:1" x14ac:dyDescent="0.2">
      <c r="A577" s="3">
        <f t="shared" si="8"/>
        <v>60601</v>
      </c>
    </row>
    <row r="578" spans="1:1" x14ac:dyDescent="0.2">
      <c r="A578" s="3">
        <f t="shared" si="8"/>
        <v>60632</v>
      </c>
    </row>
    <row r="579" spans="1:1" x14ac:dyDescent="0.2">
      <c r="A579" s="3">
        <f t="shared" si="8"/>
        <v>60663</v>
      </c>
    </row>
    <row r="580" spans="1:1" x14ac:dyDescent="0.2">
      <c r="A580" s="3">
        <f t="shared" ref="A580:A615" si="9">DATE(YEAR(A579),MONTH(A579)+2,1)-1</f>
        <v>60691</v>
      </c>
    </row>
    <row r="581" spans="1:1" x14ac:dyDescent="0.2">
      <c r="A581" s="3">
        <f t="shared" si="9"/>
        <v>60722</v>
      </c>
    </row>
    <row r="582" spans="1:1" x14ac:dyDescent="0.2">
      <c r="A582" s="3">
        <f t="shared" si="9"/>
        <v>60752</v>
      </c>
    </row>
    <row r="583" spans="1:1" x14ac:dyDescent="0.2">
      <c r="A583" s="3">
        <f t="shared" si="9"/>
        <v>60783</v>
      </c>
    </row>
    <row r="584" spans="1:1" x14ac:dyDescent="0.2">
      <c r="A584" s="3">
        <f t="shared" si="9"/>
        <v>60813</v>
      </c>
    </row>
    <row r="585" spans="1:1" x14ac:dyDescent="0.2">
      <c r="A585" s="3">
        <f t="shared" si="9"/>
        <v>60844</v>
      </c>
    </row>
    <row r="586" spans="1:1" x14ac:dyDescent="0.2">
      <c r="A586" s="3">
        <f t="shared" si="9"/>
        <v>60875</v>
      </c>
    </row>
    <row r="587" spans="1:1" x14ac:dyDescent="0.2">
      <c r="A587" s="3">
        <f t="shared" si="9"/>
        <v>60905</v>
      </c>
    </row>
    <row r="588" spans="1:1" x14ac:dyDescent="0.2">
      <c r="A588" s="3">
        <f t="shared" si="9"/>
        <v>60936</v>
      </c>
    </row>
    <row r="589" spans="1:1" x14ac:dyDescent="0.2">
      <c r="A589" s="3">
        <f t="shared" si="9"/>
        <v>60966</v>
      </c>
    </row>
    <row r="590" spans="1:1" x14ac:dyDescent="0.2">
      <c r="A590" s="3">
        <f t="shared" si="9"/>
        <v>60997</v>
      </c>
    </row>
    <row r="591" spans="1:1" x14ac:dyDescent="0.2">
      <c r="A591" s="3">
        <f t="shared" si="9"/>
        <v>61028</v>
      </c>
    </row>
    <row r="592" spans="1:1" x14ac:dyDescent="0.2">
      <c r="A592" s="3">
        <f t="shared" si="9"/>
        <v>61056</v>
      </c>
    </row>
    <row r="593" spans="1:1" x14ac:dyDescent="0.2">
      <c r="A593" s="3">
        <f t="shared" si="9"/>
        <v>61087</v>
      </c>
    </row>
    <row r="594" spans="1:1" x14ac:dyDescent="0.2">
      <c r="A594" s="3">
        <f t="shared" si="9"/>
        <v>61117</v>
      </c>
    </row>
    <row r="595" spans="1:1" x14ac:dyDescent="0.2">
      <c r="A595" s="3">
        <f t="shared" si="9"/>
        <v>61148</v>
      </c>
    </row>
    <row r="596" spans="1:1" x14ac:dyDescent="0.2">
      <c r="A596" s="3">
        <f t="shared" si="9"/>
        <v>61178</v>
      </c>
    </row>
    <row r="597" spans="1:1" x14ac:dyDescent="0.2">
      <c r="A597" s="3">
        <f t="shared" si="9"/>
        <v>61209</v>
      </c>
    </row>
    <row r="598" spans="1:1" x14ac:dyDescent="0.2">
      <c r="A598" s="3">
        <f t="shared" si="9"/>
        <v>61240</v>
      </c>
    </row>
    <row r="599" spans="1:1" x14ac:dyDescent="0.2">
      <c r="A599" s="3">
        <f t="shared" si="9"/>
        <v>61270</v>
      </c>
    </row>
    <row r="600" spans="1:1" x14ac:dyDescent="0.2">
      <c r="A600" s="3">
        <f t="shared" si="9"/>
        <v>61301</v>
      </c>
    </row>
    <row r="601" spans="1:1" x14ac:dyDescent="0.2">
      <c r="A601" s="3">
        <f t="shared" si="9"/>
        <v>61331</v>
      </c>
    </row>
    <row r="602" spans="1:1" x14ac:dyDescent="0.2">
      <c r="A602" s="3">
        <f t="shared" si="9"/>
        <v>61362</v>
      </c>
    </row>
    <row r="603" spans="1:1" x14ac:dyDescent="0.2">
      <c r="A603" s="3">
        <f t="shared" si="9"/>
        <v>61393</v>
      </c>
    </row>
    <row r="604" spans="1:1" x14ac:dyDescent="0.2">
      <c r="A604" s="3">
        <f t="shared" si="9"/>
        <v>61422</v>
      </c>
    </row>
    <row r="605" spans="1:1" x14ac:dyDescent="0.2">
      <c r="A605" s="3">
        <f t="shared" si="9"/>
        <v>61453</v>
      </c>
    </row>
    <row r="606" spans="1:1" x14ac:dyDescent="0.2">
      <c r="A606" s="3">
        <f t="shared" si="9"/>
        <v>61483</v>
      </c>
    </row>
    <row r="607" spans="1:1" x14ac:dyDescent="0.2">
      <c r="A607" s="3">
        <f t="shared" si="9"/>
        <v>61514</v>
      </c>
    </row>
    <row r="608" spans="1:1" x14ac:dyDescent="0.2">
      <c r="A608" s="3">
        <f t="shared" si="9"/>
        <v>61544</v>
      </c>
    </row>
    <row r="609" spans="1:1" x14ac:dyDescent="0.2">
      <c r="A609" s="3">
        <f t="shared" si="9"/>
        <v>61575</v>
      </c>
    </row>
    <row r="610" spans="1:1" x14ac:dyDescent="0.2">
      <c r="A610" s="3">
        <f t="shared" si="9"/>
        <v>61606</v>
      </c>
    </row>
    <row r="611" spans="1:1" x14ac:dyDescent="0.2">
      <c r="A611" s="3">
        <f t="shared" si="9"/>
        <v>61636</v>
      </c>
    </row>
    <row r="612" spans="1:1" x14ac:dyDescent="0.2">
      <c r="A612" s="3">
        <f t="shared" si="9"/>
        <v>61667</v>
      </c>
    </row>
    <row r="613" spans="1:1" x14ac:dyDescent="0.2">
      <c r="A613" s="3">
        <f t="shared" si="9"/>
        <v>61697</v>
      </c>
    </row>
    <row r="614" spans="1:1" x14ac:dyDescent="0.2">
      <c r="A614" s="3">
        <f t="shared" si="9"/>
        <v>61728</v>
      </c>
    </row>
    <row r="615" spans="1:1" x14ac:dyDescent="0.2">
      <c r="A615" s="3">
        <f t="shared" si="9"/>
        <v>61759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ular">
                <anchor moveWithCells="1" sizeWithCells="1">
                  <from>
                    <xdr:col>8</xdr:col>
                    <xdr:colOff>400050</xdr:colOff>
                    <xdr:row>3</xdr:row>
                    <xdr:rowOff>0</xdr:rowOff>
                  </from>
                  <to>
                    <xdr:col>12</xdr:col>
                    <xdr:colOff>238125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O153"/>
  <sheetViews>
    <sheetView workbookViewId="0">
      <selection activeCell="U23" sqref="U23"/>
    </sheetView>
  </sheetViews>
  <sheetFormatPr baseColWidth="10" defaultRowHeight="12.75" x14ac:dyDescent="0.2"/>
  <cols>
    <col min="1" max="1" width="23" bestFit="1" customWidth="1"/>
    <col min="2" max="2" width="18.140625" bestFit="1" customWidth="1"/>
    <col min="3" max="3" width="15.42578125" bestFit="1" customWidth="1"/>
    <col min="4" max="6" width="14.5703125" bestFit="1" customWidth="1"/>
    <col min="7" max="7" width="13.7109375" bestFit="1" customWidth="1"/>
    <col min="8" max="8" width="14.42578125" bestFit="1" customWidth="1"/>
    <col min="9" max="9" width="14.28515625" bestFit="1" customWidth="1"/>
    <col min="10" max="10" width="6" bestFit="1" customWidth="1"/>
    <col min="11" max="12" width="4.7109375" bestFit="1" customWidth="1"/>
    <col min="13" max="13" width="6" bestFit="1" customWidth="1"/>
    <col min="14" max="15" width="4.7109375" bestFit="1" customWidth="1"/>
    <col min="16" max="16" width="6" bestFit="1" customWidth="1"/>
    <col min="17" max="17" width="4.7109375" bestFit="1" customWidth="1"/>
    <col min="18" max="18" width="5" bestFit="1" customWidth="1"/>
    <col min="19" max="19" width="15" bestFit="1" customWidth="1"/>
    <col min="20" max="20" width="13.140625" bestFit="1" customWidth="1"/>
    <col min="21" max="21" width="12.5703125" bestFit="1" customWidth="1"/>
    <col min="22" max="22" width="11.85546875" bestFit="1" customWidth="1"/>
    <col min="23" max="23" width="14.85546875" bestFit="1" customWidth="1"/>
    <col min="24" max="26" width="12.7109375" bestFit="1" customWidth="1"/>
    <col min="27" max="27" width="13" bestFit="1" customWidth="1"/>
    <col min="28" max="30" width="13.140625" bestFit="1" customWidth="1"/>
    <col min="31" max="31" width="15.42578125" bestFit="1" customWidth="1"/>
    <col min="32" max="32" width="4.5703125" bestFit="1" customWidth="1"/>
    <col min="33" max="33" width="5.5703125" bestFit="1" customWidth="1"/>
    <col min="34" max="34" width="13.140625" bestFit="1" customWidth="1"/>
    <col min="35" max="35" width="8" bestFit="1" customWidth="1"/>
  </cols>
  <sheetData>
    <row r="1" spans="1:41" x14ac:dyDescent="0.2">
      <c r="A1" t="s">
        <v>0</v>
      </c>
      <c r="AN1" t="s">
        <v>113</v>
      </c>
      <c r="AO1">
        <f>MAX(AK:AK)+1</f>
        <v>554</v>
      </c>
    </row>
    <row r="2" spans="1:41" x14ac:dyDescent="0.2">
      <c r="A2" t="s">
        <v>1</v>
      </c>
      <c r="B2" t="s">
        <v>2</v>
      </c>
      <c r="AN2" t="s">
        <v>114</v>
      </c>
      <c r="AO2">
        <f>COUNT(AL:AL)</f>
        <v>148</v>
      </c>
    </row>
    <row r="3" spans="1:41" x14ac:dyDescent="0.2">
      <c r="A3" t="s">
        <v>3</v>
      </c>
      <c r="B3">
        <v>148</v>
      </c>
    </row>
    <row r="4" spans="1:41" x14ac:dyDescent="0.2">
      <c r="A4" t="s">
        <v>4</v>
      </c>
      <c r="B4" t="s">
        <v>5</v>
      </c>
      <c r="C4" t="s">
        <v>6</v>
      </c>
      <c r="D4" t="s">
        <v>6</v>
      </c>
      <c r="E4" t="s">
        <v>7</v>
      </c>
      <c r="F4" t="s">
        <v>7</v>
      </c>
      <c r="G4" t="s">
        <v>7</v>
      </c>
      <c r="H4" t="s">
        <v>7</v>
      </c>
      <c r="I4" t="s">
        <v>6</v>
      </c>
      <c r="J4" t="s">
        <v>7</v>
      </c>
      <c r="K4" t="s">
        <v>7</v>
      </c>
      <c r="L4" t="s">
        <v>6</v>
      </c>
      <c r="M4" t="s">
        <v>7</v>
      </c>
      <c r="N4" t="s">
        <v>7</v>
      </c>
      <c r="O4" t="s">
        <v>6</v>
      </c>
      <c r="P4" t="s">
        <v>6</v>
      </c>
      <c r="Q4" t="s">
        <v>7</v>
      </c>
      <c r="R4" t="s">
        <v>6</v>
      </c>
      <c r="S4" t="s">
        <v>7</v>
      </c>
      <c r="T4" t="s">
        <v>7</v>
      </c>
      <c r="U4" t="s">
        <v>6</v>
      </c>
      <c r="V4" t="s">
        <v>6</v>
      </c>
      <c r="W4" t="s">
        <v>7</v>
      </c>
      <c r="X4" t="s">
        <v>7</v>
      </c>
      <c r="Y4" t="s">
        <v>7</v>
      </c>
      <c r="Z4" t="s">
        <v>7</v>
      </c>
      <c r="AA4" t="s">
        <v>7</v>
      </c>
      <c r="AB4" t="s">
        <v>7</v>
      </c>
      <c r="AC4" t="s">
        <v>7</v>
      </c>
      <c r="AD4" t="s">
        <v>7</v>
      </c>
      <c r="AE4" t="s">
        <v>7</v>
      </c>
      <c r="AF4" t="s">
        <v>7</v>
      </c>
      <c r="AG4" t="s">
        <v>7</v>
      </c>
      <c r="AH4" t="s">
        <v>7</v>
      </c>
      <c r="AI4" t="s">
        <v>7</v>
      </c>
      <c r="AJ4" t="s">
        <v>7</v>
      </c>
    </row>
    <row r="5" spans="1:41" x14ac:dyDescent="0.2">
      <c r="A5" s="1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14</v>
      </c>
      <c r="H5" t="s">
        <v>15</v>
      </c>
      <c r="I5" t="s">
        <v>16</v>
      </c>
      <c r="J5" t="s">
        <v>17</v>
      </c>
      <c r="K5" t="s">
        <v>18</v>
      </c>
      <c r="L5" t="s">
        <v>19</v>
      </c>
      <c r="M5" t="s">
        <v>20</v>
      </c>
      <c r="N5" t="s">
        <v>21</v>
      </c>
      <c r="O5" t="s">
        <v>22</v>
      </c>
      <c r="P5" t="s">
        <v>23</v>
      </c>
      <c r="Q5" t="s">
        <v>24</v>
      </c>
      <c r="R5" t="s">
        <v>25</v>
      </c>
      <c r="S5" t="s">
        <v>26</v>
      </c>
      <c r="T5" t="s">
        <v>27</v>
      </c>
      <c r="U5" t="s">
        <v>28</v>
      </c>
      <c r="V5" t="s">
        <v>29</v>
      </c>
      <c r="W5" t="s">
        <v>30</v>
      </c>
      <c r="X5" t="s">
        <v>31</v>
      </c>
      <c r="Y5" t="s">
        <v>32</v>
      </c>
      <c r="Z5" t="s">
        <v>33</v>
      </c>
      <c r="AA5" t="s">
        <v>34</v>
      </c>
      <c r="AB5" t="s">
        <v>35</v>
      </c>
      <c r="AC5" t="s">
        <v>36</v>
      </c>
      <c r="AD5" t="s">
        <v>37</v>
      </c>
      <c r="AE5" t="s">
        <v>38</v>
      </c>
      <c r="AF5" t="s">
        <v>39</v>
      </c>
      <c r="AG5" t="s">
        <v>40</v>
      </c>
      <c r="AH5" t="s">
        <v>41</v>
      </c>
      <c r="AI5" t="s">
        <v>42</v>
      </c>
      <c r="AJ5" s="19" t="s">
        <v>61</v>
      </c>
      <c r="AK5" s="2" t="s">
        <v>110</v>
      </c>
      <c r="AL5" s="2" t="s">
        <v>111</v>
      </c>
    </row>
    <row r="6" spans="1:41" x14ac:dyDescent="0.2">
      <c r="A6" t="s">
        <v>43</v>
      </c>
      <c r="B6">
        <v>2</v>
      </c>
      <c r="C6">
        <v>15</v>
      </c>
      <c r="D6">
        <v>0</v>
      </c>
      <c r="E6">
        <v>0</v>
      </c>
      <c r="F6">
        <v>0</v>
      </c>
      <c r="G6">
        <v>12</v>
      </c>
      <c r="H6">
        <v>29</v>
      </c>
      <c r="I6">
        <v>3</v>
      </c>
      <c r="J6">
        <v>74.099999999999994</v>
      </c>
      <c r="K6">
        <v>0</v>
      </c>
      <c r="L6">
        <v>80</v>
      </c>
      <c r="M6">
        <v>52.1</v>
      </c>
      <c r="N6">
        <v>0</v>
      </c>
      <c r="O6">
        <v>0</v>
      </c>
      <c r="P6">
        <v>0</v>
      </c>
      <c r="Q6">
        <v>0</v>
      </c>
      <c r="R6">
        <v>0</v>
      </c>
      <c r="S6">
        <v>132.1</v>
      </c>
      <c r="T6">
        <v>25</v>
      </c>
      <c r="U6">
        <v>12</v>
      </c>
      <c r="V6">
        <v>0.25</v>
      </c>
      <c r="W6">
        <v>2062.4</v>
      </c>
      <c r="X6">
        <v>2560.9</v>
      </c>
      <c r="Y6">
        <v>50.9</v>
      </c>
      <c r="Z6">
        <v>1</v>
      </c>
      <c r="AA6">
        <v>0</v>
      </c>
      <c r="AB6">
        <v>0</v>
      </c>
      <c r="AC6">
        <v>0</v>
      </c>
      <c r="AD6">
        <v>0</v>
      </c>
      <c r="AE6">
        <v>0</v>
      </c>
      <c r="AF6">
        <v>1</v>
      </c>
      <c r="AG6">
        <v>1</v>
      </c>
      <c r="AH6">
        <v>4</v>
      </c>
      <c r="AI6">
        <v>2184003</v>
      </c>
      <c r="AJ6">
        <f>T6*12</f>
        <v>300</v>
      </c>
      <c r="AK6">
        <f>AJ6-H6</f>
        <v>271</v>
      </c>
      <c r="AL6">
        <f>2017+AK6/12</f>
        <v>2039.5833333333333</v>
      </c>
    </row>
    <row r="7" spans="1:41" x14ac:dyDescent="0.2">
      <c r="A7" t="s">
        <v>43</v>
      </c>
      <c r="B7">
        <v>2</v>
      </c>
      <c r="C7">
        <v>28</v>
      </c>
      <c r="D7">
        <v>0</v>
      </c>
      <c r="E7">
        <v>0</v>
      </c>
      <c r="F7">
        <v>0</v>
      </c>
      <c r="G7">
        <v>12</v>
      </c>
      <c r="H7">
        <v>29</v>
      </c>
      <c r="I7">
        <v>2</v>
      </c>
      <c r="J7">
        <v>41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36</v>
      </c>
      <c r="U7">
        <v>1</v>
      </c>
      <c r="V7">
        <v>0.25</v>
      </c>
      <c r="W7">
        <v>0</v>
      </c>
      <c r="X7">
        <v>580.4</v>
      </c>
      <c r="Y7">
        <v>13.9</v>
      </c>
      <c r="Z7">
        <v>1</v>
      </c>
      <c r="AA7">
        <v>0</v>
      </c>
      <c r="AB7">
        <v>0</v>
      </c>
      <c r="AC7">
        <v>0</v>
      </c>
      <c r="AD7">
        <v>0</v>
      </c>
      <c r="AE7">
        <v>0</v>
      </c>
      <c r="AF7">
        <v>1</v>
      </c>
      <c r="AG7">
        <v>1</v>
      </c>
      <c r="AH7">
        <v>4</v>
      </c>
      <c r="AI7">
        <v>2188901</v>
      </c>
      <c r="AJ7">
        <f t="shared" ref="AJ7:AJ70" si="0">T7*12</f>
        <v>432</v>
      </c>
      <c r="AK7">
        <f t="shared" ref="AK7:AK70" si="1">AJ7-H7</f>
        <v>403</v>
      </c>
      <c r="AL7">
        <f t="shared" ref="AL7:AL70" si="2">2017+AK7/12</f>
        <v>2050.5833333333335</v>
      </c>
    </row>
    <row r="8" spans="1:41" x14ac:dyDescent="0.2">
      <c r="A8" t="s">
        <v>43</v>
      </c>
      <c r="B8">
        <v>2</v>
      </c>
      <c r="C8">
        <v>28</v>
      </c>
      <c r="D8">
        <v>0</v>
      </c>
      <c r="E8">
        <v>0</v>
      </c>
      <c r="F8">
        <v>0</v>
      </c>
      <c r="G8">
        <v>12</v>
      </c>
      <c r="H8">
        <v>29</v>
      </c>
      <c r="I8">
        <v>2</v>
      </c>
      <c r="J8">
        <v>88.5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37</v>
      </c>
      <c r="U8">
        <v>1</v>
      </c>
      <c r="V8">
        <v>0.25</v>
      </c>
      <c r="W8">
        <v>0</v>
      </c>
      <c r="X8">
        <v>533.9</v>
      </c>
      <c r="Y8">
        <v>12.8</v>
      </c>
      <c r="Z8">
        <v>1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1</v>
      </c>
      <c r="AH8">
        <v>3</v>
      </c>
      <c r="AI8">
        <v>2188801</v>
      </c>
      <c r="AJ8">
        <f t="shared" si="0"/>
        <v>444</v>
      </c>
      <c r="AK8">
        <f t="shared" si="1"/>
        <v>415</v>
      </c>
      <c r="AL8">
        <f t="shared" si="2"/>
        <v>2051.5833333333335</v>
      </c>
    </row>
    <row r="9" spans="1:41" x14ac:dyDescent="0.2">
      <c r="A9" t="s">
        <v>43</v>
      </c>
      <c r="B9">
        <v>2</v>
      </c>
      <c r="C9">
        <v>28</v>
      </c>
      <c r="D9">
        <v>0</v>
      </c>
      <c r="E9">
        <v>0</v>
      </c>
      <c r="F9">
        <v>0</v>
      </c>
      <c r="G9">
        <v>12</v>
      </c>
      <c r="H9">
        <v>31</v>
      </c>
      <c r="I9">
        <v>2</v>
      </c>
      <c r="J9">
        <v>87</v>
      </c>
      <c r="K9">
        <v>0</v>
      </c>
      <c r="L9">
        <v>80</v>
      </c>
      <c r="M9">
        <v>323.7</v>
      </c>
      <c r="N9">
        <v>0</v>
      </c>
      <c r="O9">
        <v>0</v>
      </c>
      <c r="P9">
        <v>0</v>
      </c>
      <c r="Q9">
        <v>0</v>
      </c>
      <c r="R9">
        <v>0</v>
      </c>
      <c r="S9">
        <v>403.7</v>
      </c>
      <c r="T9">
        <v>42</v>
      </c>
      <c r="U9">
        <v>12</v>
      </c>
      <c r="V9">
        <v>0.25</v>
      </c>
      <c r="W9">
        <v>2746.7</v>
      </c>
      <c r="X9">
        <v>10506.1</v>
      </c>
      <c r="Y9">
        <v>321.7</v>
      </c>
      <c r="Z9">
        <v>1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1</v>
      </c>
      <c r="AH9">
        <v>3</v>
      </c>
      <c r="AI9">
        <v>1872102</v>
      </c>
      <c r="AJ9">
        <f t="shared" si="0"/>
        <v>504</v>
      </c>
      <c r="AK9">
        <f t="shared" si="1"/>
        <v>473</v>
      </c>
      <c r="AL9">
        <f t="shared" si="2"/>
        <v>2056.4166666666665</v>
      </c>
    </row>
    <row r="10" spans="1:41" x14ac:dyDescent="0.2">
      <c r="A10" t="s">
        <v>43</v>
      </c>
      <c r="B10">
        <v>2</v>
      </c>
      <c r="C10">
        <v>30</v>
      </c>
      <c r="D10">
        <v>0</v>
      </c>
      <c r="E10">
        <v>0</v>
      </c>
      <c r="F10">
        <v>0</v>
      </c>
      <c r="G10">
        <v>12</v>
      </c>
      <c r="H10">
        <v>33</v>
      </c>
      <c r="I10">
        <v>1</v>
      </c>
      <c r="J10">
        <v>86.5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35</v>
      </c>
      <c r="U10">
        <v>1</v>
      </c>
      <c r="V10">
        <v>0.25</v>
      </c>
      <c r="W10">
        <v>0</v>
      </c>
      <c r="X10">
        <v>598</v>
      </c>
      <c r="Y10">
        <v>27.7</v>
      </c>
      <c r="Z10">
        <v>1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1</v>
      </c>
      <c r="AH10">
        <v>3</v>
      </c>
      <c r="AI10">
        <v>2167202</v>
      </c>
      <c r="AJ10">
        <f t="shared" si="0"/>
        <v>420</v>
      </c>
      <c r="AK10">
        <f t="shared" si="1"/>
        <v>387</v>
      </c>
      <c r="AL10">
        <f t="shared" si="2"/>
        <v>2049.25</v>
      </c>
    </row>
    <row r="11" spans="1:41" x14ac:dyDescent="0.2">
      <c r="A11" t="s">
        <v>43</v>
      </c>
      <c r="B11">
        <v>2</v>
      </c>
      <c r="C11">
        <v>31</v>
      </c>
      <c r="D11">
        <v>0</v>
      </c>
      <c r="E11">
        <v>0</v>
      </c>
      <c r="F11">
        <v>0</v>
      </c>
      <c r="G11">
        <v>12</v>
      </c>
      <c r="H11">
        <v>34</v>
      </c>
      <c r="I11">
        <v>1</v>
      </c>
      <c r="J11">
        <v>87.9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35</v>
      </c>
      <c r="U11">
        <v>1</v>
      </c>
      <c r="V11">
        <v>0.25</v>
      </c>
      <c r="W11">
        <v>0</v>
      </c>
      <c r="X11">
        <v>1550.2</v>
      </c>
      <c r="Y11">
        <v>48</v>
      </c>
      <c r="Z11">
        <v>1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1</v>
      </c>
      <c r="AH11">
        <v>3</v>
      </c>
      <c r="AI11">
        <v>2161601</v>
      </c>
      <c r="AJ11">
        <f t="shared" si="0"/>
        <v>420</v>
      </c>
      <c r="AK11">
        <f t="shared" si="1"/>
        <v>386</v>
      </c>
      <c r="AL11">
        <f t="shared" si="2"/>
        <v>2049.1666666666665</v>
      </c>
    </row>
    <row r="12" spans="1:41" x14ac:dyDescent="0.2">
      <c r="A12" t="s">
        <v>43</v>
      </c>
      <c r="B12">
        <v>2</v>
      </c>
      <c r="C12">
        <v>33</v>
      </c>
      <c r="D12">
        <v>0</v>
      </c>
      <c r="E12">
        <v>0</v>
      </c>
      <c r="F12">
        <v>0</v>
      </c>
      <c r="G12">
        <v>12</v>
      </c>
      <c r="H12">
        <v>29</v>
      </c>
      <c r="I12">
        <v>2</v>
      </c>
      <c r="J12">
        <v>54.6</v>
      </c>
      <c r="K12">
        <v>0</v>
      </c>
      <c r="L12">
        <v>80</v>
      </c>
      <c r="M12">
        <v>106.2</v>
      </c>
      <c r="N12">
        <v>0</v>
      </c>
      <c r="O12">
        <v>0</v>
      </c>
      <c r="P12">
        <v>0</v>
      </c>
      <c r="Q12">
        <v>0</v>
      </c>
      <c r="R12">
        <v>0</v>
      </c>
      <c r="S12">
        <v>186.2</v>
      </c>
      <c r="T12">
        <v>31</v>
      </c>
      <c r="U12">
        <v>12</v>
      </c>
      <c r="V12">
        <v>0.25</v>
      </c>
      <c r="W12">
        <v>1248.5</v>
      </c>
      <c r="X12">
        <v>1401.9</v>
      </c>
      <c r="Y12">
        <v>28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1</v>
      </c>
      <c r="AG12">
        <v>1</v>
      </c>
      <c r="AH12">
        <v>4</v>
      </c>
      <c r="AI12">
        <v>2187101</v>
      </c>
      <c r="AJ12">
        <f t="shared" si="0"/>
        <v>372</v>
      </c>
      <c r="AK12">
        <f t="shared" si="1"/>
        <v>343</v>
      </c>
      <c r="AL12">
        <f t="shared" si="2"/>
        <v>2045.5833333333333</v>
      </c>
    </row>
    <row r="13" spans="1:41" x14ac:dyDescent="0.2">
      <c r="A13" t="s">
        <v>43</v>
      </c>
      <c r="B13">
        <v>2</v>
      </c>
      <c r="C13">
        <v>35</v>
      </c>
      <c r="D13">
        <v>0</v>
      </c>
      <c r="E13">
        <v>0</v>
      </c>
      <c r="F13">
        <v>0</v>
      </c>
      <c r="G13">
        <v>12</v>
      </c>
      <c r="H13">
        <v>29</v>
      </c>
      <c r="I13">
        <v>0</v>
      </c>
      <c r="J13">
        <v>61.3</v>
      </c>
      <c r="K13">
        <v>0</v>
      </c>
      <c r="L13">
        <v>80</v>
      </c>
      <c r="M13">
        <v>73.7</v>
      </c>
      <c r="N13">
        <v>0</v>
      </c>
      <c r="O13">
        <v>0</v>
      </c>
      <c r="P13">
        <v>0</v>
      </c>
      <c r="Q13">
        <v>0</v>
      </c>
      <c r="R13">
        <v>0</v>
      </c>
      <c r="S13">
        <v>153.69999999999999</v>
      </c>
      <c r="T13">
        <v>22</v>
      </c>
      <c r="U13">
        <v>12</v>
      </c>
      <c r="V13">
        <v>0.25</v>
      </c>
      <c r="W13">
        <v>1440</v>
      </c>
      <c r="X13">
        <v>1751.7</v>
      </c>
      <c r="Y13">
        <v>35.299999999999997</v>
      </c>
      <c r="Z13">
        <v>1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1</v>
      </c>
      <c r="AG13">
        <v>1</v>
      </c>
      <c r="AH13">
        <v>4</v>
      </c>
      <c r="AI13">
        <v>2186901</v>
      </c>
      <c r="AJ13">
        <f t="shared" si="0"/>
        <v>264</v>
      </c>
      <c r="AK13">
        <f t="shared" si="1"/>
        <v>235</v>
      </c>
      <c r="AL13">
        <f t="shared" si="2"/>
        <v>2036.5833333333333</v>
      </c>
    </row>
    <row r="14" spans="1:41" x14ac:dyDescent="0.2">
      <c r="A14" t="s">
        <v>43</v>
      </c>
      <c r="B14">
        <v>2</v>
      </c>
      <c r="C14">
        <v>35</v>
      </c>
      <c r="D14">
        <v>0</v>
      </c>
      <c r="E14">
        <v>0</v>
      </c>
      <c r="F14">
        <v>0</v>
      </c>
      <c r="G14">
        <v>12</v>
      </c>
      <c r="H14">
        <v>29</v>
      </c>
      <c r="I14">
        <v>2</v>
      </c>
      <c r="J14">
        <v>98</v>
      </c>
      <c r="K14">
        <v>0</v>
      </c>
      <c r="L14">
        <v>80</v>
      </c>
      <c r="M14">
        <v>156.1</v>
      </c>
      <c r="N14">
        <v>0</v>
      </c>
      <c r="O14">
        <v>0</v>
      </c>
      <c r="P14">
        <v>0</v>
      </c>
      <c r="Q14">
        <v>0</v>
      </c>
      <c r="R14">
        <v>0</v>
      </c>
      <c r="S14">
        <v>236.1</v>
      </c>
      <c r="T14">
        <v>30</v>
      </c>
      <c r="U14">
        <v>12</v>
      </c>
      <c r="V14">
        <v>0.25</v>
      </c>
      <c r="W14">
        <v>1498.2</v>
      </c>
      <c r="X14">
        <v>1620.4</v>
      </c>
      <c r="Y14">
        <v>32.299999999999997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1</v>
      </c>
      <c r="AH14">
        <v>3</v>
      </c>
      <c r="AI14">
        <v>2184201</v>
      </c>
      <c r="AJ14">
        <f t="shared" si="0"/>
        <v>360</v>
      </c>
      <c r="AK14">
        <f t="shared" si="1"/>
        <v>331</v>
      </c>
      <c r="AL14">
        <f t="shared" si="2"/>
        <v>2044.5833333333333</v>
      </c>
    </row>
    <row r="15" spans="1:41" x14ac:dyDescent="0.2">
      <c r="A15" t="s">
        <v>43</v>
      </c>
      <c r="B15">
        <v>2</v>
      </c>
      <c r="C15">
        <v>35</v>
      </c>
      <c r="D15">
        <v>0</v>
      </c>
      <c r="E15">
        <v>0</v>
      </c>
      <c r="F15">
        <v>0</v>
      </c>
      <c r="G15">
        <v>12</v>
      </c>
      <c r="H15">
        <v>33</v>
      </c>
      <c r="I15">
        <v>0</v>
      </c>
      <c r="J15">
        <v>98</v>
      </c>
      <c r="K15">
        <v>0</v>
      </c>
      <c r="L15">
        <v>80</v>
      </c>
      <c r="M15">
        <v>212.5</v>
      </c>
      <c r="N15">
        <v>0</v>
      </c>
      <c r="O15">
        <v>0</v>
      </c>
      <c r="P15">
        <v>0</v>
      </c>
      <c r="Q15">
        <v>0</v>
      </c>
      <c r="R15">
        <v>0</v>
      </c>
      <c r="S15">
        <v>292.5</v>
      </c>
      <c r="T15">
        <v>30</v>
      </c>
      <c r="U15">
        <v>12</v>
      </c>
      <c r="V15">
        <v>0.25</v>
      </c>
      <c r="W15">
        <v>2760</v>
      </c>
      <c r="X15">
        <v>3858.6</v>
      </c>
      <c r="Y15">
        <v>99.9</v>
      </c>
      <c r="Z15">
        <v>1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1</v>
      </c>
      <c r="AH15">
        <v>3</v>
      </c>
      <c r="AI15">
        <v>2168101</v>
      </c>
      <c r="AJ15">
        <f t="shared" si="0"/>
        <v>360</v>
      </c>
      <c r="AK15">
        <f t="shared" si="1"/>
        <v>327</v>
      </c>
      <c r="AL15">
        <f t="shared" si="2"/>
        <v>2044.25</v>
      </c>
    </row>
    <row r="16" spans="1:41" x14ac:dyDescent="0.2">
      <c r="A16" t="s">
        <v>43</v>
      </c>
      <c r="B16">
        <v>2</v>
      </c>
      <c r="C16">
        <v>35</v>
      </c>
      <c r="D16">
        <v>0</v>
      </c>
      <c r="E16">
        <v>0</v>
      </c>
      <c r="F16">
        <v>0</v>
      </c>
      <c r="G16">
        <v>12</v>
      </c>
      <c r="H16">
        <v>33</v>
      </c>
      <c r="I16">
        <v>1</v>
      </c>
      <c r="J16">
        <v>54.6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30</v>
      </c>
      <c r="U16">
        <v>1</v>
      </c>
      <c r="V16">
        <v>0.25</v>
      </c>
      <c r="W16">
        <v>0</v>
      </c>
      <c r="X16">
        <v>623.5</v>
      </c>
      <c r="Y16">
        <v>22.5</v>
      </c>
      <c r="Z16">
        <v>1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1</v>
      </c>
      <c r="AG16">
        <v>1</v>
      </c>
      <c r="AH16">
        <v>4</v>
      </c>
      <c r="AI16">
        <v>2167301</v>
      </c>
      <c r="AJ16">
        <f t="shared" si="0"/>
        <v>360</v>
      </c>
      <c r="AK16">
        <f t="shared" si="1"/>
        <v>327</v>
      </c>
      <c r="AL16">
        <f t="shared" si="2"/>
        <v>2044.25</v>
      </c>
    </row>
    <row r="17" spans="1:38" x14ac:dyDescent="0.2">
      <c r="A17" t="s">
        <v>43</v>
      </c>
      <c r="B17">
        <v>2</v>
      </c>
      <c r="C17">
        <v>38</v>
      </c>
      <c r="D17">
        <v>0</v>
      </c>
      <c r="E17">
        <v>0</v>
      </c>
      <c r="F17">
        <v>0</v>
      </c>
      <c r="G17">
        <v>12</v>
      </c>
      <c r="H17">
        <v>29</v>
      </c>
      <c r="I17">
        <v>2</v>
      </c>
      <c r="J17">
        <v>114.9</v>
      </c>
      <c r="K17">
        <v>0</v>
      </c>
      <c r="L17">
        <v>80</v>
      </c>
      <c r="M17">
        <v>144.19999999999999</v>
      </c>
      <c r="N17">
        <v>0</v>
      </c>
      <c r="O17">
        <v>0</v>
      </c>
      <c r="P17">
        <v>0</v>
      </c>
      <c r="Q17">
        <v>0</v>
      </c>
      <c r="R17">
        <v>0</v>
      </c>
      <c r="S17">
        <v>224.2</v>
      </c>
      <c r="T17">
        <v>28</v>
      </c>
      <c r="U17">
        <v>12</v>
      </c>
      <c r="V17">
        <v>0.25</v>
      </c>
      <c r="W17">
        <v>1248.5</v>
      </c>
      <c r="X17">
        <v>1273.5</v>
      </c>
      <c r="Y17">
        <v>25.5</v>
      </c>
      <c r="Z17">
        <v>1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1</v>
      </c>
      <c r="AH17">
        <v>3</v>
      </c>
      <c r="AI17">
        <v>2187001</v>
      </c>
      <c r="AJ17">
        <f t="shared" si="0"/>
        <v>336</v>
      </c>
      <c r="AK17">
        <f t="shared" si="1"/>
        <v>307</v>
      </c>
      <c r="AL17">
        <f t="shared" si="2"/>
        <v>2042.5833333333333</v>
      </c>
    </row>
    <row r="18" spans="1:38" x14ac:dyDescent="0.2">
      <c r="A18" t="s">
        <v>43</v>
      </c>
      <c r="B18">
        <v>2</v>
      </c>
      <c r="C18">
        <v>39</v>
      </c>
      <c r="D18">
        <v>0</v>
      </c>
      <c r="E18">
        <v>0</v>
      </c>
      <c r="F18">
        <v>0</v>
      </c>
      <c r="G18">
        <v>12</v>
      </c>
      <c r="H18">
        <v>33</v>
      </c>
      <c r="I18">
        <v>2</v>
      </c>
      <c r="J18">
        <v>81.7</v>
      </c>
      <c r="K18">
        <v>0</v>
      </c>
      <c r="L18">
        <v>80</v>
      </c>
      <c r="M18">
        <v>143</v>
      </c>
      <c r="N18">
        <v>0</v>
      </c>
      <c r="O18">
        <v>0</v>
      </c>
      <c r="P18">
        <v>0</v>
      </c>
      <c r="Q18">
        <v>0</v>
      </c>
      <c r="R18">
        <v>0</v>
      </c>
      <c r="S18">
        <v>223</v>
      </c>
      <c r="T18">
        <v>26</v>
      </c>
      <c r="U18">
        <v>12</v>
      </c>
      <c r="V18">
        <v>0.25</v>
      </c>
      <c r="W18">
        <v>2122.4</v>
      </c>
      <c r="X18">
        <v>2893</v>
      </c>
      <c r="Y18">
        <v>74</v>
      </c>
      <c r="Z18">
        <v>1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1</v>
      </c>
      <c r="AG18">
        <v>1</v>
      </c>
      <c r="AH18">
        <v>4</v>
      </c>
      <c r="AI18">
        <v>116202</v>
      </c>
      <c r="AJ18">
        <f t="shared" si="0"/>
        <v>312</v>
      </c>
      <c r="AK18">
        <f t="shared" si="1"/>
        <v>279</v>
      </c>
      <c r="AL18">
        <f t="shared" si="2"/>
        <v>2040.25</v>
      </c>
    </row>
    <row r="19" spans="1:38" x14ac:dyDescent="0.2">
      <c r="A19" t="s">
        <v>43</v>
      </c>
      <c r="B19">
        <v>2</v>
      </c>
      <c r="C19">
        <v>40</v>
      </c>
      <c r="D19">
        <v>0</v>
      </c>
      <c r="E19">
        <v>0</v>
      </c>
      <c r="F19">
        <v>0</v>
      </c>
      <c r="G19">
        <v>12</v>
      </c>
      <c r="H19">
        <v>33</v>
      </c>
      <c r="I19">
        <v>2</v>
      </c>
      <c r="J19">
        <v>132.30000000000001</v>
      </c>
      <c r="K19">
        <v>0</v>
      </c>
      <c r="L19">
        <v>80</v>
      </c>
      <c r="M19">
        <v>219.1</v>
      </c>
      <c r="N19">
        <v>0</v>
      </c>
      <c r="O19">
        <v>0</v>
      </c>
      <c r="P19">
        <v>0</v>
      </c>
      <c r="Q19">
        <v>0</v>
      </c>
      <c r="R19">
        <v>0</v>
      </c>
      <c r="S19">
        <v>299.10000000000002</v>
      </c>
      <c r="T19">
        <v>25</v>
      </c>
      <c r="U19">
        <v>12</v>
      </c>
      <c r="V19">
        <v>0.25</v>
      </c>
      <c r="W19">
        <v>1872.7</v>
      </c>
      <c r="X19">
        <v>4554.8999999999996</v>
      </c>
      <c r="Y19">
        <v>149.30000000000001</v>
      </c>
      <c r="Z19">
        <v>1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1</v>
      </c>
      <c r="AH19">
        <v>3</v>
      </c>
      <c r="AI19">
        <v>379406</v>
      </c>
      <c r="AJ19">
        <f t="shared" si="0"/>
        <v>300</v>
      </c>
      <c r="AK19">
        <f t="shared" si="1"/>
        <v>267</v>
      </c>
      <c r="AL19">
        <f t="shared" si="2"/>
        <v>2039.25</v>
      </c>
    </row>
    <row r="20" spans="1:38" x14ac:dyDescent="0.2">
      <c r="A20" t="s">
        <v>43</v>
      </c>
      <c r="B20">
        <v>2</v>
      </c>
      <c r="C20">
        <v>42</v>
      </c>
      <c r="D20">
        <v>0</v>
      </c>
      <c r="E20">
        <v>0</v>
      </c>
      <c r="F20">
        <v>0</v>
      </c>
      <c r="G20">
        <v>12</v>
      </c>
      <c r="H20">
        <v>33</v>
      </c>
      <c r="I20">
        <v>2</v>
      </c>
      <c r="J20">
        <v>156</v>
      </c>
      <c r="K20">
        <v>0</v>
      </c>
      <c r="L20">
        <v>80</v>
      </c>
      <c r="M20">
        <v>340.9</v>
      </c>
      <c r="N20">
        <v>0</v>
      </c>
      <c r="O20">
        <v>0</v>
      </c>
      <c r="P20">
        <v>0</v>
      </c>
      <c r="Q20">
        <v>0</v>
      </c>
      <c r="R20">
        <v>0</v>
      </c>
      <c r="S20">
        <v>420.9</v>
      </c>
      <c r="T20">
        <v>23</v>
      </c>
      <c r="U20">
        <v>12</v>
      </c>
      <c r="V20">
        <v>0.25</v>
      </c>
      <c r="W20">
        <v>2746.7</v>
      </c>
      <c r="X20">
        <v>3505.3</v>
      </c>
      <c r="Y20">
        <v>89.2</v>
      </c>
      <c r="Z20">
        <v>1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1</v>
      </c>
      <c r="AH20">
        <v>3</v>
      </c>
      <c r="AI20">
        <v>2172501</v>
      </c>
      <c r="AJ20">
        <f t="shared" si="0"/>
        <v>276</v>
      </c>
      <c r="AK20">
        <f t="shared" si="1"/>
        <v>243</v>
      </c>
      <c r="AL20">
        <f t="shared" si="2"/>
        <v>2037.25</v>
      </c>
    </row>
    <row r="21" spans="1:38" x14ac:dyDescent="0.2">
      <c r="A21" t="s">
        <v>43</v>
      </c>
      <c r="B21">
        <v>2</v>
      </c>
      <c r="C21">
        <v>48</v>
      </c>
      <c r="D21">
        <v>0</v>
      </c>
      <c r="E21">
        <v>0</v>
      </c>
      <c r="F21">
        <v>0</v>
      </c>
      <c r="G21">
        <v>12</v>
      </c>
      <c r="H21">
        <v>31</v>
      </c>
      <c r="I21">
        <v>0</v>
      </c>
      <c r="J21">
        <v>169.1</v>
      </c>
      <c r="K21">
        <v>0</v>
      </c>
      <c r="L21">
        <v>80</v>
      </c>
      <c r="M21">
        <v>688.1</v>
      </c>
      <c r="N21">
        <v>0</v>
      </c>
      <c r="O21">
        <v>0</v>
      </c>
      <c r="P21">
        <v>0</v>
      </c>
      <c r="Q21">
        <v>0</v>
      </c>
      <c r="R21">
        <v>0</v>
      </c>
      <c r="S21">
        <v>768.1</v>
      </c>
      <c r="T21">
        <v>20</v>
      </c>
      <c r="U21">
        <v>12</v>
      </c>
      <c r="V21">
        <v>0.25</v>
      </c>
      <c r="W21">
        <v>6768</v>
      </c>
      <c r="X21">
        <v>9361.5</v>
      </c>
      <c r="Y21">
        <v>203.7</v>
      </c>
      <c r="Z21">
        <v>1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1</v>
      </c>
      <c r="AG21">
        <v>1</v>
      </c>
      <c r="AH21">
        <v>4</v>
      </c>
      <c r="AI21">
        <v>39004</v>
      </c>
      <c r="AJ21">
        <f t="shared" si="0"/>
        <v>240</v>
      </c>
      <c r="AK21">
        <f t="shared" si="1"/>
        <v>209</v>
      </c>
      <c r="AL21">
        <f t="shared" si="2"/>
        <v>2034.4166666666667</v>
      </c>
    </row>
    <row r="22" spans="1:38" x14ac:dyDescent="0.2">
      <c r="A22" t="s">
        <v>43</v>
      </c>
      <c r="B22">
        <v>5</v>
      </c>
      <c r="C22">
        <v>20</v>
      </c>
      <c r="D22">
        <v>0</v>
      </c>
      <c r="E22">
        <v>0</v>
      </c>
      <c r="F22">
        <v>0</v>
      </c>
      <c r="G22">
        <v>12</v>
      </c>
      <c r="H22">
        <v>59</v>
      </c>
      <c r="I22">
        <v>2</v>
      </c>
      <c r="J22">
        <v>42.2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20</v>
      </c>
      <c r="U22">
        <v>1</v>
      </c>
      <c r="V22">
        <v>0.5</v>
      </c>
      <c r="W22">
        <v>0</v>
      </c>
      <c r="X22">
        <v>1415</v>
      </c>
      <c r="Y22">
        <v>63.7</v>
      </c>
      <c r="Z22">
        <v>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1</v>
      </c>
      <c r="AG22">
        <v>1</v>
      </c>
      <c r="AH22">
        <v>4</v>
      </c>
      <c r="AI22">
        <v>2032401</v>
      </c>
      <c r="AJ22">
        <f t="shared" si="0"/>
        <v>240</v>
      </c>
      <c r="AK22">
        <f t="shared" si="1"/>
        <v>181</v>
      </c>
      <c r="AL22">
        <f t="shared" si="2"/>
        <v>2032.0833333333333</v>
      </c>
    </row>
    <row r="23" spans="1:38" x14ac:dyDescent="0.2">
      <c r="A23" t="s">
        <v>43</v>
      </c>
      <c r="B23">
        <v>5</v>
      </c>
      <c r="C23">
        <v>21</v>
      </c>
      <c r="D23">
        <v>0</v>
      </c>
      <c r="E23">
        <v>0</v>
      </c>
      <c r="F23">
        <v>0</v>
      </c>
      <c r="G23">
        <v>12</v>
      </c>
      <c r="H23">
        <v>37</v>
      </c>
      <c r="I23">
        <v>3</v>
      </c>
      <c r="J23">
        <v>42.2</v>
      </c>
      <c r="K23">
        <v>0</v>
      </c>
      <c r="L23">
        <v>80</v>
      </c>
      <c r="M23">
        <v>86.5</v>
      </c>
      <c r="N23">
        <v>0</v>
      </c>
      <c r="O23">
        <v>0</v>
      </c>
      <c r="P23">
        <v>0</v>
      </c>
      <c r="Q23">
        <v>0</v>
      </c>
      <c r="R23">
        <v>0</v>
      </c>
      <c r="S23">
        <v>166.5</v>
      </c>
      <c r="T23">
        <v>40</v>
      </c>
      <c r="U23">
        <v>12</v>
      </c>
      <c r="V23">
        <v>0.5</v>
      </c>
      <c r="W23">
        <v>1311.3</v>
      </c>
      <c r="X23">
        <v>1875.8</v>
      </c>
      <c r="Y23">
        <v>51.5</v>
      </c>
      <c r="Z23">
        <v>1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1</v>
      </c>
      <c r="AG23">
        <v>1</v>
      </c>
      <c r="AH23">
        <v>4</v>
      </c>
      <c r="AI23">
        <v>2140901</v>
      </c>
      <c r="AJ23">
        <f t="shared" si="0"/>
        <v>480</v>
      </c>
      <c r="AK23">
        <f t="shared" si="1"/>
        <v>443</v>
      </c>
      <c r="AL23">
        <f t="shared" si="2"/>
        <v>2053.9166666666665</v>
      </c>
    </row>
    <row r="24" spans="1:38" x14ac:dyDescent="0.2">
      <c r="A24" t="s">
        <v>43</v>
      </c>
      <c r="B24">
        <v>5</v>
      </c>
      <c r="C24">
        <v>23</v>
      </c>
      <c r="D24">
        <v>0</v>
      </c>
      <c r="E24">
        <v>0</v>
      </c>
      <c r="F24">
        <v>0</v>
      </c>
      <c r="G24">
        <v>12</v>
      </c>
      <c r="H24">
        <v>36</v>
      </c>
      <c r="I24">
        <v>3</v>
      </c>
      <c r="J24">
        <v>63.3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40</v>
      </c>
      <c r="U24">
        <v>1</v>
      </c>
      <c r="V24">
        <v>0.5</v>
      </c>
      <c r="W24">
        <v>0</v>
      </c>
      <c r="X24">
        <v>869.3</v>
      </c>
      <c r="Y24">
        <v>31.5</v>
      </c>
      <c r="Z24">
        <v>1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G24">
        <v>1</v>
      </c>
      <c r="AH24">
        <v>4</v>
      </c>
      <c r="AI24">
        <v>2150601</v>
      </c>
      <c r="AJ24">
        <f t="shared" si="0"/>
        <v>480</v>
      </c>
      <c r="AK24">
        <f t="shared" si="1"/>
        <v>444</v>
      </c>
      <c r="AL24">
        <f t="shared" si="2"/>
        <v>2054</v>
      </c>
    </row>
    <row r="25" spans="1:38" x14ac:dyDescent="0.2">
      <c r="A25" t="s">
        <v>43</v>
      </c>
      <c r="B25">
        <v>5</v>
      </c>
      <c r="C25">
        <v>25</v>
      </c>
      <c r="D25">
        <v>0</v>
      </c>
      <c r="E25">
        <v>0</v>
      </c>
      <c r="F25">
        <v>0</v>
      </c>
      <c r="G25">
        <v>12</v>
      </c>
      <c r="H25">
        <v>55</v>
      </c>
      <c r="I25">
        <v>2</v>
      </c>
      <c r="J25">
        <v>94.7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35</v>
      </c>
      <c r="U25">
        <v>1</v>
      </c>
      <c r="V25">
        <v>0.5</v>
      </c>
      <c r="W25">
        <v>0</v>
      </c>
      <c r="X25">
        <v>1727.2</v>
      </c>
      <c r="Y25">
        <v>96.4</v>
      </c>
      <c r="Z25">
        <v>1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1</v>
      </c>
      <c r="AH25">
        <v>3</v>
      </c>
      <c r="AI25">
        <v>2055501</v>
      </c>
      <c r="AJ25">
        <f t="shared" si="0"/>
        <v>420</v>
      </c>
      <c r="AK25">
        <f t="shared" si="1"/>
        <v>365</v>
      </c>
      <c r="AL25">
        <f t="shared" si="2"/>
        <v>2047.4166666666667</v>
      </c>
    </row>
    <row r="26" spans="1:38" x14ac:dyDescent="0.2">
      <c r="A26" t="s">
        <v>43</v>
      </c>
      <c r="B26">
        <v>5</v>
      </c>
      <c r="C26">
        <v>26</v>
      </c>
      <c r="D26">
        <v>0</v>
      </c>
      <c r="E26">
        <v>0</v>
      </c>
      <c r="F26">
        <v>0</v>
      </c>
      <c r="G26">
        <v>12</v>
      </c>
      <c r="H26">
        <v>36</v>
      </c>
      <c r="I26">
        <v>3</v>
      </c>
      <c r="J26">
        <v>94.7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40</v>
      </c>
      <c r="U26">
        <v>1</v>
      </c>
      <c r="V26">
        <v>0.5</v>
      </c>
      <c r="W26">
        <v>0</v>
      </c>
      <c r="X26">
        <v>775.8</v>
      </c>
      <c r="Y26">
        <v>28.1</v>
      </c>
      <c r="Z26">
        <v>1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1</v>
      </c>
      <c r="AH26">
        <v>3</v>
      </c>
      <c r="AI26">
        <v>2150901</v>
      </c>
      <c r="AJ26">
        <f t="shared" si="0"/>
        <v>480</v>
      </c>
      <c r="AK26">
        <f t="shared" si="1"/>
        <v>444</v>
      </c>
      <c r="AL26">
        <f t="shared" si="2"/>
        <v>2054</v>
      </c>
    </row>
    <row r="27" spans="1:38" x14ac:dyDescent="0.2">
      <c r="A27" t="s">
        <v>43</v>
      </c>
      <c r="B27">
        <v>5</v>
      </c>
      <c r="C27">
        <v>29</v>
      </c>
      <c r="D27">
        <v>0</v>
      </c>
      <c r="E27">
        <v>0</v>
      </c>
      <c r="F27">
        <v>0</v>
      </c>
      <c r="G27">
        <v>12</v>
      </c>
      <c r="H27">
        <v>37</v>
      </c>
      <c r="I27">
        <v>2</v>
      </c>
      <c r="J27">
        <v>86.8</v>
      </c>
      <c r="K27">
        <v>0</v>
      </c>
      <c r="L27">
        <v>80</v>
      </c>
      <c r="M27">
        <v>121.3</v>
      </c>
      <c r="N27">
        <v>0</v>
      </c>
      <c r="O27">
        <v>0</v>
      </c>
      <c r="P27">
        <v>0</v>
      </c>
      <c r="Q27">
        <v>0</v>
      </c>
      <c r="R27">
        <v>0</v>
      </c>
      <c r="S27">
        <v>201.3</v>
      </c>
      <c r="T27">
        <v>41</v>
      </c>
      <c r="U27">
        <v>12</v>
      </c>
      <c r="V27">
        <v>0.5</v>
      </c>
      <c r="W27">
        <v>1400.8</v>
      </c>
      <c r="X27">
        <v>1939.8</v>
      </c>
      <c r="Y27">
        <v>53.6</v>
      </c>
      <c r="Z27">
        <v>1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1</v>
      </c>
      <c r="AH27">
        <v>3</v>
      </c>
      <c r="AI27">
        <v>2145001</v>
      </c>
      <c r="AJ27">
        <f t="shared" si="0"/>
        <v>492</v>
      </c>
      <c r="AK27">
        <f t="shared" si="1"/>
        <v>455</v>
      </c>
      <c r="AL27">
        <f t="shared" si="2"/>
        <v>2054.9166666666665</v>
      </c>
    </row>
    <row r="28" spans="1:38" x14ac:dyDescent="0.2">
      <c r="A28" t="s">
        <v>43</v>
      </c>
      <c r="B28">
        <v>5</v>
      </c>
      <c r="C28">
        <v>30</v>
      </c>
      <c r="D28">
        <v>0</v>
      </c>
      <c r="E28">
        <v>0</v>
      </c>
      <c r="F28">
        <v>0</v>
      </c>
      <c r="G28">
        <v>12</v>
      </c>
      <c r="H28">
        <v>46</v>
      </c>
      <c r="I28">
        <v>0</v>
      </c>
      <c r="J28">
        <v>87.9</v>
      </c>
      <c r="K28">
        <v>0</v>
      </c>
      <c r="L28">
        <v>80</v>
      </c>
      <c r="M28">
        <v>25.5</v>
      </c>
      <c r="N28">
        <v>0</v>
      </c>
      <c r="O28">
        <v>0</v>
      </c>
      <c r="P28">
        <v>0</v>
      </c>
      <c r="Q28">
        <v>0</v>
      </c>
      <c r="R28">
        <v>0</v>
      </c>
      <c r="S28">
        <v>105.5</v>
      </c>
      <c r="T28">
        <v>10</v>
      </c>
      <c r="U28">
        <v>12</v>
      </c>
      <c r="V28">
        <v>0.5</v>
      </c>
      <c r="W28">
        <v>1200</v>
      </c>
      <c r="X28">
        <v>3206.5</v>
      </c>
      <c r="Y28">
        <v>110.6</v>
      </c>
      <c r="Z28">
        <v>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1</v>
      </c>
      <c r="AH28">
        <v>3</v>
      </c>
      <c r="AI28">
        <v>209504</v>
      </c>
      <c r="AJ28">
        <f t="shared" si="0"/>
        <v>120</v>
      </c>
      <c r="AK28">
        <f t="shared" si="1"/>
        <v>74</v>
      </c>
      <c r="AL28">
        <f t="shared" si="2"/>
        <v>2023.1666666666667</v>
      </c>
    </row>
    <row r="29" spans="1:38" x14ac:dyDescent="0.2">
      <c r="A29" t="s">
        <v>43</v>
      </c>
      <c r="B29">
        <v>5</v>
      </c>
      <c r="C29">
        <v>34</v>
      </c>
      <c r="D29">
        <v>0</v>
      </c>
      <c r="E29">
        <v>0</v>
      </c>
      <c r="F29">
        <v>0</v>
      </c>
      <c r="G29">
        <v>12</v>
      </c>
      <c r="H29">
        <v>49</v>
      </c>
      <c r="I29">
        <v>2</v>
      </c>
      <c r="J29">
        <v>102.6</v>
      </c>
      <c r="K29">
        <v>0</v>
      </c>
      <c r="L29">
        <v>80</v>
      </c>
      <c r="M29">
        <v>32.200000000000003</v>
      </c>
      <c r="N29">
        <v>0</v>
      </c>
      <c r="O29">
        <v>0</v>
      </c>
      <c r="P29">
        <v>0</v>
      </c>
      <c r="Q29">
        <v>0</v>
      </c>
      <c r="R29">
        <v>0</v>
      </c>
      <c r="S29">
        <v>112.2</v>
      </c>
      <c r="T29">
        <v>10</v>
      </c>
      <c r="U29">
        <v>12</v>
      </c>
      <c r="V29">
        <v>0.5</v>
      </c>
      <c r="W29">
        <v>1299</v>
      </c>
      <c r="X29">
        <v>3496.9</v>
      </c>
      <c r="Y29">
        <v>132.1</v>
      </c>
      <c r="Z29">
        <v>1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1</v>
      </c>
      <c r="AH29">
        <v>3</v>
      </c>
      <c r="AI29">
        <v>2085701</v>
      </c>
      <c r="AJ29">
        <f t="shared" si="0"/>
        <v>120</v>
      </c>
      <c r="AK29">
        <f t="shared" si="1"/>
        <v>71</v>
      </c>
      <c r="AL29">
        <f t="shared" si="2"/>
        <v>2022.9166666666667</v>
      </c>
    </row>
    <row r="30" spans="1:38" x14ac:dyDescent="0.2">
      <c r="A30" t="s">
        <v>43</v>
      </c>
      <c r="B30">
        <v>5</v>
      </c>
      <c r="C30">
        <v>35</v>
      </c>
      <c r="D30">
        <v>0</v>
      </c>
      <c r="E30">
        <v>0</v>
      </c>
      <c r="F30">
        <v>0</v>
      </c>
      <c r="G30">
        <v>12</v>
      </c>
      <c r="H30">
        <v>46</v>
      </c>
      <c r="I30">
        <v>2</v>
      </c>
      <c r="J30">
        <v>98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30</v>
      </c>
      <c r="U30">
        <v>1</v>
      </c>
      <c r="V30">
        <v>0.5</v>
      </c>
      <c r="W30">
        <v>0</v>
      </c>
      <c r="X30">
        <v>2411.3000000000002</v>
      </c>
      <c r="Y30">
        <v>99.4</v>
      </c>
      <c r="Z30">
        <v>1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1</v>
      </c>
      <c r="AH30">
        <v>3</v>
      </c>
      <c r="AI30">
        <v>2101601</v>
      </c>
      <c r="AJ30">
        <f t="shared" si="0"/>
        <v>360</v>
      </c>
      <c r="AK30">
        <f t="shared" si="1"/>
        <v>314</v>
      </c>
      <c r="AL30">
        <f t="shared" si="2"/>
        <v>2043.1666666666667</v>
      </c>
    </row>
    <row r="31" spans="1:38" x14ac:dyDescent="0.2">
      <c r="A31" t="s">
        <v>43</v>
      </c>
      <c r="B31">
        <v>5</v>
      </c>
      <c r="C31">
        <v>37</v>
      </c>
      <c r="D31">
        <v>0</v>
      </c>
      <c r="E31">
        <v>0</v>
      </c>
      <c r="F31">
        <v>0</v>
      </c>
      <c r="G31">
        <v>12</v>
      </c>
      <c r="H31">
        <v>52</v>
      </c>
      <c r="I31">
        <v>0</v>
      </c>
      <c r="J31">
        <v>122.9</v>
      </c>
      <c r="K31">
        <v>0</v>
      </c>
      <c r="L31">
        <v>80</v>
      </c>
      <c r="M31">
        <v>103.2</v>
      </c>
      <c r="N31">
        <v>0</v>
      </c>
      <c r="O31">
        <v>0</v>
      </c>
      <c r="P31">
        <v>0</v>
      </c>
      <c r="Q31">
        <v>0</v>
      </c>
      <c r="R31">
        <v>0</v>
      </c>
      <c r="S31">
        <v>183.2</v>
      </c>
      <c r="T31">
        <v>28</v>
      </c>
      <c r="U31">
        <v>12</v>
      </c>
      <c r="V31">
        <v>0.5</v>
      </c>
      <c r="W31">
        <v>1200</v>
      </c>
      <c r="X31">
        <v>2733.9</v>
      </c>
      <c r="Y31">
        <v>112.8</v>
      </c>
      <c r="Z31">
        <v>1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1</v>
      </c>
      <c r="AH31">
        <v>3</v>
      </c>
      <c r="AI31">
        <v>2073501</v>
      </c>
      <c r="AJ31">
        <f t="shared" si="0"/>
        <v>336</v>
      </c>
      <c r="AK31">
        <f t="shared" si="1"/>
        <v>284</v>
      </c>
      <c r="AL31">
        <f t="shared" si="2"/>
        <v>2040.6666666666667</v>
      </c>
    </row>
    <row r="32" spans="1:38" x14ac:dyDescent="0.2">
      <c r="A32" t="s">
        <v>43</v>
      </c>
      <c r="B32">
        <v>5</v>
      </c>
      <c r="C32">
        <v>39</v>
      </c>
      <c r="D32">
        <v>0</v>
      </c>
      <c r="E32">
        <v>0</v>
      </c>
      <c r="F32">
        <v>0</v>
      </c>
      <c r="G32">
        <v>12</v>
      </c>
      <c r="H32">
        <v>48</v>
      </c>
      <c r="I32">
        <v>5</v>
      </c>
      <c r="J32">
        <v>81.7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20</v>
      </c>
      <c r="U32">
        <v>1</v>
      </c>
      <c r="V32">
        <v>0.5</v>
      </c>
      <c r="W32">
        <v>0</v>
      </c>
      <c r="X32">
        <v>1343.8</v>
      </c>
      <c r="Y32">
        <v>73.2</v>
      </c>
      <c r="Z32">
        <v>1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1</v>
      </c>
      <c r="AG32">
        <v>1</v>
      </c>
      <c r="AH32">
        <v>4</v>
      </c>
      <c r="AI32">
        <v>366402</v>
      </c>
      <c r="AJ32">
        <f t="shared" si="0"/>
        <v>240</v>
      </c>
      <c r="AK32">
        <f t="shared" si="1"/>
        <v>192</v>
      </c>
      <c r="AL32">
        <f t="shared" si="2"/>
        <v>2033</v>
      </c>
    </row>
    <row r="33" spans="1:38" x14ac:dyDescent="0.2">
      <c r="A33" t="s">
        <v>43</v>
      </c>
      <c r="B33">
        <v>5</v>
      </c>
      <c r="C33">
        <v>39</v>
      </c>
      <c r="D33">
        <v>0</v>
      </c>
      <c r="E33">
        <v>0</v>
      </c>
      <c r="F33">
        <v>0</v>
      </c>
      <c r="G33">
        <v>12</v>
      </c>
      <c r="H33">
        <v>55</v>
      </c>
      <c r="I33">
        <v>2</v>
      </c>
      <c r="J33">
        <v>95.5</v>
      </c>
      <c r="K33">
        <v>0</v>
      </c>
      <c r="L33">
        <v>80</v>
      </c>
      <c r="M33">
        <v>92</v>
      </c>
      <c r="N33">
        <v>0</v>
      </c>
      <c r="O33">
        <v>0</v>
      </c>
      <c r="P33">
        <v>0</v>
      </c>
      <c r="Q33">
        <v>0</v>
      </c>
      <c r="R33">
        <v>0</v>
      </c>
      <c r="S33">
        <v>172</v>
      </c>
      <c r="T33">
        <v>18</v>
      </c>
      <c r="U33">
        <v>12</v>
      </c>
      <c r="V33">
        <v>0.5</v>
      </c>
      <c r="W33">
        <v>1519.7</v>
      </c>
      <c r="X33">
        <v>4270.3999999999996</v>
      </c>
      <c r="Y33">
        <v>184.2</v>
      </c>
      <c r="Z33">
        <v>1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</v>
      </c>
      <c r="AG33">
        <v>1</v>
      </c>
      <c r="AH33">
        <v>4</v>
      </c>
      <c r="AI33">
        <v>481101</v>
      </c>
      <c r="AJ33">
        <f t="shared" si="0"/>
        <v>216</v>
      </c>
      <c r="AK33">
        <f t="shared" si="1"/>
        <v>161</v>
      </c>
      <c r="AL33">
        <f t="shared" si="2"/>
        <v>2030.4166666666667</v>
      </c>
    </row>
    <row r="34" spans="1:38" x14ac:dyDescent="0.2">
      <c r="A34" t="s">
        <v>43</v>
      </c>
      <c r="B34">
        <v>5</v>
      </c>
      <c r="C34">
        <v>40</v>
      </c>
      <c r="D34">
        <v>0</v>
      </c>
      <c r="E34">
        <v>0</v>
      </c>
      <c r="F34">
        <v>0</v>
      </c>
      <c r="G34">
        <v>12</v>
      </c>
      <c r="H34">
        <v>56</v>
      </c>
      <c r="I34">
        <v>2</v>
      </c>
      <c r="J34">
        <v>156</v>
      </c>
      <c r="K34">
        <v>0</v>
      </c>
      <c r="L34">
        <v>80</v>
      </c>
      <c r="M34">
        <v>241.1</v>
      </c>
      <c r="N34">
        <v>0</v>
      </c>
      <c r="O34">
        <v>0</v>
      </c>
      <c r="P34">
        <v>0</v>
      </c>
      <c r="Q34">
        <v>0</v>
      </c>
      <c r="R34">
        <v>0</v>
      </c>
      <c r="S34">
        <v>321.10000000000002</v>
      </c>
      <c r="T34">
        <v>20</v>
      </c>
      <c r="U34">
        <v>12</v>
      </c>
      <c r="V34">
        <v>0.5</v>
      </c>
      <c r="W34">
        <v>2597.8000000000002</v>
      </c>
      <c r="X34">
        <v>7303.7</v>
      </c>
      <c r="Y34">
        <v>323.8</v>
      </c>
      <c r="Z34">
        <v>1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1</v>
      </c>
      <c r="AH34">
        <v>3</v>
      </c>
      <c r="AI34">
        <v>2045901</v>
      </c>
      <c r="AJ34">
        <f t="shared" si="0"/>
        <v>240</v>
      </c>
      <c r="AK34">
        <f t="shared" si="1"/>
        <v>184</v>
      </c>
      <c r="AL34">
        <f t="shared" si="2"/>
        <v>2032.3333333333333</v>
      </c>
    </row>
    <row r="35" spans="1:38" x14ac:dyDescent="0.2">
      <c r="A35" t="s">
        <v>43</v>
      </c>
      <c r="B35">
        <v>5</v>
      </c>
      <c r="C35">
        <v>41</v>
      </c>
      <c r="D35">
        <v>0</v>
      </c>
      <c r="E35">
        <v>0</v>
      </c>
      <c r="F35">
        <v>0</v>
      </c>
      <c r="G35">
        <v>12</v>
      </c>
      <c r="H35">
        <v>53</v>
      </c>
      <c r="I35">
        <v>0.5</v>
      </c>
      <c r="J35">
        <v>170.8</v>
      </c>
      <c r="K35">
        <v>0</v>
      </c>
      <c r="L35">
        <v>80</v>
      </c>
      <c r="M35">
        <v>222.3</v>
      </c>
      <c r="N35">
        <v>0</v>
      </c>
      <c r="O35">
        <v>0</v>
      </c>
      <c r="P35">
        <v>0</v>
      </c>
      <c r="Q35">
        <v>0</v>
      </c>
      <c r="R35">
        <v>0</v>
      </c>
      <c r="S35">
        <v>302.3</v>
      </c>
      <c r="T35">
        <v>24</v>
      </c>
      <c r="U35">
        <v>12</v>
      </c>
      <c r="V35">
        <v>0.5</v>
      </c>
      <c r="W35">
        <v>2081.1999999999998</v>
      </c>
      <c r="X35">
        <v>19490.5</v>
      </c>
      <c r="Y35">
        <v>1601.8</v>
      </c>
      <c r="Z35">
        <v>1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</v>
      </c>
      <c r="AH35">
        <v>3</v>
      </c>
      <c r="AI35">
        <v>2064601</v>
      </c>
      <c r="AJ35">
        <f t="shared" si="0"/>
        <v>288</v>
      </c>
      <c r="AK35">
        <f t="shared" si="1"/>
        <v>235</v>
      </c>
      <c r="AL35">
        <f t="shared" si="2"/>
        <v>2036.5833333333333</v>
      </c>
    </row>
    <row r="36" spans="1:38" x14ac:dyDescent="0.2">
      <c r="A36" t="s">
        <v>43</v>
      </c>
      <c r="B36">
        <v>5</v>
      </c>
      <c r="C36">
        <v>44</v>
      </c>
      <c r="D36">
        <v>0</v>
      </c>
      <c r="E36">
        <v>0</v>
      </c>
      <c r="F36">
        <v>0</v>
      </c>
      <c r="G36">
        <v>12</v>
      </c>
      <c r="H36">
        <v>59</v>
      </c>
      <c r="I36">
        <v>0</v>
      </c>
      <c r="J36">
        <v>156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22</v>
      </c>
      <c r="U36">
        <v>1</v>
      </c>
      <c r="V36">
        <v>0.5</v>
      </c>
      <c r="W36">
        <v>0</v>
      </c>
      <c r="X36">
        <v>2626.4</v>
      </c>
      <c r="Y36">
        <v>196.3</v>
      </c>
      <c r="Z36">
        <v>1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1</v>
      </c>
      <c r="AH36">
        <v>3</v>
      </c>
      <c r="AI36">
        <v>2014902</v>
      </c>
      <c r="AJ36">
        <f t="shared" si="0"/>
        <v>264</v>
      </c>
      <c r="AK36">
        <f t="shared" si="1"/>
        <v>205</v>
      </c>
      <c r="AL36">
        <f t="shared" si="2"/>
        <v>2034.0833333333333</v>
      </c>
    </row>
    <row r="37" spans="1:38" x14ac:dyDescent="0.2">
      <c r="A37" t="s">
        <v>43</v>
      </c>
      <c r="B37">
        <v>5</v>
      </c>
      <c r="C37">
        <v>45</v>
      </c>
      <c r="D37">
        <v>0</v>
      </c>
      <c r="E37">
        <v>0</v>
      </c>
      <c r="F37">
        <v>0</v>
      </c>
      <c r="G37">
        <v>12</v>
      </c>
      <c r="H37">
        <v>54</v>
      </c>
      <c r="I37">
        <v>0</v>
      </c>
      <c r="J37">
        <v>156.1</v>
      </c>
      <c r="K37">
        <v>0</v>
      </c>
      <c r="L37">
        <v>80</v>
      </c>
      <c r="M37">
        <v>306</v>
      </c>
      <c r="N37">
        <v>0</v>
      </c>
      <c r="O37">
        <v>0</v>
      </c>
      <c r="P37">
        <v>0</v>
      </c>
      <c r="Q37">
        <v>0</v>
      </c>
      <c r="R37">
        <v>0</v>
      </c>
      <c r="S37">
        <v>386</v>
      </c>
      <c r="T37">
        <v>20</v>
      </c>
      <c r="U37">
        <v>12</v>
      </c>
      <c r="V37">
        <v>0.5</v>
      </c>
      <c r="W37">
        <v>3600</v>
      </c>
      <c r="X37">
        <v>10562.8</v>
      </c>
      <c r="Y37">
        <v>448.3</v>
      </c>
      <c r="Z37">
        <v>1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1</v>
      </c>
      <c r="AG37">
        <v>1</v>
      </c>
      <c r="AH37">
        <v>4</v>
      </c>
      <c r="AI37">
        <v>2063501</v>
      </c>
      <c r="AJ37">
        <f t="shared" si="0"/>
        <v>240</v>
      </c>
      <c r="AK37">
        <f t="shared" si="1"/>
        <v>186</v>
      </c>
      <c r="AL37">
        <f t="shared" si="2"/>
        <v>2032.5</v>
      </c>
    </row>
    <row r="38" spans="1:38" x14ac:dyDescent="0.2">
      <c r="A38" t="s">
        <v>43</v>
      </c>
      <c r="B38">
        <v>5</v>
      </c>
      <c r="C38">
        <v>46</v>
      </c>
      <c r="D38">
        <v>0</v>
      </c>
      <c r="E38">
        <v>0</v>
      </c>
      <c r="F38">
        <v>0</v>
      </c>
      <c r="G38">
        <v>12</v>
      </c>
      <c r="H38">
        <v>53</v>
      </c>
      <c r="I38">
        <v>2</v>
      </c>
      <c r="J38">
        <v>169.1</v>
      </c>
      <c r="K38">
        <v>0</v>
      </c>
      <c r="L38">
        <v>80</v>
      </c>
      <c r="M38">
        <v>120.4</v>
      </c>
      <c r="N38">
        <v>0</v>
      </c>
      <c r="O38">
        <v>0</v>
      </c>
      <c r="P38">
        <v>0</v>
      </c>
      <c r="Q38">
        <v>0</v>
      </c>
      <c r="R38">
        <v>0</v>
      </c>
      <c r="S38">
        <v>200.4</v>
      </c>
      <c r="T38">
        <v>18</v>
      </c>
      <c r="U38">
        <v>12</v>
      </c>
      <c r="V38">
        <v>0.5</v>
      </c>
      <c r="W38">
        <v>1299</v>
      </c>
      <c r="X38">
        <v>3069.1</v>
      </c>
      <c r="Y38">
        <v>125.6</v>
      </c>
      <c r="Z38">
        <v>1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1</v>
      </c>
      <c r="AG38">
        <v>1</v>
      </c>
      <c r="AH38">
        <v>4</v>
      </c>
      <c r="AI38">
        <v>2069301</v>
      </c>
      <c r="AJ38">
        <f t="shared" si="0"/>
        <v>216</v>
      </c>
      <c r="AK38">
        <f t="shared" si="1"/>
        <v>163</v>
      </c>
      <c r="AL38">
        <f t="shared" si="2"/>
        <v>2030.5833333333333</v>
      </c>
    </row>
    <row r="39" spans="1:38" x14ac:dyDescent="0.2">
      <c r="A39" t="s">
        <v>43</v>
      </c>
      <c r="B39">
        <v>5</v>
      </c>
      <c r="C39">
        <v>46</v>
      </c>
      <c r="D39">
        <v>0</v>
      </c>
      <c r="E39">
        <v>0</v>
      </c>
      <c r="F39">
        <v>0</v>
      </c>
      <c r="G39">
        <v>12</v>
      </c>
      <c r="H39">
        <v>59</v>
      </c>
      <c r="I39">
        <v>2</v>
      </c>
      <c r="J39">
        <v>277.8</v>
      </c>
      <c r="K39">
        <v>0</v>
      </c>
      <c r="L39">
        <v>80</v>
      </c>
      <c r="M39">
        <v>198.6</v>
      </c>
      <c r="N39">
        <v>0</v>
      </c>
      <c r="O39">
        <v>0</v>
      </c>
      <c r="P39">
        <v>0</v>
      </c>
      <c r="Q39">
        <v>0</v>
      </c>
      <c r="R39">
        <v>0</v>
      </c>
      <c r="S39">
        <v>278.60000000000002</v>
      </c>
      <c r="T39">
        <v>20</v>
      </c>
      <c r="U39">
        <v>12</v>
      </c>
      <c r="V39">
        <v>0.5</v>
      </c>
      <c r="W39">
        <v>1299</v>
      </c>
      <c r="X39">
        <v>2911.4</v>
      </c>
      <c r="Y39">
        <v>144.1</v>
      </c>
      <c r="Z39">
        <v>1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1</v>
      </c>
      <c r="AH39">
        <v>3</v>
      </c>
      <c r="AI39">
        <v>2032801</v>
      </c>
      <c r="AJ39">
        <f t="shared" si="0"/>
        <v>240</v>
      </c>
      <c r="AK39">
        <f t="shared" si="1"/>
        <v>181</v>
      </c>
      <c r="AL39">
        <f t="shared" si="2"/>
        <v>2032.0833333333333</v>
      </c>
    </row>
    <row r="40" spans="1:38" x14ac:dyDescent="0.2">
      <c r="A40" t="s">
        <v>43</v>
      </c>
      <c r="B40">
        <v>5</v>
      </c>
      <c r="C40">
        <v>47</v>
      </c>
      <c r="D40">
        <v>0</v>
      </c>
      <c r="E40">
        <v>0</v>
      </c>
      <c r="F40">
        <v>0</v>
      </c>
      <c r="G40">
        <v>12</v>
      </c>
      <c r="H40">
        <v>37</v>
      </c>
      <c r="I40">
        <v>0</v>
      </c>
      <c r="J40">
        <v>277.8</v>
      </c>
      <c r="K40">
        <v>0</v>
      </c>
      <c r="L40">
        <v>80</v>
      </c>
      <c r="M40">
        <v>124.3</v>
      </c>
      <c r="N40">
        <v>0</v>
      </c>
      <c r="O40">
        <v>0</v>
      </c>
      <c r="P40">
        <v>0</v>
      </c>
      <c r="Q40">
        <v>0</v>
      </c>
      <c r="R40">
        <v>0</v>
      </c>
      <c r="S40">
        <v>204.3</v>
      </c>
      <c r="T40">
        <v>15</v>
      </c>
      <c r="U40">
        <v>12</v>
      </c>
      <c r="V40">
        <v>0.5</v>
      </c>
      <c r="W40">
        <v>1200</v>
      </c>
      <c r="X40">
        <v>1781.5</v>
      </c>
      <c r="Y40">
        <v>43.4</v>
      </c>
      <c r="Z40">
        <v>1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1</v>
      </c>
      <c r="AH40">
        <v>3</v>
      </c>
      <c r="AI40">
        <v>137302</v>
      </c>
      <c r="AJ40">
        <f t="shared" si="0"/>
        <v>180</v>
      </c>
      <c r="AK40">
        <f t="shared" si="1"/>
        <v>143</v>
      </c>
      <c r="AL40">
        <f t="shared" si="2"/>
        <v>2028.9166666666667</v>
      </c>
    </row>
    <row r="41" spans="1:38" x14ac:dyDescent="0.2">
      <c r="A41" t="s">
        <v>43</v>
      </c>
      <c r="B41">
        <v>5</v>
      </c>
      <c r="C41">
        <v>47</v>
      </c>
      <c r="D41">
        <v>0</v>
      </c>
      <c r="E41">
        <v>0</v>
      </c>
      <c r="F41">
        <v>0</v>
      </c>
      <c r="G41">
        <v>12</v>
      </c>
      <c r="H41">
        <v>50</v>
      </c>
      <c r="I41">
        <v>2</v>
      </c>
      <c r="J41">
        <v>182.9</v>
      </c>
      <c r="K41">
        <v>0</v>
      </c>
      <c r="L41">
        <v>80</v>
      </c>
      <c r="M41">
        <v>118.8</v>
      </c>
      <c r="N41">
        <v>0</v>
      </c>
      <c r="O41">
        <v>0</v>
      </c>
      <c r="P41">
        <v>0</v>
      </c>
      <c r="Q41">
        <v>0</v>
      </c>
      <c r="R41">
        <v>0</v>
      </c>
      <c r="S41">
        <v>198.8</v>
      </c>
      <c r="T41">
        <v>17</v>
      </c>
      <c r="U41">
        <v>12</v>
      </c>
      <c r="V41">
        <v>0.5</v>
      </c>
      <c r="W41">
        <v>1299</v>
      </c>
      <c r="X41">
        <v>2847.4</v>
      </c>
      <c r="Y41">
        <v>107.3</v>
      </c>
      <c r="Z41">
        <v>1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1</v>
      </c>
      <c r="AG41">
        <v>1</v>
      </c>
      <c r="AH41">
        <v>4</v>
      </c>
      <c r="AI41">
        <v>664601</v>
      </c>
      <c r="AJ41">
        <f t="shared" si="0"/>
        <v>204</v>
      </c>
      <c r="AK41">
        <f t="shared" si="1"/>
        <v>154</v>
      </c>
      <c r="AL41">
        <f t="shared" si="2"/>
        <v>2029.8333333333333</v>
      </c>
    </row>
    <row r="42" spans="1:38" x14ac:dyDescent="0.2">
      <c r="A42" t="s">
        <v>43</v>
      </c>
      <c r="B42">
        <v>5</v>
      </c>
      <c r="C42">
        <v>48</v>
      </c>
      <c r="D42">
        <v>0</v>
      </c>
      <c r="E42">
        <v>0</v>
      </c>
      <c r="F42">
        <v>0</v>
      </c>
      <c r="G42">
        <v>12</v>
      </c>
      <c r="H42">
        <v>54</v>
      </c>
      <c r="I42">
        <v>0</v>
      </c>
      <c r="J42">
        <v>182.9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17</v>
      </c>
      <c r="U42">
        <v>1</v>
      </c>
      <c r="V42">
        <v>0.5</v>
      </c>
      <c r="W42">
        <v>0</v>
      </c>
      <c r="X42">
        <v>3481.1</v>
      </c>
      <c r="Y42">
        <v>180.3</v>
      </c>
      <c r="Z42">
        <v>1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1</v>
      </c>
      <c r="AG42">
        <v>1</v>
      </c>
      <c r="AH42">
        <v>4</v>
      </c>
      <c r="AI42">
        <v>871402</v>
      </c>
      <c r="AJ42">
        <f t="shared" si="0"/>
        <v>204</v>
      </c>
      <c r="AK42">
        <f t="shared" si="1"/>
        <v>150</v>
      </c>
      <c r="AL42">
        <f t="shared" si="2"/>
        <v>2029.5</v>
      </c>
    </row>
    <row r="43" spans="1:38" x14ac:dyDescent="0.2">
      <c r="A43" t="s">
        <v>43</v>
      </c>
      <c r="B43">
        <v>5</v>
      </c>
      <c r="C43">
        <v>49</v>
      </c>
      <c r="D43">
        <v>0</v>
      </c>
      <c r="E43">
        <v>0</v>
      </c>
      <c r="F43">
        <v>0</v>
      </c>
      <c r="G43">
        <v>12</v>
      </c>
      <c r="H43">
        <v>37</v>
      </c>
      <c r="I43">
        <v>0</v>
      </c>
      <c r="J43">
        <v>197.4</v>
      </c>
      <c r="K43">
        <v>0</v>
      </c>
      <c r="L43">
        <v>80</v>
      </c>
      <c r="M43">
        <v>96</v>
      </c>
      <c r="N43">
        <v>0</v>
      </c>
      <c r="O43">
        <v>0</v>
      </c>
      <c r="P43">
        <v>0</v>
      </c>
      <c r="Q43">
        <v>0</v>
      </c>
      <c r="R43">
        <v>0</v>
      </c>
      <c r="S43">
        <v>176</v>
      </c>
      <c r="T43">
        <v>15</v>
      </c>
      <c r="U43">
        <v>12</v>
      </c>
      <c r="V43">
        <v>0.5</v>
      </c>
      <c r="W43">
        <v>1200</v>
      </c>
      <c r="X43">
        <v>1950.9</v>
      </c>
      <c r="Y43">
        <v>47</v>
      </c>
      <c r="Z43">
        <v>1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1</v>
      </c>
      <c r="AG43">
        <v>1</v>
      </c>
      <c r="AH43">
        <v>4</v>
      </c>
      <c r="AI43">
        <v>757802</v>
      </c>
      <c r="AJ43">
        <f t="shared" si="0"/>
        <v>180</v>
      </c>
      <c r="AK43">
        <f t="shared" si="1"/>
        <v>143</v>
      </c>
      <c r="AL43">
        <f t="shared" si="2"/>
        <v>2028.9166666666667</v>
      </c>
    </row>
    <row r="44" spans="1:38" x14ac:dyDescent="0.2">
      <c r="A44" t="s">
        <v>43</v>
      </c>
      <c r="B44">
        <v>5</v>
      </c>
      <c r="C44">
        <v>49</v>
      </c>
      <c r="D44">
        <v>0</v>
      </c>
      <c r="E44">
        <v>0</v>
      </c>
      <c r="F44">
        <v>0</v>
      </c>
      <c r="G44">
        <v>12</v>
      </c>
      <c r="H44">
        <v>45</v>
      </c>
      <c r="I44">
        <v>2</v>
      </c>
      <c r="J44">
        <v>338</v>
      </c>
      <c r="K44">
        <v>0</v>
      </c>
      <c r="L44">
        <v>80</v>
      </c>
      <c r="M44">
        <v>264</v>
      </c>
      <c r="N44">
        <v>0</v>
      </c>
      <c r="O44">
        <v>0</v>
      </c>
      <c r="P44">
        <v>0</v>
      </c>
      <c r="Q44">
        <v>0</v>
      </c>
      <c r="R44">
        <v>0</v>
      </c>
      <c r="S44">
        <v>344</v>
      </c>
      <c r="T44">
        <v>15</v>
      </c>
      <c r="U44">
        <v>12</v>
      </c>
      <c r="V44">
        <v>0.5</v>
      </c>
      <c r="W44">
        <v>1910.2</v>
      </c>
      <c r="X44">
        <v>3586.9</v>
      </c>
      <c r="Y44">
        <v>114.2</v>
      </c>
      <c r="Z44">
        <v>1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1</v>
      </c>
      <c r="AH44">
        <v>3</v>
      </c>
      <c r="AI44">
        <v>2107901</v>
      </c>
      <c r="AJ44">
        <f t="shared" si="0"/>
        <v>180</v>
      </c>
      <c r="AK44">
        <f t="shared" si="1"/>
        <v>135</v>
      </c>
      <c r="AL44">
        <f t="shared" si="2"/>
        <v>2028.25</v>
      </c>
    </row>
    <row r="45" spans="1:38" x14ac:dyDescent="0.2">
      <c r="A45" t="s">
        <v>43</v>
      </c>
      <c r="B45">
        <v>5</v>
      </c>
      <c r="C45">
        <v>49</v>
      </c>
      <c r="D45">
        <v>0</v>
      </c>
      <c r="E45">
        <v>0</v>
      </c>
      <c r="F45">
        <v>0</v>
      </c>
      <c r="G45">
        <v>12</v>
      </c>
      <c r="H45">
        <v>54</v>
      </c>
      <c r="I45">
        <v>0</v>
      </c>
      <c r="J45">
        <v>338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16</v>
      </c>
      <c r="U45">
        <v>1</v>
      </c>
      <c r="V45">
        <v>0.5</v>
      </c>
      <c r="W45">
        <v>0</v>
      </c>
      <c r="X45">
        <v>2982.1</v>
      </c>
      <c r="Y45">
        <v>156.6</v>
      </c>
      <c r="Z45">
        <v>1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1</v>
      </c>
      <c r="AH45">
        <v>3</v>
      </c>
      <c r="AI45">
        <v>871502</v>
      </c>
      <c r="AJ45">
        <f t="shared" si="0"/>
        <v>192</v>
      </c>
      <c r="AK45">
        <f t="shared" si="1"/>
        <v>138</v>
      </c>
      <c r="AL45">
        <f t="shared" si="2"/>
        <v>2028.5</v>
      </c>
    </row>
    <row r="46" spans="1:38" x14ac:dyDescent="0.2">
      <c r="A46" t="s">
        <v>43</v>
      </c>
      <c r="B46">
        <v>5</v>
      </c>
      <c r="C46">
        <v>49</v>
      </c>
      <c r="D46">
        <v>0</v>
      </c>
      <c r="E46">
        <v>0</v>
      </c>
      <c r="F46">
        <v>0</v>
      </c>
      <c r="G46">
        <v>12</v>
      </c>
      <c r="H46">
        <v>55</v>
      </c>
      <c r="I46">
        <v>2</v>
      </c>
      <c r="J46">
        <v>213.1</v>
      </c>
      <c r="K46">
        <v>0</v>
      </c>
      <c r="L46">
        <v>80</v>
      </c>
      <c r="M46">
        <v>227.4</v>
      </c>
      <c r="N46">
        <v>0</v>
      </c>
      <c r="O46">
        <v>0</v>
      </c>
      <c r="P46">
        <v>0</v>
      </c>
      <c r="Q46">
        <v>0</v>
      </c>
      <c r="R46">
        <v>0</v>
      </c>
      <c r="S46">
        <v>307.39999999999998</v>
      </c>
      <c r="T46">
        <v>15</v>
      </c>
      <c r="U46">
        <v>12</v>
      </c>
      <c r="V46">
        <v>0.5</v>
      </c>
      <c r="W46">
        <v>2597.8000000000002</v>
      </c>
      <c r="X46">
        <v>7349</v>
      </c>
      <c r="Y46">
        <v>320</v>
      </c>
      <c r="Z46">
        <v>1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1</v>
      </c>
      <c r="AG46">
        <v>1</v>
      </c>
      <c r="AH46">
        <v>4</v>
      </c>
      <c r="AI46">
        <v>117202</v>
      </c>
      <c r="AJ46">
        <f t="shared" si="0"/>
        <v>180</v>
      </c>
      <c r="AK46">
        <f t="shared" si="1"/>
        <v>125</v>
      </c>
      <c r="AL46">
        <f t="shared" si="2"/>
        <v>2027.4166666666667</v>
      </c>
    </row>
    <row r="47" spans="1:38" x14ac:dyDescent="0.2">
      <c r="A47" t="s">
        <v>43</v>
      </c>
      <c r="B47">
        <v>5</v>
      </c>
      <c r="C47">
        <v>50</v>
      </c>
      <c r="D47">
        <v>0</v>
      </c>
      <c r="E47">
        <v>0</v>
      </c>
      <c r="F47">
        <v>0</v>
      </c>
      <c r="G47">
        <v>12</v>
      </c>
      <c r="H47">
        <v>45</v>
      </c>
      <c r="I47">
        <v>2</v>
      </c>
      <c r="J47">
        <v>319.60000000000002</v>
      </c>
      <c r="K47">
        <v>0</v>
      </c>
      <c r="L47">
        <v>80</v>
      </c>
      <c r="M47">
        <v>182.2</v>
      </c>
      <c r="N47">
        <v>0</v>
      </c>
      <c r="O47">
        <v>0</v>
      </c>
      <c r="P47">
        <v>0</v>
      </c>
      <c r="Q47">
        <v>0</v>
      </c>
      <c r="R47">
        <v>0</v>
      </c>
      <c r="S47">
        <v>262.2</v>
      </c>
      <c r="T47">
        <v>15</v>
      </c>
      <c r="U47">
        <v>12</v>
      </c>
      <c r="V47">
        <v>0.5</v>
      </c>
      <c r="W47">
        <v>1910.2</v>
      </c>
      <c r="X47">
        <v>3789.4</v>
      </c>
      <c r="Y47">
        <v>119.6</v>
      </c>
      <c r="Z47">
        <v>1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1</v>
      </c>
      <c r="AG47">
        <v>1</v>
      </c>
      <c r="AH47">
        <v>4</v>
      </c>
      <c r="AI47">
        <v>2107801</v>
      </c>
      <c r="AJ47">
        <f t="shared" si="0"/>
        <v>180</v>
      </c>
      <c r="AK47">
        <f t="shared" si="1"/>
        <v>135</v>
      </c>
      <c r="AL47">
        <f t="shared" si="2"/>
        <v>2028.25</v>
      </c>
    </row>
    <row r="48" spans="1:38" x14ac:dyDescent="0.2">
      <c r="A48" t="s">
        <v>43</v>
      </c>
      <c r="B48">
        <v>5</v>
      </c>
      <c r="C48">
        <v>51</v>
      </c>
      <c r="D48">
        <v>0</v>
      </c>
      <c r="E48">
        <v>0</v>
      </c>
      <c r="F48">
        <v>0</v>
      </c>
      <c r="G48">
        <v>12</v>
      </c>
      <c r="H48">
        <v>51</v>
      </c>
      <c r="I48">
        <v>0</v>
      </c>
      <c r="J48">
        <v>451.8</v>
      </c>
      <c r="K48">
        <v>0</v>
      </c>
      <c r="L48">
        <v>80</v>
      </c>
      <c r="M48">
        <v>247.9</v>
      </c>
      <c r="N48">
        <v>0</v>
      </c>
      <c r="O48">
        <v>0</v>
      </c>
      <c r="P48">
        <v>0</v>
      </c>
      <c r="Q48">
        <v>0</v>
      </c>
      <c r="R48">
        <v>0</v>
      </c>
      <c r="S48">
        <v>327.9</v>
      </c>
      <c r="T48">
        <v>14</v>
      </c>
      <c r="U48">
        <v>12</v>
      </c>
      <c r="V48">
        <v>0.5</v>
      </c>
      <c r="W48">
        <v>1800</v>
      </c>
      <c r="X48">
        <v>3858.6</v>
      </c>
      <c r="Y48">
        <v>157.9</v>
      </c>
      <c r="Z48">
        <v>1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1</v>
      </c>
      <c r="AH48">
        <v>3</v>
      </c>
      <c r="AI48">
        <v>281303</v>
      </c>
      <c r="AJ48">
        <f t="shared" si="0"/>
        <v>168</v>
      </c>
      <c r="AK48">
        <f t="shared" si="1"/>
        <v>117</v>
      </c>
      <c r="AL48">
        <f t="shared" si="2"/>
        <v>2026.75</v>
      </c>
    </row>
    <row r="49" spans="1:38" x14ac:dyDescent="0.2">
      <c r="A49" t="s">
        <v>43</v>
      </c>
      <c r="B49">
        <v>5</v>
      </c>
      <c r="C49">
        <v>51</v>
      </c>
      <c r="D49">
        <v>0</v>
      </c>
      <c r="E49">
        <v>0</v>
      </c>
      <c r="F49">
        <v>0</v>
      </c>
      <c r="G49">
        <v>12</v>
      </c>
      <c r="H49">
        <v>55</v>
      </c>
      <c r="I49">
        <v>0</v>
      </c>
      <c r="J49">
        <v>247.9</v>
      </c>
      <c r="K49">
        <v>0</v>
      </c>
      <c r="L49">
        <v>80</v>
      </c>
      <c r="M49">
        <v>320.7</v>
      </c>
      <c r="N49">
        <v>0</v>
      </c>
      <c r="O49">
        <v>0</v>
      </c>
      <c r="P49">
        <v>0</v>
      </c>
      <c r="Q49">
        <v>0</v>
      </c>
      <c r="R49">
        <v>0</v>
      </c>
      <c r="S49">
        <v>400.7</v>
      </c>
      <c r="T49">
        <v>15</v>
      </c>
      <c r="U49">
        <v>12</v>
      </c>
      <c r="V49">
        <v>0.5</v>
      </c>
      <c r="W49">
        <v>3600</v>
      </c>
      <c r="X49">
        <v>11019.4</v>
      </c>
      <c r="Y49">
        <v>489.3</v>
      </c>
      <c r="Z49">
        <v>1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1</v>
      </c>
      <c r="AG49">
        <v>1</v>
      </c>
      <c r="AH49">
        <v>4</v>
      </c>
      <c r="AI49">
        <v>2055701</v>
      </c>
      <c r="AJ49">
        <f t="shared" si="0"/>
        <v>180</v>
      </c>
      <c r="AK49">
        <f t="shared" si="1"/>
        <v>125</v>
      </c>
      <c r="AL49">
        <f t="shared" si="2"/>
        <v>2027.4166666666667</v>
      </c>
    </row>
    <row r="50" spans="1:38" x14ac:dyDescent="0.2">
      <c r="A50" t="s">
        <v>43</v>
      </c>
      <c r="B50">
        <v>5</v>
      </c>
      <c r="C50">
        <v>52</v>
      </c>
      <c r="D50">
        <v>0</v>
      </c>
      <c r="E50">
        <v>0</v>
      </c>
      <c r="F50">
        <v>0</v>
      </c>
      <c r="G50">
        <v>12</v>
      </c>
      <c r="H50">
        <v>54</v>
      </c>
      <c r="I50">
        <v>0</v>
      </c>
      <c r="J50">
        <v>267.2</v>
      </c>
      <c r="K50">
        <v>0</v>
      </c>
      <c r="L50">
        <v>80</v>
      </c>
      <c r="M50">
        <v>122.8</v>
      </c>
      <c r="N50">
        <v>0</v>
      </c>
      <c r="O50">
        <v>0</v>
      </c>
      <c r="P50">
        <v>0</v>
      </c>
      <c r="Q50">
        <v>0</v>
      </c>
      <c r="R50">
        <v>0</v>
      </c>
      <c r="S50">
        <v>202.8</v>
      </c>
      <c r="T50">
        <v>15</v>
      </c>
      <c r="U50">
        <v>12</v>
      </c>
      <c r="V50">
        <v>0.5</v>
      </c>
      <c r="W50">
        <v>1692</v>
      </c>
      <c r="X50">
        <v>4565.1000000000004</v>
      </c>
      <c r="Y50">
        <v>198.4</v>
      </c>
      <c r="Z50">
        <v>1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</v>
      </c>
      <c r="AG50">
        <v>1</v>
      </c>
      <c r="AH50">
        <v>4</v>
      </c>
      <c r="AI50">
        <v>1128802</v>
      </c>
      <c r="AJ50">
        <f t="shared" si="0"/>
        <v>180</v>
      </c>
      <c r="AK50">
        <f t="shared" si="1"/>
        <v>126</v>
      </c>
      <c r="AL50">
        <f t="shared" si="2"/>
        <v>2027.5</v>
      </c>
    </row>
    <row r="51" spans="1:38" x14ac:dyDescent="0.2">
      <c r="A51" t="s">
        <v>43</v>
      </c>
      <c r="B51">
        <v>5</v>
      </c>
      <c r="C51">
        <v>55</v>
      </c>
      <c r="D51">
        <v>0</v>
      </c>
      <c r="E51">
        <v>0</v>
      </c>
      <c r="F51">
        <v>0</v>
      </c>
      <c r="G51">
        <v>12</v>
      </c>
      <c r="H51">
        <v>46</v>
      </c>
      <c r="I51">
        <v>0</v>
      </c>
      <c r="J51">
        <v>309.5</v>
      </c>
      <c r="K51">
        <v>0</v>
      </c>
      <c r="L51">
        <v>80</v>
      </c>
      <c r="M51">
        <v>85.9</v>
      </c>
      <c r="N51">
        <v>0</v>
      </c>
      <c r="O51">
        <v>0</v>
      </c>
      <c r="P51">
        <v>0</v>
      </c>
      <c r="Q51">
        <v>0</v>
      </c>
      <c r="R51">
        <v>0</v>
      </c>
      <c r="S51">
        <v>165.9</v>
      </c>
      <c r="T51">
        <v>10</v>
      </c>
      <c r="U51">
        <v>12</v>
      </c>
      <c r="V51">
        <v>0.5</v>
      </c>
      <c r="W51">
        <v>1200</v>
      </c>
      <c r="X51">
        <v>2402.5</v>
      </c>
      <c r="Y51">
        <v>84.4</v>
      </c>
      <c r="Z51">
        <v>1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1</v>
      </c>
      <c r="AG51">
        <v>1</v>
      </c>
      <c r="AH51">
        <v>4</v>
      </c>
      <c r="AI51">
        <v>209503</v>
      </c>
      <c r="AJ51">
        <f t="shared" si="0"/>
        <v>120</v>
      </c>
      <c r="AK51">
        <f t="shared" si="1"/>
        <v>74</v>
      </c>
      <c r="AL51">
        <f t="shared" si="2"/>
        <v>2023.1666666666667</v>
      </c>
    </row>
    <row r="52" spans="1:38" x14ac:dyDescent="0.2">
      <c r="A52" t="s">
        <v>43</v>
      </c>
      <c r="B52">
        <v>7</v>
      </c>
      <c r="C52">
        <v>15</v>
      </c>
      <c r="D52">
        <v>0</v>
      </c>
      <c r="E52">
        <v>0</v>
      </c>
      <c r="F52">
        <v>0</v>
      </c>
      <c r="G52">
        <v>12</v>
      </c>
      <c r="H52">
        <v>63</v>
      </c>
      <c r="I52">
        <v>0</v>
      </c>
      <c r="J52">
        <v>150.30000000000001</v>
      </c>
      <c r="K52">
        <v>0</v>
      </c>
      <c r="L52">
        <v>80</v>
      </c>
      <c r="M52">
        <v>47.7</v>
      </c>
      <c r="N52">
        <v>0</v>
      </c>
      <c r="O52">
        <v>0</v>
      </c>
      <c r="P52">
        <v>0</v>
      </c>
      <c r="Q52">
        <v>0</v>
      </c>
      <c r="R52">
        <v>0</v>
      </c>
      <c r="S52">
        <v>127.7</v>
      </c>
      <c r="T52">
        <v>30</v>
      </c>
      <c r="U52">
        <v>12</v>
      </c>
      <c r="V52">
        <v>0.75</v>
      </c>
      <c r="W52">
        <v>1200</v>
      </c>
      <c r="X52">
        <v>3746.4</v>
      </c>
      <c r="Y52">
        <v>176.3</v>
      </c>
      <c r="Z52">
        <v>1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1</v>
      </c>
      <c r="AH52">
        <v>3</v>
      </c>
      <c r="AI52">
        <v>107404</v>
      </c>
      <c r="AJ52">
        <f t="shared" si="0"/>
        <v>360</v>
      </c>
      <c r="AK52">
        <f t="shared" si="1"/>
        <v>297</v>
      </c>
      <c r="AL52">
        <f t="shared" si="2"/>
        <v>2041.75</v>
      </c>
    </row>
    <row r="53" spans="1:38" x14ac:dyDescent="0.2">
      <c r="A53" t="s">
        <v>43</v>
      </c>
      <c r="B53">
        <v>7</v>
      </c>
      <c r="C53">
        <v>15</v>
      </c>
      <c r="D53">
        <v>0</v>
      </c>
      <c r="E53">
        <v>0</v>
      </c>
      <c r="F53">
        <v>0</v>
      </c>
      <c r="G53">
        <v>12</v>
      </c>
      <c r="H53">
        <v>66</v>
      </c>
      <c r="I53">
        <v>0</v>
      </c>
      <c r="J53">
        <v>56.9</v>
      </c>
      <c r="K53">
        <v>0</v>
      </c>
      <c r="L53">
        <v>80</v>
      </c>
      <c r="M53">
        <v>45.3</v>
      </c>
      <c r="N53">
        <v>0</v>
      </c>
      <c r="O53">
        <v>0</v>
      </c>
      <c r="P53">
        <v>0</v>
      </c>
      <c r="Q53">
        <v>0</v>
      </c>
      <c r="R53">
        <v>0</v>
      </c>
      <c r="S53">
        <v>125.3</v>
      </c>
      <c r="T53">
        <v>45</v>
      </c>
      <c r="U53">
        <v>12</v>
      </c>
      <c r="V53">
        <v>0.75</v>
      </c>
      <c r="W53">
        <v>1200</v>
      </c>
      <c r="X53">
        <v>3573.9</v>
      </c>
      <c r="Y53">
        <v>192.4</v>
      </c>
      <c r="Z53">
        <v>1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1</v>
      </c>
      <c r="AG53">
        <v>1</v>
      </c>
      <c r="AH53">
        <v>4</v>
      </c>
      <c r="AI53">
        <v>258502</v>
      </c>
      <c r="AJ53">
        <f t="shared" si="0"/>
        <v>540</v>
      </c>
      <c r="AK53">
        <f t="shared" si="1"/>
        <v>474</v>
      </c>
      <c r="AL53">
        <f t="shared" si="2"/>
        <v>2056.5</v>
      </c>
    </row>
    <row r="54" spans="1:38" x14ac:dyDescent="0.2">
      <c r="A54" t="s">
        <v>43</v>
      </c>
      <c r="B54">
        <v>7</v>
      </c>
      <c r="C54">
        <v>16</v>
      </c>
      <c r="D54">
        <v>0</v>
      </c>
      <c r="E54">
        <v>0</v>
      </c>
      <c r="F54">
        <v>0</v>
      </c>
      <c r="G54">
        <v>12</v>
      </c>
      <c r="H54">
        <v>65</v>
      </c>
      <c r="I54">
        <v>0</v>
      </c>
      <c r="J54">
        <v>51.8</v>
      </c>
      <c r="K54">
        <v>0</v>
      </c>
      <c r="L54">
        <v>80</v>
      </c>
      <c r="M54">
        <v>43.3</v>
      </c>
      <c r="N54">
        <v>0</v>
      </c>
      <c r="O54">
        <v>0</v>
      </c>
      <c r="P54">
        <v>0</v>
      </c>
      <c r="Q54">
        <v>0</v>
      </c>
      <c r="R54">
        <v>0</v>
      </c>
      <c r="S54">
        <v>123.3</v>
      </c>
      <c r="T54">
        <v>40</v>
      </c>
      <c r="U54">
        <v>12</v>
      </c>
      <c r="V54">
        <v>0.75</v>
      </c>
      <c r="W54">
        <v>1200</v>
      </c>
      <c r="X54">
        <v>3642.3</v>
      </c>
      <c r="Y54">
        <v>184</v>
      </c>
      <c r="Z54">
        <v>1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4</v>
      </c>
      <c r="AI54">
        <v>224603</v>
      </c>
      <c r="AJ54">
        <f t="shared" si="0"/>
        <v>480</v>
      </c>
      <c r="AK54">
        <f t="shared" si="1"/>
        <v>415</v>
      </c>
      <c r="AL54">
        <f t="shared" si="2"/>
        <v>2051.5833333333335</v>
      </c>
    </row>
    <row r="55" spans="1:38" x14ac:dyDescent="0.2">
      <c r="A55" t="s">
        <v>43</v>
      </c>
      <c r="B55">
        <v>7</v>
      </c>
      <c r="C55">
        <v>19</v>
      </c>
      <c r="D55">
        <v>0</v>
      </c>
      <c r="E55">
        <v>0</v>
      </c>
      <c r="F55">
        <v>0</v>
      </c>
      <c r="G55">
        <v>12</v>
      </c>
      <c r="H55">
        <v>68</v>
      </c>
      <c r="I55">
        <v>2</v>
      </c>
      <c r="J55">
        <v>42.2</v>
      </c>
      <c r="K55">
        <v>0</v>
      </c>
      <c r="L55">
        <v>80</v>
      </c>
      <c r="M55">
        <v>53.6</v>
      </c>
      <c r="N55">
        <v>0</v>
      </c>
      <c r="O55">
        <v>0</v>
      </c>
      <c r="P55">
        <v>0</v>
      </c>
      <c r="Q55">
        <v>0</v>
      </c>
      <c r="R55">
        <v>0</v>
      </c>
      <c r="S55">
        <v>133.6</v>
      </c>
      <c r="T55">
        <v>36</v>
      </c>
      <c r="U55">
        <v>12</v>
      </c>
      <c r="V55">
        <v>0.75</v>
      </c>
      <c r="W55">
        <v>1325</v>
      </c>
      <c r="X55">
        <v>4184.3</v>
      </c>
      <c r="Y55">
        <v>214.8</v>
      </c>
      <c r="Z55">
        <v>1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1</v>
      </c>
      <c r="AG55">
        <v>1</v>
      </c>
      <c r="AH55">
        <v>4</v>
      </c>
      <c r="AI55">
        <v>2001302</v>
      </c>
      <c r="AJ55">
        <f t="shared" si="0"/>
        <v>432</v>
      </c>
      <c r="AK55">
        <f t="shared" si="1"/>
        <v>364</v>
      </c>
      <c r="AL55">
        <f t="shared" si="2"/>
        <v>2047.3333333333333</v>
      </c>
    </row>
    <row r="56" spans="1:38" x14ac:dyDescent="0.2">
      <c r="A56" t="s">
        <v>43</v>
      </c>
      <c r="B56">
        <v>7</v>
      </c>
      <c r="C56">
        <v>20</v>
      </c>
      <c r="D56">
        <v>0</v>
      </c>
      <c r="E56">
        <v>0</v>
      </c>
      <c r="F56">
        <v>0</v>
      </c>
      <c r="G56">
        <v>12</v>
      </c>
      <c r="H56">
        <v>61</v>
      </c>
      <c r="I56">
        <v>0</v>
      </c>
      <c r="J56">
        <v>40.9</v>
      </c>
      <c r="K56">
        <v>0</v>
      </c>
      <c r="L56">
        <v>80</v>
      </c>
      <c r="M56">
        <v>18.8</v>
      </c>
      <c r="N56">
        <v>0</v>
      </c>
      <c r="O56">
        <v>0</v>
      </c>
      <c r="P56">
        <v>0</v>
      </c>
      <c r="Q56">
        <v>0</v>
      </c>
      <c r="R56">
        <v>0</v>
      </c>
      <c r="S56">
        <v>98.8</v>
      </c>
      <c r="T56">
        <v>20</v>
      </c>
      <c r="U56">
        <v>12</v>
      </c>
      <c r="V56">
        <v>0.75</v>
      </c>
      <c r="W56">
        <v>1200</v>
      </c>
      <c r="X56">
        <v>4179.8</v>
      </c>
      <c r="Y56">
        <v>182.7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1</v>
      </c>
      <c r="AG56">
        <v>1</v>
      </c>
      <c r="AH56">
        <v>4</v>
      </c>
      <c r="AI56">
        <v>2028801</v>
      </c>
      <c r="AJ56">
        <f t="shared" si="0"/>
        <v>240</v>
      </c>
      <c r="AK56">
        <f t="shared" si="1"/>
        <v>179</v>
      </c>
      <c r="AL56">
        <f t="shared" si="2"/>
        <v>2031.9166666666667</v>
      </c>
    </row>
    <row r="57" spans="1:38" x14ac:dyDescent="0.2">
      <c r="A57" t="s">
        <v>43</v>
      </c>
      <c r="B57">
        <v>7</v>
      </c>
      <c r="C57">
        <v>20</v>
      </c>
      <c r="D57">
        <v>0</v>
      </c>
      <c r="E57">
        <v>0</v>
      </c>
      <c r="F57">
        <v>0</v>
      </c>
      <c r="G57">
        <v>12</v>
      </c>
      <c r="H57">
        <v>69</v>
      </c>
      <c r="I57">
        <v>2</v>
      </c>
      <c r="J57">
        <v>40.9</v>
      </c>
      <c r="K57">
        <v>0</v>
      </c>
      <c r="L57">
        <v>80</v>
      </c>
      <c r="M57">
        <v>18.100000000000001</v>
      </c>
      <c r="N57">
        <v>0</v>
      </c>
      <c r="O57">
        <v>0</v>
      </c>
      <c r="P57">
        <v>0</v>
      </c>
      <c r="Q57">
        <v>0</v>
      </c>
      <c r="R57">
        <v>0</v>
      </c>
      <c r="S57">
        <v>98.1</v>
      </c>
      <c r="T57">
        <v>15</v>
      </c>
      <c r="U57">
        <v>12</v>
      </c>
      <c r="V57">
        <v>0.75</v>
      </c>
      <c r="W57">
        <v>1325</v>
      </c>
      <c r="X57">
        <v>5356.6</v>
      </c>
      <c r="Y57">
        <v>279.3</v>
      </c>
      <c r="Z57">
        <v>1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1</v>
      </c>
      <c r="AG57">
        <v>1</v>
      </c>
      <c r="AH57">
        <v>4</v>
      </c>
      <c r="AI57">
        <v>1998902</v>
      </c>
      <c r="AJ57">
        <f t="shared" si="0"/>
        <v>180</v>
      </c>
      <c r="AK57">
        <f t="shared" si="1"/>
        <v>111</v>
      </c>
      <c r="AL57">
        <f t="shared" si="2"/>
        <v>2026.25</v>
      </c>
    </row>
    <row r="58" spans="1:38" x14ac:dyDescent="0.2">
      <c r="A58" t="s">
        <v>43</v>
      </c>
      <c r="B58">
        <v>7</v>
      </c>
      <c r="C58">
        <v>21</v>
      </c>
      <c r="D58">
        <v>0</v>
      </c>
      <c r="E58">
        <v>0</v>
      </c>
      <c r="F58">
        <v>0</v>
      </c>
      <c r="G58">
        <v>12</v>
      </c>
      <c r="H58">
        <v>65</v>
      </c>
      <c r="I58">
        <v>2</v>
      </c>
      <c r="J58">
        <v>99.8</v>
      </c>
      <c r="K58">
        <v>0</v>
      </c>
      <c r="L58">
        <v>80</v>
      </c>
      <c r="M58">
        <v>132.1</v>
      </c>
      <c r="N58">
        <v>0</v>
      </c>
      <c r="O58">
        <v>0</v>
      </c>
      <c r="P58">
        <v>0</v>
      </c>
      <c r="Q58">
        <v>0</v>
      </c>
      <c r="R58">
        <v>0</v>
      </c>
      <c r="S58">
        <v>212.1</v>
      </c>
      <c r="T58">
        <v>45</v>
      </c>
      <c r="U58">
        <v>12</v>
      </c>
      <c r="V58">
        <v>0.75</v>
      </c>
      <c r="W58">
        <v>1325</v>
      </c>
      <c r="X58">
        <v>3071.2</v>
      </c>
      <c r="Y58">
        <v>160.5</v>
      </c>
      <c r="Z58">
        <v>1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1</v>
      </c>
      <c r="AH58">
        <v>3</v>
      </c>
      <c r="AI58">
        <v>2015101</v>
      </c>
      <c r="AJ58">
        <f t="shared" si="0"/>
        <v>540</v>
      </c>
      <c r="AK58">
        <f t="shared" si="1"/>
        <v>475</v>
      </c>
      <c r="AL58">
        <f t="shared" si="2"/>
        <v>2056.5833333333335</v>
      </c>
    </row>
    <row r="59" spans="1:38" x14ac:dyDescent="0.2">
      <c r="A59" t="s">
        <v>43</v>
      </c>
      <c r="B59">
        <v>7</v>
      </c>
      <c r="C59">
        <v>22</v>
      </c>
      <c r="D59">
        <v>0</v>
      </c>
      <c r="E59">
        <v>0</v>
      </c>
      <c r="F59">
        <v>0</v>
      </c>
      <c r="G59">
        <v>12</v>
      </c>
      <c r="H59">
        <v>65</v>
      </c>
      <c r="I59">
        <v>2</v>
      </c>
      <c r="J59">
        <v>40.4</v>
      </c>
      <c r="K59">
        <v>0</v>
      </c>
      <c r="L59">
        <v>80</v>
      </c>
      <c r="M59">
        <v>102.3</v>
      </c>
      <c r="N59">
        <v>0</v>
      </c>
      <c r="O59">
        <v>0</v>
      </c>
      <c r="P59">
        <v>0</v>
      </c>
      <c r="Q59">
        <v>0</v>
      </c>
      <c r="R59">
        <v>0</v>
      </c>
      <c r="S59">
        <v>182.3</v>
      </c>
      <c r="T59">
        <v>44</v>
      </c>
      <c r="U59">
        <v>12</v>
      </c>
      <c r="V59">
        <v>0.75</v>
      </c>
      <c r="W59">
        <v>1325</v>
      </c>
      <c r="X59">
        <v>3503.1</v>
      </c>
      <c r="Y59">
        <v>182.5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1</v>
      </c>
      <c r="AG59">
        <v>1</v>
      </c>
      <c r="AH59">
        <v>4</v>
      </c>
      <c r="AI59">
        <v>2014301</v>
      </c>
      <c r="AJ59">
        <f t="shared" si="0"/>
        <v>528</v>
      </c>
      <c r="AK59">
        <f t="shared" si="1"/>
        <v>463</v>
      </c>
      <c r="AL59">
        <f t="shared" si="2"/>
        <v>2055.5833333333335</v>
      </c>
    </row>
    <row r="60" spans="1:38" x14ac:dyDescent="0.2">
      <c r="A60" t="s">
        <v>43</v>
      </c>
      <c r="B60">
        <v>7</v>
      </c>
      <c r="C60">
        <v>28</v>
      </c>
      <c r="D60">
        <v>0</v>
      </c>
      <c r="E60">
        <v>0</v>
      </c>
      <c r="F60">
        <v>0</v>
      </c>
      <c r="G60">
        <v>12</v>
      </c>
      <c r="H60">
        <v>63</v>
      </c>
      <c r="I60">
        <v>2</v>
      </c>
      <c r="J60">
        <v>49.4</v>
      </c>
      <c r="K60">
        <v>0</v>
      </c>
      <c r="L60">
        <v>80</v>
      </c>
      <c r="M60">
        <v>106.3</v>
      </c>
      <c r="N60">
        <v>0</v>
      </c>
      <c r="O60">
        <v>0</v>
      </c>
      <c r="P60">
        <v>0</v>
      </c>
      <c r="Q60">
        <v>0</v>
      </c>
      <c r="R60">
        <v>0</v>
      </c>
      <c r="S60">
        <v>186.3</v>
      </c>
      <c r="T60">
        <v>37</v>
      </c>
      <c r="U60">
        <v>12</v>
      </c>
      <c r="V60">
        <v>0.75</v>
      </c>
      <c r="W60">
        <v>1325</v>
      </c>
      <c r="X60">
        <v>3575</v>
      </c>
      <c r="Y60">
        <v>168.8</v>
      </c>
      <c r="Z60">
        <v>1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1</v>
      </c>
      <c r="AG60">
        <v>1</v>
      </c>
      <c r="AH60">
        <v>4</v>
      </c>
      <c r="AI60">
        <v>2020001</v>
      </c>
      <c r="AJ60">
        <f t="shared" si="0"/>
        <v>444</v>
      </c>
      <c r="AK60">
        <f t="shared" si="1"/>
        <v>381</v>
      </c>
      <c r="AL60">
        <f t="shared" si="2"/>
        <v>2048.75</v>
      </c>
    </row>
    <row r="61" spans="1:38" x14ac:dyDescent="0.2">
      <c r="A61" t="s">
        <v>43</v>
      </c>
      <c r="B61">
        <v>7</v>
      </c>
      <c r="C61">
        <v>28</v>
      </c>
      <c r="D61">
        <v>0</v>
      </c>
      <c r="E61">
        <v>0</v>
      </c>
      <c r="F61">
        <v>0</v>
      </c>
      <c r="G61">
        <v>12</v>
      </c>
      <c r="H61">
        <v>63</v>
      </c>
      <c r="I61">
        <v>2</v>
      </c>
      <c r="J61">
        <v>87.9</v>
      </c>
      <c r="K61">
        <v>0</v>
      </c>
      <c r="L61">
        <v>80</v>
      </c>
      <c r="M61">
        <v>124.2</v>
      </c>
      <c r="N61">
        <v>0</v>
      </c>
      <c r="O61">
        <v>0</v>
      </c>
      <c r="P61">
        <v>0</v>
      </c>
      <c r="Q61">
        <v>0</v>
      </c>
      <c r="R61">
        <v>0</v>
      </c>
      <c r="S61">
        <v>204.2</v>
      </c>
      <c r="T61">
        <v>37</v>
      </c>
      <c r="U61">
        <v>12</v>
      </c>
      <c r="V61">
        <v>0.75</v>
      </c>
      <c r="W61">
        <v>1325</v>
      </c>
      <c r="X61">
        <v>3356</v>
      </c>
      <c r="Y61">
        <v>157.4</v>
      </c>
      <c r="Z61">
        <v>1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1</v>
      </c>
      <c r="AH61">
        <v>3</v>
      </c>
      <c r="AI61">
        <v>2020101</v>
      </c>
      <c r="AJ61">
        <f t="shared" si="0"/>
        <v>444</v>
      </c>
      <c r="AK61">
        <f t="shared" si="1"/>
        <v>381</v>
      </c>
      <c r="AL61">
        <f t="shared" si="2"/>
        <v>2048.75</v>
      </c>
    </row>
    <row r="62" spans="1:38" x14ac:dyDescent="0.2">
      <c r="A62" t="s">
        <v>43</v>
      </c>
      <c r="B62">
        <v>7</v>
      </c>
      <c r="C62">
        <v>30</v>
      </c>
      <c r="D62">
        <v>0</v>
      </c>
      <c r="E62">
        <v>0</v>
      </c>
      <c r="F62">
        <v>0</v>
      </c>
      <c r="G62">
        <v>12</v>
      </c>
      <c r="H62">
        <v>68</v>
      </c>
      <c r="I62">
        <v>2</v>
      </c>
      <c r="J62">
        <v>54.6</v>
      </c>
      <c r="K62">
        <v>0</v>
      </c>
      <c r="L62">
        <v>80</v>
      </c>
      <c r="M62">
        <v>158.4</v>
      </c>
      <c r="N62">
        <v>0</v>
      </c>
      <c r="O62">
        <v>0</v>
      </c>
      <c r="P62">
        <v>0</v>
      </c>
      <c r="Q62">
        <v>0</v>
      </c>
      <c r="R62">
        <v>0</v>
      </c>
      <c r="S62">
        <v>238.4</v>
      </c>
      <c r="T62">
        <v>34</v>
      </c>
      <c r="U62">
        <v>12</v>
      </c>
      <c r="V62">
        <v>0.75</v>
      </c>
      <c r="W62">
        <v>1987.4</v>
      </c>
      <c r="X62">
        <v>6442.8</v>
      </c>
      <c r="Y62">
        <v>328.7</v>
      </c>
      <c r="Z62">
        <v>1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1</v>
      </c>
      <c r="AG62">
        <v>1</v>
      </c>
      <c r="AH62">
        <v>4</v>
      </c>
      <c r="AI62">
        <v>2003601</v>
      </c>
      <c r="AJ62">
        <f t="shared" si="0"/>
        <v>408</v>
      </c>
      <c r="AK62">
        <f t="shared" si="1"/>
        <v>340</v>
      </c>
      <c r="AL62">
        <f t="shared" si="2"/>
        <v>2045.3333333333333</v>
      </c>
    </row>
    <row r="63" spans="1:38" x14ac:dyDescent="0.2">
      <c r="A63" t="s">
        <v>43</v>
      </c>
      <c r="B63">
        <v>7</v>
      </c>
      <c r="C63">
        <v>33</v>
      </c>
      <c r="D63">
        <v>0</v>
      </c>
      <c r="E63">
        <v>0</v>
      </c>
      <c r="F63">
        <v>0</v>
      </c>
      <c r="G63">
        <v>12</v>
      </c>
      <c r="H63">
        <v>70</v>
      </c>
      <c r="I63">
        <v>2</v>
      </c>
      <c r="J63">
        <v>65.599999999999994</v>
      </c>
      <c r="K63">
        <v>0</v>
      </c>
      <c r="L63">
        <v>80</v>
      </c>
      <c r="M63">
        <v>127.3</v>
      </c>
      <c r="N63">
        <v>0</v>
      </c>
      <c r="O63">
        <v>0</v>
      </c>
      <c r="P63">
        <v>0</v>
      </c>
      <c r="Q63">
        <v>0</v>
      </c>
      <c r="R63">
        <v>0</v>
      </c>
      <c r="S63">
        <v>207.3</v>
      </c>
      <c r="T63">
        <v>30</v>
      </c>
      <c r="U63">
        <v>12</v>
      </c>
      <c r="V63">
        <v>0.75</v>
      </c>
      <c r="W63">
        <v>1590</v>
      </c>
      <c r="X63">
        <v>5426.6</v>
      </c>
      <c r="Y63">
        <v>286</v>
      </c>
      <c r="Z63">
        <v>1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</v>
      </c>
      <c r="AG63">
        <v>1</v>
      </c>
      <c r="AH63">
        <v>4</v>
      </c>
      <c r="AI63">
        <v>325303</v>
      </c>
      <c r="AJ63">
        <f t="shared" si="0"/>
        <v>360</v>
      </c>
      <c r="AK63">
        <f t="shared" si="1"/>
        <v>290</v>
      </c>
      <c r="AL63">
        <f t="shared" si="2"/>
        <v>2041.1666666666667</v>
      </c>
    </row>
    <row r="64" spans="1:38" x14ac:dyDescent="0.2">
      <c r="A64" t="s">
        <v>43</v>
      </c>
      <c r="B64">
        <v>7</v>
      </c>
      <c r="C64">
        <v>34</v>
      </c>
      <c r="D64">
        <v>0</v>
      </c>
      <c r="E64">
        <v>0</v>
      </c>
      <c r="F64">
        <v>0</v>
      </c>
      <c r="G64">
        <v>12</v>
      </c>
      <c r="H64">
        <v>61</v>
      </c>
      <c r="I64">
        <v>0</v>
      </c>
      <c r="J64">
        <v>65.599999999999994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30</v>
      </c>
      <c r="U64">
        <v>1</v>
      </c>
      <c r="V64">
        <v>0.75</v>
      </c>
      <c r="W64">
        <v>0</v>
      </c>
      <c r="X64">
        <v>6758.6</v>
      </c>
      <c r="Y64">
        <v>341.5</v>
      </c>
      <c r="Z64">
        <v>1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1</v>
      </c>
      <c r="AG64">
        <v>1</v>
      </c>
      <c r="AH64">
        <v>4</v>
      </c>
      <c r="AI64">
        <v>2026101</v>
      </c>
      <c r="AJ64">
        <f t="shared" si="0"/>
        <v>360</v>
      </c>
      <c r="AK64">
        <f t="shared" si="1"/>
        <v>299</v>
      </c>
      <c r="AL64">
        <f t="shared" si="2"/>
        <v>2041.9166666666667</v>
      </c>
    </row>
    <row r="65" spans="1:38" x14ac:dyDescent="0.2">
      <c r="A65" t="s">
        <v>43</v>
      </c>
      <c r="B65">
        <v>7</v>
      </c>
      <c r="C65">
        <v>35</v>
      </c>
      <c r="D65">
        <v>0</v>
      </c>
      <c r="E65">
        <v>0</v>
      </c>
      <c r="F65">
        <v>0</v>
      </c>
      <c r="G65">
        <v>12</v>
      </c>
      <c r="H65">
        <v>66</v>
      </c>
      <c r="I65">
        <v>2</v>
      </c>
      <c r="J65">
        <v>114.9</v>
      </c>
      <c r="K65">
        <v>0</v>
      </c>
      <c r="L65">
        <v>80</v>
      </c>
      <c r="M65">
        <v>139</v>
      </c>
      <c r="N65">
        <v>0</v>
      </c>
      <c r="O65">
        <v>0</v>
      </c>
      <c r="P65">
        <v>0</v>
      </c>
      <c r="Q65">
        <v>0</v>
      </c>
      <c r="R65">
        <v>0</v>
      </c>
      <c r="S65">
        <v>219</v>
      </c>
      <c r="T65">
        <v>30</v>
      </c>
      <c r="U65">
        <v>12</v>
      </c>
      <c r="V65">
        <v>0.75</v>
      </c>
      <c r="W65">
        <v>1325</v>
      </c>
      <c r="X65">
        <v>3809.5</v>
      </c>
      <c r="Y65">
        <v>183.4</v>
      </c>
      <c r="Z65">
        <v>1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1</v>
      </c>
      <c r="AH65">
        <v>3</v>
      </c>
      <c r="AI65">
        <v>2008801</v>
      </c>
      <c r="AJ65">
        <f t="shared" si="0"/>
        <v>360</v>
      </c>
      <c r="AK65">
        <f t="shared" si="1"/>
        <v>294</v>
      </c>
      <c r="AL65">
        <f t="shared" si="2"/>
        <v>2041.5</v>
      </c>
    </row>
    <row r="66" spans="1:38" x14ac:dyDescent="0.2">
      <c r="A66" t="s">
        <v>43</v>
      </c>
      <c r="B66">
        <v>7</v>
      </c>
      <c r="C66">
        <v>35</v>
      </c>
      <c r="D66">
        <v>0</v>
      </c>
      <c r="E66">
        <v>0</v>
      </c>
      <c r="F66">
        <v>0</v>
      </c>
      <c r="G66">
        <v>12</v>
      </c>
      <c r="H66">
        <v>70</v>
      </c>
      <c r="I66">
        <v>2</v>
      </c>
      <c r="J66">
        <v>75.7</v>
      </c>
      <c r="K66">
        <v>0</v>
      </c>
      <c r="L66">
        <v>80</v>
      </c>
      <c r="M66">
        <v>142.6</v>
      </c>
      <c r="N66">
        <v>0</v>
      </c>
      <c r="O66">
        <v>0</v>
      </c>
      <c r="P66">
        <v>0</v>
      </c>
      <c r="Q66">
        <v>0</v>
      </c>
      <c r="R66">
        <v>0</v>
      </c>
      <c r="S66">
        <v>222.6</v>
      </c>
      <c r="T66">
        <v>30</v>
      </c>
      <c r="U66">
        <v>12</v>
      </c>
      <c r="V66">
        <v>0.75</v>
      </c>
      <c r="W66">
        <v>1325</v>
      </c>
      <c r="X66">
        <v>4259.1000000000004</v>
      </c>
      <c r="Y66">
        <v>224.8</v>
      </c>
      <c r="Z66">
        <v>1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1</v>
      </c>
      <c r="AG66">
        <v>1</v>
      </c>
      <c r="AH66">
        <v>4</v>
      </c>
      <c r="AI66">
        <v>1993901</v>
      </c>
      <c r="AJ66">
        <f t="shared" si="0"/>
        <v>360</v>
      </c>
      <c r="AK66">
        <f t="shared" si="1"/>
        <v>290</v>
      </c>
      <c r="AL66">
        <f t="shared" si="2"/>
        <v>2041.1666666666667</v>
      </c>
    </row>
    <row r="67" spans="1:38" x14ac:dyDescent="0.2">
      <c r="A67" t="s">
        <v>43</v>
      </c>
      <c r="B67">
        <v>7</v>
      </c>
      <c r="C67">
        <v>37</v>
      </c>
      <c r="D67">
        <v>0</v>
      </c>
      <c r="E67">
        <v>0</v>
      </c>
      <c r="F67">
        <v>0</v>
      </c>
      <c r="G67">
        <v>12</v>
      </c>
      <c r="H67">
        <v>68</v>
      </c>
      <c r="I67">
        <v>2</v>
      </c>
      <c r="J67">
        <v>88.2</v>
      </c>
      <c r="K67">
        <v>0</v>
      </c>
      <c r="L67">
        <v>80</v>
      </c>
      <c r="M67">
        <v>117</v>
      </c>
      <c r="N67">
        <v>0</v>
      </c>
      <c r="O67">
        <v>0</v>
      </c>
      <c r="P67">
        <v>0</v>
      </c>
      <c r="Q67">
        <v>0</v>
      </c>
      <c r="R67">
        <v>0</v>
      </c>
      <c r="S67">
        <v>197</v>
      </c>
      <c r="T67">
        <v>27</v>
      </c>
      <c r="U67">
        <v>12</v>
      </c>
      <c r="V67">
        <v>0.75</v>
      </c>
      <c r="W67">
        <v>1325</v>
      </c>
      <c r="X67">
        <v>4256.8</v>
      </c>
      <c r="Y67">
        <v>214.2</v>
      </c>
      <c r="Z67">
        <v>1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1</v>
      </c>
      <c r="AG67">
        <v>1</v>
      </c>
      <c r="AH67">
        <v>4</v>
      </c>
      <c r="AI67">
        <v>1805302</v>
      </c>
      <c r="AJ67">
        <f t="shared" si="0"/>
        <v>324</v>
      </c>
      <c r="AK67">
        <f t="shared" si="1"/>
        <v>256</v>
      </c>
      <c r="AL67">
        <f t="shared" si="2"/>
        <v>2038.3333333333333</v>
      </c>
    </row>
    <row r="68" spans="1:38" x14ac:dyDescent="0.2">
      <c r="A68" t="s">
        <v>43</v>
      </c>
      <c r="B68">
        <v>7</v>
      </c>
      <c r="C68">
        <v>37</v>
      </c>
      <c r="D68">
        <v>0</v>
      </c>
      <c r="E68">
        <v>0</v>
      </c>
      <c r="F68">
        <v>0</v>
      </c>
      <c r="G68">
        <v>12</v>
      </c>
      <c r="H68">
        <v>68</v>
      </c>
      <c r="I68">
        <v>2</v>
      </c>
      <c r="J68">
        <v>132.30000000000001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30</v>
      </c>
      <c r="U68">
        <v>1</v>
      </c>
      <c r="V68">
        <v>0.75</v>
      </c>
      <c r="W68">
        <v>0</v>
      </c>
      <c r="X68">
        <v>3739</v>
      </c>
      <c r="Y68">
        <v>196.2</v>
      </c>
      <c r="Z68">
        <v>1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1</v>
      </c>
      <c r="AH68">
        <v>3</v>
      </c>
      <c r="AI68">
        <v>2003401</v>
      </c>
      <c r="AJ68">
        <f t="shared" si="0"/>
        <v>360</v>
      </c>
      <c r="AK68">
        <f t="shared" si="1"/>
        <v>292</v>
      </c>
      <c r="AL68">
        <f t="shared" si="2"/>
        <v>2041.3333333333333</v>
      </c>
    </row>
    <row r="69" spans="1:38" x14ac:dyDescent="0.2">
      <c r="A69" t="s">
        <v>43</v>
      </c>
      <c r="B69">
        <v>7</v>
      </c>
      <c r="C69">
        <v>37</v>
      </c>
      <c r="D69">
        <v>0</v>
      </c>
      <c r="E69">
        <v>0</v>
      </c>
      <c r="F69">
        <v>0</v>
      </c>
      <c r="G69">
        <v>12</v>
      </c>
      <c r="H69">
        <v>69</v>
      </c>
      <c r="I69">
        <v>0</v>
      </c>
      <c r="J69">
        <v>132.30000000000001</v>
      </c>
      <c r="K69">
        <v>0</v>
      </c>
      <c r="L69">
        <v>80</v>
      </c>
      <c r="M69">
        <v>125.4</v>
      </c>
      <c r="N69">
        <v>0</v>
      </c>
      <c r="O69">
        <v>0</v>
      </c>
      <c r="P69">
        <v>0</v>
      </c>
      <c r="Q69">
        <v>0</v>
      </c>
      <c r="R69">
        <v>0</v>
      </c>
      <c r="S69">
        <v>205.4</v>
      </c>
      <c r="T69">
        <v>33</v>
      </c>
      <c r="U69">
        <v>12</v>
      </c>
      <c r="V69">
        <v>0.75</v>
      </c>
      <c r="W69">
        <v>1260</v>
      </c>
      <c r="X69">
        <v>4060.8</v>
      </c>
      <c r="Y69">
        <v>215.6</v>
      </c>
      <c r="Z69">
        <v>1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1</v>
      </c>
      <c r="AH69">
        <v>3</v>
      </c>
      <c r="AI69">
        <v>1997902</v>
      </c>
      <c r="AJ69">
        <f t="shared" si="0"/>
        <v>396</v>
      </c>
      <c r="AK69">
        <f t="shared" si="1"/>
        <v>327</v>
      </c>
      <c r="AL69">
        <f t="shared" si="2"/>
        <v>2044.25</v>
      </c>
    </row>
    <row r="70" spans="1:38" x14ac:dyDescent="0.2">
      <c r="A70" t="s">
        <v>43</v>
      </c>
      <c r="B70">
        <v>7</v>
      </c>
      <c r="C70">
        <v>38</v>
      </c>
      <c r="D70">
        <v>0</v>
      </c>
      <c r="E70">
        <v>0</v>
      </c>
      <c r="F70">
        <v>0</v>
      </c>
      <c r="G70">
        <v>12</v>
      </c>
      <c r="H70">
        <v>68</v>
      </c>
      <c r="I70">
        <v>2</v>
      </c>
      <c r="J70">
        <v>95.5</v>
      </c>
      <c r="K70">
        <v>0</v>
      </c>
      <c r="L70">
        <v>80</v>
      </c>
      <c r="M70">
        <v>118.4</v>
      </c>
      <c r="N70">
        <v>0</v>
      </c>
      <c r="O70">
        <v>0</v>
      </c>
      <c r="P70">
        <v>0</v>
      </c>
      <c r="Q70">
        <v>0</v>
      </c>
      <c r="R70">
        <v>0</v>
      </c>
      <c r="S70">
        <v>198.4</v>
      </c>
      <c r="T70">
        <v>26</v>
      </c>
      <c r="U70">
        <v>12</v>
      </c>
      <c r="V70">
        <v>0.75</v>
      </c>
      <c r="W70">
        <v>1325</v>
      </c>
      <c r="X70">
        <v>4265.6000000000004</v>
      </c>
      <c r="Y70">
        <v>214.6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1</v>
      </c>
      <c r="AG70">
        <v>1</v>
      </c>
      <c r="AH70">
        <v>4</v>
      </c>
      <c r="AI70">
        <v>2003801</v>
      </c>
      <c r="AJ70">
        <f t="shared" si="0"/>
        <v>312</v>
      </c>
      <c r="AK70">
        <f t="shared" si="1"/>
        <v>244</v>
      </c>
      <c r="AL70">
        <f t="shared" si="2"/>
        <v>2037.3333333333333</v>
      </c>
    </row>
    <row r="71" spans="1:38" x14ac:dyDescent="0.2">
      <c r="A71" t="s">
        <v>43</v>
      </c>
      <c r="B71">
        <v>7</v>
      </c>
      <c r="C71">
        <v>39</v>
      </c>
      <c r="D71">
        <v>0</v>
      </c>
      <c r="E71">
        <v>0</v>
      </c>
      <c r="F71">
        <v>0</v>
      </c>
      <c r="G71">
        <v>12</v>
      </c>
      <c r="H71">
        <v>61</v>
      </c>
      <c r="I71">
        <v>0</v>
      </c>
      <c r="J71">
        <v>143.19999999999999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27</v>
      </c>
      <c r="U71">
        <v>1</v>
      </c>
      <c r="V71">
        <v>0.75</v>
      </c>
      <c r="W71">
        <v>0</v>
      </c>
      <c r="X71">
        <v>6630.7</v>
      </c>
      <c r="Y71">
        <v>330.5</v>
      </c>
      <c r="Z71">
        <v>1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1</v>
      </c>
      <c r="AH71">
        <v>3</v>
      </c>
      <c r="AI71">
        <v>2026001</v>
      </c>
      <c r="AJ71">
        <f t="shared" ref="AJ71:AJ134" si="3">T71*12</f>
        <v>324</v>
      </c>
      <c r="AK71">
        <f t="shared" ref="AK71:AK134" si="4">AJ71-H71</f>
        <v>263</v>
      </c>
      <c r="AL71">
        <f t="shared" ref="AL71:AL134" si="5">2017+AK71/12</f>
        <v>2038.9166666666667</v>
      </c>
    </row>
    <row r="72" spans="1:38" x14ac:dyDescent="0.2">
      <c r="A72" t="s">
        <v>43</v>
      </c>
      <c r="B72">
        <v>7</v>
      </c>
      <c r="C72">
        <v>40</v>
      </c>
      <c r="D72">
        <v>0</v>
      </c>
      <c r="E72">
        <v>0</v>
      </c>
      <c r="F72">
        <v>0</v>
      </c>
      <c r="G72">
        <v>12</v>
      </c>
      <c r="H72">
        <v>63</v>
      </c>
      <c r="I72">
        <v>2</v>
      </c>
      <c r="J72">
        <v>170.8</v>
      </c>
      <c r="K72">
        <v>0</v>
      </c>
      <c r="L72">
        <v>80</v>
      </c>
      <c r="M72">
        <v>161.9</v>
      </c>
      <c r="N72">
        <v>0</v>
      </c>
      <c r="O72">
        <v>0</v>
      </c>
      <c r="P72">
        <v>0</v>
      </c>
      <c r="Q72">
        <v>0</v>
      </c>
      <c r="R72">
        <v>0</v>
      </c>
      <c r="S72">
        <v>241.9</v>
      </c>
      <c r="T72">
        <v>25</v>
      </c>
      <c r="U72">
        <v>12</v>
      </c>
      <c r="V72">
        <v>0.75</v>
      </c>
      <c r="W72">
        <v>1325</v>
      </c>
      <c r="X72">
        <v>3555.2</v>
      </c>
      <c r="Y72">
        <v>161.1</v>
      </c>
      <c r="Z72">
        <v>1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1</v>
      </c>
      <c r="AH72">
        <v>3</v>
      </c>
      <c r="AI72">
        <v>2019701</v>
      </c>
      <c r="AJ72">
        <f t="shared" si="3"/>
        <v>300</v>
      </c>
      <c r="AK72">
        <f t="shared" si="4"/>
        <v>237</v>
      </c>
      <c r="AL72">
        <f t="shared" si="5"/>
        <v>2036.75</v>
      </c>
    </row>
    <row r="73" spans="1:38" x14ac:dyDescent="0.2">
      <c r="A73" t="s">
        <v>43</v>
      </c>
      <c r="B73">
        <v>7</v>
      </c>
      <c r="C73">
        <v>43</v>
      </c>
      <c r="D73">
        <v>0</v>
      </c>
      <c r="E73">
        <v>0</v>
      </c>
      <c r="F73">
        <v>0</v>
      </c>
      <c r="G73">
        <v>12</v>
      </c>
      <c r="H73">
        <v>64</v>
      </c>
      <c r="I73">
        <v>0</v>
      </c>
      <c r="J73">
        <v>227.8</v>
      </c>
      <c r="K73">
        <v>0</v>
      </c>
      <c r="L73">
        <v>80</v>
      </c>
      <c r="M73">
        <v>203.3</v>
      </c>
      <c r="N73">
        <v>0</v>
      </c>
      <c r="O73">
        <v>0</v>
      </c>
      <c r="P73">
        <v>0</v>
      </c>
      <c r="Q73">
        <v>0</v>
      </c>
      <c r="R73">
        <v>0</v>
      </c>
      <c r="S73">
        <v>283.3</v>
      </c>
      <c r="T73">
        <v>22</v>
      </c>
      <c r="U73">
        <v>12</v>
      </c>
      <c r="V73">
        <v>0.75</v>
      </c>
      <c r="W73">
        <v>1800</v>
      </c>
      <c r="X73">
        <v>5663.5</v>
      </c>
      <c r="Y73">
        <v>265.5</v>
      </c>
      <c r="Z73">
        <v>1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1</v>
      </c>
      <c r="AH73">
        <v>3</v>
      </c>
      <c r="AI73">
        <v>2014901</v>
      </c>
      <c r="AJ73">
        <f t="shared" si="3"/>
        <v>264</v>
      </c>
      <c r="AK73">
        <f t="shared" si="4"/>
        <v>200</v>
      </c>
      <c r="AL73">
        <f t="shared" si="5"/>
        <v>2033.6666666666667</v>
      </c>
    </row>
    <row r="74" spans="1:38" x14ac:dyDescent="0.2">
      <c r="A74" t="s">
        <v>43</v>
      </c>
      <c r="B74">
        <v>7</v>
      </c>
      <c r="C74">
        <v>43</v>
      </c>
      <c r="D74">
        <v>0</v>
      </c>
      <c r="E74">
        <v>0</v>
      </c>
      <c r="F74">
        <v>0</v>
      </c>
      <c r="G74">
        <v>12</v>
      </c>
      <c r="H74">
        <v>66</v>
      </c>
      <c r="I74">
        <v>2</v>
      </c>
      <c r="J74">
        <v>227.8</v>
      </c>
      <c r="K74">
        <v>0</v>
      </c>
      <c r="L74">
        <v>80</v>
      </c>
      <c r="M74">
        <v>177.5</v>
      </c>
      <c r="N74">
        <v>0</v>
      </c>
      <c r="O74">
        <v>0</v>
      </c>
      <c r="P74">
        <v>0</v>
      </c>
      <c r="Q74">
        <v>0</v>
      </c>
      <c r="R74">
        <v>0</v>
      </c>
      <c r="S74">
        <v>257.5</v>
      </c>
      <c r="T74">
        <v>22</v>
      </c>
      <c r="U74">
        <v>12</v>
      </c>
      <c r="V74">
        <v>0.75</v>
      </c>
      <c r="W74">
        <v>1325</v>
      </c>
      <c r="X74">
        <v>3658.3</v>
      </c>
      <c r="Y74">
        <v>178.2</v>
      </c>
      <c r="Z74">
        <v>1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</v>
      </c>
      <c r="AH74">
        <v>3</v>
      </c>
      <c r="AI74">
        <v>2008901</v>
      </c>
      <c r="AJ74">
        <f t="shared" si="3"/>
        <v>264</v>
      </c>
      <c r="AK74">
        <f t="shared" si="4"/>
        <v>198</v>
      </c>
      <c r="AL74">
        <f t="shared" si="5"/>
        <v>2033.5</v>
      </c>
    </row>
    <row r="75" spans="1:38" x14ac:dyDescent="0.2">
      <c r="A75" t="s">
        <v>43</v>
      </c>
      <c r="B75">
        <v>7</v>
      </c>
      <c r="C75">
        <v>43</v>
      </c>
      <c r="D75">
        <v>0</v>
      </c>
      <c r="E75">
        <v>0</v>
      </c>
      <c r="F75">
        <v>0</v>
      </c>
      <c r="G75">
        <v>12</v>
      </c>
      <c r="H75">
        <v>68</v>
      </c>
      <c r="I75">
        <v>0</v>
      </c>
      <c r="J75">
        <v>143.80000000000001</v>
      </c>
      <c r="K75">
        <v>0</v>
      </c>
      <c r="L75">
        <v>80</v>
      </c>
      <c r="M75">
        <v>296.60000000000002</v>
      </c>
      <c r="N75">
        <v>0</v>
      </c>
      <c r="O75">
        <v>0</v>
      </c>
      <c r="P75">
        <v>0</v>
      </c>
      <c r="Q75">
        <v>0</v>
      </c>
      <c r="R75">
        <v>0</v>
      </c>
      <c r="S75">
        <v>376.6</v>
      </c>
      <c r="T75">
        <v>22</v>
      </c>
      <c r="U75">
        <v>12</v>
      </c>
      <c r="V75">
        <v>0.75</v>
      </c>
      <c r="W75">
        <v>3600</v>
      </c>
      <c r="X75">
        <v>14011.7</v>
      </c>
      <c r="Y75">
        <v>720</v>
      </c>
      <c r="Z75">
        <v>1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1</v>
      </c>
      <c r="AG75">
        <v>1</v>
      </c>
      <c r="AH75">
        <v>4</v>
      </c>
      <c r="AI75">
        <v>2005901</v>
      </c>
      <c r="AJ75">
        <f t="shared" si="3"/>
        <v>264</v>
      </c>
      <c r="AK75">
        <f t="shared" si="4"/>
        <v>196</v>
      </c>
      <c r="AL75">
        <f t="shared" si="5"/>
        <v>2033.3333333333333</v>
      </c>
    </row>
    <row r="76" spans="1:38" x14ac:dyDescent="0.2">
      <c r="A76" t="s">
        <v>43</v>
      </c>
      <c r="B76">
        <v>7</v>
      </c>
      <c r="C76">
        <v>44</v>
      </c>
      <c r="D76">
        <v>0</v>
      </c>
      <c r="E76">
        <v>0</v>
      </c>
      <c r="F76">
        <v>0</v>
      </c>
      <c r="G76">
        <v>12</v>
      </c>
      <c r="H76">
        <v>63</v>
      </c>
      <c r="I76">
        <v>0</v>
      </c>
      <c r="J76">
        <v>132.6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21</v>
      </c>
      <c r="U76">
        <v>1</v>
      </c>
      <c r="V76">
        <v>0.75</v>
      </c>
      <c r="W76">
        <v>0</v>
      </c>
      <c r="X76">
        <v>4413.3999999999996</v>
      </c>
      <c r="Y76">
        <v>250.4</v>
      </c>
      <c r="Z76">
        <v>1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1</v>
      </c>
      <c r="AG76">
        <v>1</v>
      </c>
      <c r="AH76">
        <v>4</v>
      </c>
      <c r="AI76">
        <v>286003</v>
      </c>
      <c r="AJ76">
        <f t="shared" si="3"/>
        <v>252</v>
      </c>
      <c r="AK76">
        <f t="shared" si="4"/>
        <v>189</v>
      </c>
      <c r="AL76">
        <f t="shared" si="5"/>
        <v>2032.75</v>
      </c>
    </row>
    <row r="77" spans="1:38" x14ac:dyDescent="0.2">
      <c r="A77" t="s">
        <v>43</v>
      </c>
      <c r="B77">
        <v>7</v>
      </c>
      <c r="C77">
        <v>44</v>
      </c>
      <c r="D77">
        <v>0</v>
      </c>
      <c r="E77">
        <v>0</v>
      </c>
      <c r="F77">
        <v>0</v>
      </c>
      <c r="G77">
        <v>12</v>
      </c>
      <c r="H77">
        <v>68</v>
      </c>
      <c r="I77">
        <v>2</v>
      </c>
      <c r="J77">
        <v>156.1</v>
      </c>
      <c r="K77">
        <v>0</v>
      </c>
      <c r="L77">
        <v>80</v>
      </c>
      <c r="M77">
        <v>137.69999999999999</v>
      </c>
      <c r="N77">
        <v>0</v>
      </c>
      <c r="O77">
        <v>0</v>
      </c>
      <c r="P77">
        <v>0</v>
      </c>
      <c r="Q77">
        <v>0</v>
      </c>
      <c r="R77">
        <v>0</v>
      </c>
      <c r="S77">
        <v>217.7</v>
      </c>
      <c r="T77">
        <v>22</v>
      </c>
      <c r="U77">
        <v>12</v>
      </c>
      <c r="V77">
        <v>0.75</v>
      </c>
      <c r="W77">
        <v>1325</v>
      </c>
      <c r="X77">
        <v>4126.2</v>
      </c>
      <c r="Y77">
        <v>208.8</v>
      </c>
      <c r="Z77">
        <v>1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1</v>
      </c>
      <c r="AG77">
        <v>1</v>
      </c>
      <c r="AH77">
        <v>4</v>
      </c>
      <c r="AI77">
        <v>228302</v>
      </c>
      <c r="AJ77">
        <f t="shared" si="3"/>
        <v>264</v>
      </c>
      <c r="AK77">
        <f t="shared" si="4"/>
        <v>196</v>
      </c>
      <c r="AL77">
        <f t="shared" si="5"/>
        <v>2033.3333333333333</v>
      </c>
    </row>
    <row r="78" spans="1:38" x14ac:dyDescent="0.2">
      <c r="A78" t="s">
        <v>43</v>
      </c>
      <c r="B78">
        <v>7</v>
      </c>
      <c r="C78">
        <v>45</v>
      </c>
      <c r="D78">
        <v>0</v>
      </c>
      <c r="E78">
        <v>0</v>
      </c>
      <c r="F78">
        <v>0</v>
      </c>
      <c r="G78">
        <v>12</v>
      </c>
      <c r="H78">
        <v>68</v>
      </c>
      <c r="I78">
        <v>2</v>
      </c>
      <c r="J78">
        <v>277.8</v>
      </c>
      <c r="K78">
        <v>0</v>
      </c>
      <c r="L78">
        <v>80</v>
      </c>
      <c r="M78">
        <v>187.1</v>
      </c>
      <c r="N78">
        <v>0</v>
      </c>
      <c r="O78">
        <v>0</v>
      </c>
      <c r="P78">
        <v>0</v>
      </c>
      <c r="Q78">
        <v>0</v>
      </c>
      <c r="R78">
        <v>0</v>
      </c>
      <c r="S78">
        <v>267.10000000000002</v>
      </c>
      <c r="T78">
        <v>20</v>
      </c>
      <c r="U78">
        <v>12</v>
      </c>
      <c r="V78">
        <v>0.75</v>
      </c>
      <c r="W78">
        <v>1325</v>
      </c>
      <c r="X78">
        <v>3651.2</v>
      </c>
      <c r="Y78">
        <v>189.6</v>
      </c>
      <c r="Z78">
        <v>1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1</v>
      </c>
      <c r="AH78">
        <v>3</v>
      </c>
      <c r="AI78">
        <v>2003701</v>
      </c>
      <c r="AJ78">
        <f t="shared" si="3"/>
        <v>240</v>
      </c>
      <c r="AK78">
        <f t="shared" si="4"/>
        <v>172</v>
      </c>
      <c r="AL78">
        <f t="shared" si="5"/>
        <v>2031.3333333333333</v>
      </c>
    </row>
    <row r="79" spans="1:38" x14ac:dyDescent="0.2">
      <c r="A79" t="s">
        <v>43</v>
      </c>
      <c r="B79">
        <v>7</v>
      </c>
      <c r="C79">
        <v>46</v>
      </c>
      <c r="D79">
        <v>0</v>
      </c>
      <c r="E79">
        <v>0</v>
      </c>
      <c r="F79">
        <v>0</v>
      </c>
      <c r="G79">
        <v>12</v>
      </c>
      <c r="H79">
        <v>65</v>
      </c>
      <c r="I79">
        <v>0</v>
      </c>
      <c r="J79">
        <v>182.9</v>
      </c>
      <c r="K79">
        <v>0</v>
      </c>
      <c r="L79">
        <v>80</v>
      </c>
      <c r="M79">
        <v>152</v>
      </c>
      <c r="N79">
        <v>0</v>
      </c>
      <c r="O79">
        <v>0</v>
      </c>
      <c r="P79">
        <v>0</v>
      </c>
      <c r="Q79">
        <v>0</v>
      </c>
      <c r="R79">
        <v>0</v>
      </c>
      <c r="S79">
        <v>232</v>
      </c>
      <c r="T79">
        <v>19</v>
      </c>
      <c r="U79">
        <v>12</v>
      </c>
      <c r="V79">
        <v>0.75</v>
      </c>
      <c r="W79">
        <v>1800</v>
      </c>
      <c r="X79">
        <v>6226.4</v>
      </c>
      <c r="Y79">
        <v>303</v>
      </c>
      <c r="Z79">
        <v>1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1</v>
      </c>
      <c r="AG79">
        <v>1</v>
      </c>
      <c r="AH79">
        <v>4</v>
      </c>
      <c r="AI79">
        <v>384702</v>
      </c>
      <c r="AJ79">
        <f t="shared" si="3"/>
        <v>228</v>
      </c>
      <c r="AK79">
        <f t="shared" si="4"/>
        <v>163</v>
      </c>
      <c r="AL79">
        <f t="shared" si="5"/>
        <v>2030.5833333333333</v>
      </c>
    </row>
    <row r="80" spans="1:38" x14ac:dyDescent="0.2">
      <c r="A80" t="s">
        <v>43</v>
      </c>
      <c r="B80">
        <v>7</v>
      </c>
      <c r="C80">
        <v>46</v>
      </c>
      <c r="D80">
        <v>0</v>
      </c>
      <c r="E80">
        <v>0</v>
      </c>
      <c r="F80">
        <v>0</v>
      </c>
      <c r="G80">
        <v>12</v>
      </c>
      <c r="H80">
        <v>65</v>
      </c>
      <c r="I80">
        <v>2</v>
      </c>
      <c r="J80">
        <v>182.9</v>
      </c>
      <c r="K80">
        <v>0</v>
      </c>
      <c r="L80">
        <v>80</v>
      </c>
      <c r="M80">
        <v>178.9</v>
      </c>
      <c r="N80">
        <v>0</v>
      </c>
      <c r="O80">
        <v>0</v>
      </c>
      <c r="P80">
        <v>0</v>
      </c>
      <c r="Q80">
        <v>0</v>
      </c>
      <c r="R80">
        <v>0</v>
      </c>
      <c r="S80">
        <v>258.89999999999998</v>
      </c>
      <c r="T80">
        <v>18</v>
      </c>
      <c r="U80">
        <v>12</v>
      </c>
      <c r="V80">
        <v>0.75</v>
      </c>
      <c r="W80">
        <v>1987.4</v>
      </c>
      <c r="X80">
        <v>6481.6</v>
      </c>
      <c r="Y80">
        <v>308.5</v>
      </c>
      <c r="Z80">
        <v>1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1</v>
      </c>
      <c r="AG80">
        <v>1</v>
      </c>
      <c r="AH80">
        <v>4</v>
      </c>
      <c r="AI80">
        <v>424501</v>
      </c>
      <c r="AJ80">
        <f t="shared" si="3"/>
        <v>216</v>
      </c>
      <c r="AK80">
        <f t="shared" si="4"/>
        <v>151</v>
      </c>
      <c r="AL80">
        <f t="shared" si="5"/>
        <v>2029.5833333333333</v>
      </c>
    </row>
    <row r="81" spans="1:38" x14ac:dyDescent="0.2">
      <c r="A81" t="s">
        <v>43</v>
      </c>
      <c r="B81">
        <v>7</v>
      </c>
      <c r="C81">
        <v>46</v>
      </c>
      <c r="D81">
        <v>0</v>
      </c>
      <c r="E81">
        <v>0</v>
      </c>
      <c r="F81">
        <v>0</v>
      </c>
      <c r="G81">
        <v>12</v>
      </c>
      <c r="H81">
        <v>68</v>
      </c>
      <c r="I81">
        <v>2</v>
      </c>
      <c r="J81">
        <v>306.5</v>
      </c>
      <c r="K81">
        <v>0</v>
      </c>
      <c r="L81">
        <v>80</v>
      </c>
      <c r="M81">
        <v>203.9</v>
      </c>
      <c r="N81">
        <v>0</v>
      </c>
      <c r="O81">
        <v>0</v>
      </c>
      <c r="P81">
        <v>0</v>
      </c>
      <c r="Q81">
        <v>0</v>
      </c>
      <c r="R81">
        <v>0</v>
      </c>
      <c r="S81">
        <v>283.89999999999998</v>
      </c>
      <c r="T81">
        <v>20</v>
      </c>
      <c r="U81">
        <v>12</v>
      </c>
      <c r="V81">
        <v>0.75</v>
      </c>
      <c r="W81">
        <v>1325</v>
      </c>
      <c r="X81">
        <v>3523</v>
      </c>
      <c r="Y81">
        <v>185.8</v>
      </c>
      <c r="Z81">
        <v>1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1</v>
      </c>
      <c r="AH81">
        <v>3</v>
      </c>
      <c r="AI81">
        <v>228403</v>
      </c>
      <c r="AJ81">
        <f t="shared" si="3"/>
        <v>240</v>
      </c>
      <c r="AK81">
        <f t="shared" si="4"/>
        <v>172</v>
      </c>
      <c r="AL81">
        <f t="shared" si="5"/>
        <v>2031.3333333333333</v>
      </c>
    </row>
    <row r="82" spans="1:38" x14ac:dyDescent="0.2">
      <c r="A82" t="s">
        <v>43</v>
      </c>
      <c r="B82">
        <v>7</v>
      </c>
      <c r="C82">
        <v>47</v>
      </c>
      <c r="D82">
        <v>0</v>
      </c>
      <c r="E82">
        <v>0</v>
      </c>
      <c r="F82">
        <v>0</v>
      </c>
      <c r="G82">
        <v>12</v>
      </c>
      <c r="H82">
        <v>66</v>
      </c>
      <c r="I82">
        <v>2</v>
      </c>
      <c r="J82">
        <v>338</v>
      </c>
      <c r="K82">
        <v>0</v>
      </c>
      <c r="L82">
        <v>80</v>
      </c>
      <c r="M82">
        <v>180.4</v>
      </c>
      <c r="N82">
        <v>0</v>
      </c>
      <c r="O82">
        <v>0</v>
      </c>
      <c r="P82">
        <v>0</v>
      </c>
      <c r="Q82">
        <v>0</v>
      </c>
      <c r="R82">
        <v>0</v>
      </c>
      <c r="S82">
        <v>260.39999999999998</v>
      </c>
      <c r="T82">
        <v>17</v>
      </c>
      <c r="U82">
        <v>12</v>
      </c>
      <c r="V82">
        <v>0.75</v>
      </c>
      <c r="W82">
        <v>1325</v>
      </c>
      <c r="X82">
        <v>3409.1</v>
      </c>
      <c r="Y82">
        <v>171.5</v>
      </c>
      <c r="Z82">
        <v>1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3</v>
      </c>
      <c r="AI82">
        <v>2009902</v>
      </c>
      <c r="AJ82">
        <f t="shared" si="3"/>
        <v>204</v>
      </c>
      <c r="AK82">
        <f t="shared" si="4"/>
        <v>138</v>
      </c>
      <c r="AL82">
        <f t="shared" si="5"/>
        <v>2028.5</v>
      </c>
    </row>
    <row r="83" spans="1:38" x14ac:dyDescent="0.2">
      <c r="A83" t="s">
        <v>43</v>
      </c>
      <c r="B83">
        <v>7</v>
      </c>
      <c r="C83">
        <v>50</v>
      </c>
      <c r="D83">
        <v>0</v>
      </c>
      <c r="E83">
        <v>0</v>
      </c>
      <c r="F83">
        <v>0</v>
      </c>
      <c r="G83">
        <v>12</v>
      </c>
      <c r="H83">
        <v>67</v>
      </c>
      <c r="I83">
        <v>1</v>
      </c>
      <c r="J83">
        <v>197.4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15</v>
      </c>
      <c r="U83">
        <v>1</v>
      </c>
      <c r="V83">
        <v>0.75</v>
      </c>
      <c r="W83">
        <v>0</v>
      </c>
      <c r="X83">
        <v>1375.1</v>
      </c>
      <c r="Y83">
        <v>107.1</v>
      </c>
      <c r="Z83">
        <v>1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4</v>
      </c>
      <c r="AI83">
        <v>579601</v>
      </c>
      <c r="AJ83">
        <f t="shared" si="3"/>
        <v>180</v>
      </c>
      <c r="AK83">
        <f t="shared" si="4"/>
        <v>113</v>
      </c>
      <c r="AL83">
        <f t="shared" si="5"/>
        <v>2026.4166666666667</v>
      </c>
    </row>
    <row r="84" spans="1:38" x14ac:dyDescent="0.2">
      <c r="A84" t="s">
        <v>43</v>
      </c>
      <c r="B84">
        <v>7</v>
      </c>
      <c r="C84">
        <v>52</v>
      </c>
      <c r="D84">
        <v>0</v>
      </c>
      <c r="E84">
        <v>0</v>
      </c>
      <c r="F84">
        <v>0</v>
      </c>
      <c r="G84">
        <v>12</v>
      </c>
      <c r="H84">
        <v>64</v>
      </c>
      <c r="I84">
        <v>0</v>
      </c>
      <c r="J84">
        <v>545.1</v>
      </c>
      <c r="K84">
        <v>0</v>
      </c>
      <c r="L84">
        <v>80</v>
      </c>
      <c r="M84">
        <v>161.19999999999999</v>
      </c>
      <c r="N84">
        <v>0</v>
      </c>
      <c r="O84">
        <v>0</v>
      </c>
      <c r="P84">
        <v>0</v>
      </c>
      <c r="Q84">
        <v>0</v>
      </c>
      <c r="R84">
        <v>0</v>
      </c>
      <c r="S84">
        <v>241.2</v>
      </c>
      <c r="T84">
        <v>13</v>
      </c>
      <c r="U84">
        <v>12</v>
      </c>
      <c r="V84">
        <v>0.75</v>
      </c>
      <c r="W84">
        <v>1200</v>
      </c>
      <c r="X84">
        <v>2466</v>
      </c>
      <c r="Y84">
        <v>129.4</v>
      </c>
      <c r="Z84">
        <v>1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1</v>
      </c>
      <c r="AH84">
        <v>3</v>
      </c>
      <c r="AI84">
        <v>65902</v>
      </c>
      <c r="AJ84">
        <f t="shared" si="3"/>
        <v>156</v>
      </c>
      <c r="AK84">
        <f t="shared" si="4"/>
        <v>92</v>
      </c>
      <c r="AL84">
        <f t="shared" si="5"/>
        <v>2024.6666666666667</v>
      </c>
    </row>
    <row r="85" spans="1:38" x14ac:dyDescent="0.2">
      <c r="A85" t="s">
        <v>43</v>
      </c>
      <c r="B85">
        <v>99</v>
      </c>
      <c r="C85">
        <v>18</v>
      </c>
      <c r="D85">
        <v>0</v>
      </c>
      <c r="E85">
        <v>0</v>
      </c>
      <c r="F85">
        <v>0</v>
      </c>
      <c r="G85">
        <v>12</v>
      </c>
      <c r="H85">
        <v>6</v>
      </c>
      <c r="I85">
        <v>0</v>
      </c>
      <c r="J85">
        <v>125.8</v>
      </c>
      <c r="K85">
        <v>0</v>
      </c>
      <c r="L85">
        <v>80</v>
      </c>
      <c r="M85">
        <v>155.6</v>
      </c>
      <c r="N85">
        <v>0</v>
      </c>
      <c r="O85">
        <v>0</v>
      </c>
      <c r="P85">
        <v>0</v>
      </c>
      <c r="Q85">
        <v>0</v>
      </c>
      <c r="R85">
        <v>0</v>
      </c>
      <c r="S85">
        <v>235.6</v>
      </c>
      <c r="T85">
        <v>40</v>
      </c>
      <c r="U85">
        <v>12</v>
      </c>
      <c r="V85">
        <v>0</v>
      </c>
      <c r="W85">
        <v>3600</v>
      </c>
      <c r="X85">
        <v>20697.2</v>
      </c>
      <c r="Y85">
        <v>0</v>
      </c>
      <c r="Z85">
        <v>1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1</v>
      </c>
      <c r="AH85">
        <v>3</v>
      </c>
      <c r="AI85">
        <v>39006</v>
      </c>
      <c r="AJ85">
        <f t="shared" si="3"/>
        <v>480</v>
      </c>
      <c r="AK85">
        <f t="shared" si="4"/>
        <v>474</v>
      </c>
      <c r="AL85">
        <f t="shared" si="5"/>
        <v>2056.5</v>
      </c>
    </row>
    <row r="86" spans="1:38" x14ac:dyDescent="0.2">
      <c r="A86" t="s">
        <v>43</v>
      </c>
      <c r="B86">
        <v>99</v>
      </c>
      <c r="C86">
        <v>18</v>
      </c>
      <c r="D86">
        <v>0</v>
      </c>
      <c r="E86">
        <v>0</v>
      </c>
      <c r="F86">
        <v>0</v>
      </c>
      <c r="G86">
        <v>12</v>
      </c>
      <c r="H86">
        <v>11</v>
      </c>
      <c r="I86">
        <v>2</v>
      </c>
      <c r="J86">
        <v>125.8</v>
      </c>
      <c r="K86">
        <v>0</v>
      </c>
      <c r="L86">
        <v>80</v>
      </c>
      <c r="M86">
        <v>131.80000000000001</v>
      </c>
      <c r="N86">
        <v>0</v>
      </c>
      <c r="O86">
        <v>0</v>
      </c>
      <c r="P86">
        <v>0</v>
      </c>
      <c r="Q86">
        <v>0</v>
      </c>
      <c r="R86">
        <v>0</v>
      </c>
      <c r="S86">
        <v>211.8</v>
      </c>
      <c r="T86">
        <v>47</v>
      </c>
      <c r="U86">
        <v>12</v>
      </c>
      <c r="V86">
        <v>0</v>
      </c>
      <c r="W86">
        <v>1800</v>
      </c>
      <c r="X86">
        <v>786.1</v>
      </c>
      <c r="Y86">
        <v>0</v>
      </c>
      <c r="Z86">
        <v>1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1</v>
      </c>
      <c r="AH86">
        <v>3</v>
      </c>
      <c r="AI86">
        <v>2295401</v>
      </c>
      <c r="AJ86">
        <f t="shared" si="3"/>
        <v>564</v>
      </c>
      <c r="AK86">
        <f t="shared" si="4"/>
        <v>553</v>
      </c>
      <c r="AL86">
        <f t="shared" si="5"/>
        <v>2063.0833333333335</v>
      </c>
    </row>
    <row r="87" spans="1:38" x14ac:dyDescent="0.2">
      <c r="A87" t="s">
        <v>43</v>
      </c>
      <c r="B87">
        <v>99</v>
      </c>
      <c r="C87">
        <v>19</v>
      </c>
      <c r="D87">
        <v>0</v>
      </c>
      <c r="E87">
        <v>0</v>
      </c>
      <c r="F87">
        <v>0</v>
      </c>
      <c r="G87">
        <v>12</v>
      </c>
      <c r="H87">
        <v>12</v>
      </c>
      <c r="I87">
        <v>2</v>
      </c>
      <c r="J87">
        <v>56.9</v>
      </c>
      <c r="K87">
        <v>0</v>
      </c>
      <c r="L87">
        <v>80</v>
      </c>
      <c r="M87">
        <v>34.4</v>
      </c>
      <c r="N87">
        <v>0</v>
      </c>
      <c r="O87">
        <v>0</v>
      </c>
      <c r="P87">
        <v>0</v>
      </c>
      <c r="Q87">
        <v>0</v>
      </c>
      <c r="R87">
        <v>0</v>
      </c>
      <c r="S87">
        <v>114.4</v>
      </c>
      <c r="T87">
        <v>25</v>
      </c>
      <c r="U87">
        <v>12</v>
      </c>
      <c r="V87">
        <v>0</v>
      </c>
      <c r="W87">
        <v>1224</v>
      </c>
      <c r="X87">
        <v>600.79999999999995</v>
      </c>
      <c r="Y87">
        <v>0</v>
      </c>
      <c r="Z87">
        <v>1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1</v>
      </c>
      <c r="AG87">
        <v>1</v>
      </c>
      <c r="AH87">
        <v>4</v>
      </c>
      <c r="AI87">
        <v>2289002</v>
      </c>
      <c r="AJ87">
        <f t="shared" si="3"/>
        <v>300</v>
      </c>
      <c r="AK87">
        <f t="shared" si="4"/>
        <v>288</v>
      </c>
      <c r="AL87">
        <f t="shared" si="5"/>
        <v>2041</v>
      </c>
    </row>
    <row r="88" spans="1:38" x14ac:dyDescent="0.2">
      <c r="A88" t="s">
        <v>43</v>
      </c>
      <c r="B88">
        <v>99</v>
      </c>
      <c r="C88">
        <v>19</v>
      </c>
      <c r="D88">
        <v>0</v>
      </c>
      <c r="E88">
        <v>0</v>
      </c>
      <c r="F88">
        <v>0</v>
      </c>
      <c r="G88">
        <v>12</v>
      </c>
      <c r="H88">
        <v>20</v>
      </c>
      <c r="I88">
        <v>2</v>
      </c>
      <c r="J88">
        <v>150.30000000000001</v>
      </c>
      <c r="K88">
        <v>0</v>
      </c>
      <c r="L88">
        <v>80</v>
      </c>
      <c r="M88">
        <v>134.4</v>
      </c>
      <c r="N88">
        <v>0</v>
      </c>
      <c r="O88">
        <v>0</v>
      </c>
      <c r="P88">
        <v>0</v>
      </c>
      <c r="Q88">
        <v>0</v>
      </c>
      <c r="R88">
        <v>0</v>
      </c>
      <c r="S88">
        <v>214.4</v>
      </c>
      <c r="T88">
        <v>45</v>
      </c>
      <c r="U88">
        <v>12</v>
      </c>
      <c r="V88">
        <v>0</v>
      </c>
      <c r="W88">
        <v>1224</v>
      </c>
      <c r="X88">
        <v>831.2</v>
      </c>
      <c r="Y88">
        <v>6.8</v>
      </c>
      <c r="Z88">
        <v>1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1</v>
      </c>
      <c r="AH88">
        <v>3</v>
      </c>
      <c r="AI88">
        <v>2234201</v>
      </c>
      <c r="AJ88">
        <f t="shared" si="3"/>
        <v>540</v>
      </c>
      <c r="AK88">
        <f t="shared" si="4"/>
        <v>520</v>
      </c>
      <c r="AL88">
        <f t="shared" si="5"/>
        <v>2060.3333333333335</v>
      </c>
    </row>
    <row r="89" spans="1:38" x14ac:dyDescent="0.2">
      <c r="A89" t="s">
        <v>43</v>
      </c>
      <c r="B89">
        <v>99</v>
      </c>
      <c r="C89">
        <v>20</v>
      </c>
      <c r="D89">
        <v>0</v>
      </c>
      <c r="E89">
        <v>0</v>
      </c>
      <c r="F89">
        <v>0</v>
      </c>
      <c r="G89">
        <v>12</v>
      </c>
      <c r="H89">
        <v>11</v>
      </c>
      <c r="I89">
        <v>2</v>
      </c>
      <c r="J89">
        <v>150.30000000000001</v>
      </c>
      <c r="K89">
        <v>0</v>
      </c>
      <c r="L89">
        <v>80</v>
      </c>
      <c r="M89">
        <v>197.7</v>
      </c>
      <c r="N89">
        <v>0</v>
      </c>
      <c r="O89">
        <v>0</v>
      </c>
      <c r="P89">
        <v>0</v>
      </c>
      <c r="Q89">
        <v>0</v>
      </c>
      <c r="R89">
        <v>0</v>
      </c>
      <c r="S89">
        <v>277.7</v>
      </c>
      <c r="T89">
        <v>44</v>
      </c>
      <c r="U89">
        <v>12</v>
      </c>
      <c r="V89">
        <v>0</v>
      </c>
      <c r="W89">
        <v>1800</v>
      </c>
      <c r="X89">
        <v>737.7</v>
      </c>
      <c r="Y89">
        <v>0</v>
      </c>
      <c r="Z89">
        <v>1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1</v>
      </c>
      <c r="AH89">
        <v>3</v>
      </c>
      <c r="AI89">
        <v>2295301</v>
      </c>
      <c r="AJ89">
        <f t="shared" si="3"/>
        <v>528</v>
      </c>
      <c r="AK89">
        <f t="shared" si="4"/>
        <v>517</v>
      </c>
      <c r="AL89">
        <f t="shared" si="5"/>
        <v>2060.0833333333335</v>
      </c>
    </row>
    <row r="90" spans="1:38" x14ac:dyDescent="0.2">
      <c r="A90" t="s">
        <v>43</v>
      </c>
      <c r="B90">
        <v>99</v>
      </c>
      <c r="C90">
        <v>21</v>
      </c>
      <c r="D90">
        <v>0</v>
      </c>
      <c r="E90">
        <v>0</v>
      </c>
      <c r="F90">
        <v>0</v>
      </c>
      <c r="G90">
        <v>12</v>
      </c>
      <c r="H90">
        <v>1</v>
      </c>
      <c r="I90">
        <v>5</v>
      </c>
      <c r="J90">
        <v>145</v>
      </c>
      <c r="K90">
        <v>0</v>
      </c>
      <c r="L90">
        <v>80</v>
      </c>
      <c r="M90">
        <v>294.10000000000002</v>
      </c>
      <c r="N90">
        <v>0</v>
      </c>
      <c r="O90">
        <v>0</v>
      </c>
      <c r="P90">
        <v>0</v>
      </c>
      <c r="Q90">
        <v>0</v>
      </c>
      <c r="R90">
        <v>0</v>
      </c>
      <c r="S90">
        <v>374.1</v>
      </c>
      <c r="T90">
        <v>40</v>
      </c>
      <c r="U90">
        <v>12</v>
      </c>
      <c r="V90">
        <v>0</v>
      </c>
      <c r="W90">
        <v>1200</v>
      </c>
      <c r="X90">
        <v>33.299999999999997</v>
      </c>
      <c r="Y90">
        <v>0</v>
      </c>
      <c r="Z90">
        <v>1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1</v>
      </c>
      <c r="AH90">
        <v>3</v>
      </c>
      <c r="AI90">
        <v>2396001</v>
      </c>
      <c r="AJ90">
        <f t="shared" si="3"/>
        <v>480</v>
      </c>
      <c r="AK90">
        <f t="shared" si="4"/>
        <v>479</v>
      </c>
      <c r="AL90">
        <f t="shared" si="5"/>
        <v>2056.9166666666665</v>
      </c>
    </row>
    <row r="91" spans="1:38" x14ac:dyDescent="0.2">
      <c r="A91" t="s">
        <v>43</v>
      </c>
      <c r="B91">
        <v>99</v>
      </c>
      <c r="C91">
        <v>21</v>
      </c>
      <c r="D91">
        <v>0</v>
      </c>
      <c r="E91">
        <v>0</v>
      </c>
      <c r="F91">
        <v>0</v>
      </c>
      <c r="G91">
        <v>12</v>
      </c>
      <c r="H91">
        <v>5</v>
      </c>
      <c r="I91">
        <v>0</v>
      </c>
      <c r="J91">
        <v>145</v>
      </c>
      <c r="K91">
        <v>0</v>
      </c>
      <c r="L91">
        <v>80</v>
      </c>
      <c r="M91">
        <v>81.5</v>
      </c>
      <c r="N91">
        <v>0</v>
      </c>
      <c r="O91">
        <v>0</v>
      </c>
      <c r="P91">
        <v>0</v>
      </c>
      <c r="Q91">
        <v>0</v>
      </c>
      <c r="R91">
        <v>0</v>
      </c>
      <c r="S91">
        <v>161.5</v>
      </c>
      <c r="T91">
        <v>44</v>
      </c>
      <c r="U91">
        <v>12</v>
      </c>
      <c r="V91">
        <v>0</v>
      </c>
      <c r="W91">
        <v>1200</v>
      </c>
      <c r="X91">
        <v>218.3</v>
      </c>
      <c r="Y91">
        <v>0</v>
      </c>
      <c r="Z91">
        <v>1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1</v>
      </c>
      <c r="AH91">
        <v>3</v>
      </c>
      <c r="AI91">
        <v>2214801</v>
      </c>
      <c r="AJ91">
        <f t="shared" si="3"/>
        <v>528</v>
      </c>
      <c r="AK91">
        <f t="shared" si="4"/>
        <v>523</v>
      </c>
      <c r="AL91">
        <f t="shared" si="5"/>
        <v>2060.5833333333335</v>
      </c>
    </row>
    <row r="92" spans="1:38" x14ac:dyDescent="0.2">
      <c r="A92" t="s">
        <v>43</v>
      </c>
      <c r="B92">
        <v>99</v>
      </c>
      <c r="C92">
        <v>21</v>
      </c>
      <c r="D92">
        <v>0</v>
      </c>
      <c r="E92">
        <v>0</v>
      </c>
      <c r="F92">
        <v>0</v>
      </c>
      <c r="G92">
        <v>12</v>
      </c>
      <c r="H92">
        <v>22</v>
      </c>
      <c r="I92">
        <v>3</v>
      </c>
      <c r="J92">
        <v>135.19999999999999</v>
      </c>
      <c r="K92">
        <v>0</v>
      </c>
      <c r="L92">
        <v>80</v>
      </c>
      <c r="M92">
        <v>162</v>
      </c>
      <c r="N92">
        <v>0</v>
      </c>
      <c r="O92">
        <v>0</v>
      </c>
      <c r="P92">
        <v>0</v>
      </c>
      <c r="Q92">
        <v>0</v>
      </c>
      <c r="R92">
        <v>0</v>
      </c>
      <c r="S92">
        <v>242</v>
      </c>
      <c r="T92">
        <v>40</v>
      </c>
      <c r="U92">
        <v>12</v>
      </c>
      <c r="V92">
        <v>0</v>
      </c>
      <c r="W92">
        <v>1236</v>
      </c>
      <c r="X92">
        <v>898.4</v>
      </c>
      <c r="Y92">
        <v>10.6</v>
      </c>
      <c r="Z92">
        <v>1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1</v>
      </c>
      <c r="AH92">
        <v>3</v>
      </c>
      <c r="AI92">
        <v>2218101</v>
      </c>
      <c r="AJ92">
        <f t="shared" si="3"/>
        <v>480</v>
      </c>
      <c r="AK92">
        <f t="shared" si="4"/>
        <v>458</v>
      </c>
      <c r="AL92">
        <f t="shared" si="5"/>
        <v>2055.1666666666665</v>
      </c>
    </row>
    <row r="93" spans="1:38" x14ac:dyDescent="0.2">
      <c r="A93" t="s">
        <v>43</v>
      </c>
      <c r="B93">
        <v>99</v>
      </c>
      <c r="C93">
        <v>22</v>
      </c>
      <c r="D93">
        <v>0</v>
      </c>
      <c r="E93">
        <v>0</v>
      </c>
      <c r="F93">
        <v>0</v>
      </c>
      <c r="G93">
        <v>12</v>
      </c>
      <c r="H93">
        <v>12</v>
      </c>
      <c r="I93">
        <v>2</v>
      </c>
      <c r="J93">
        <v>44.5</v>
      </c>
      <c r="K93">
        <v>0</v>
      </c>
      <c r="L93">
        <v>80</v>
      </c>
      <c r="M93">
        <v>137.6</v>
      </c>
      <c r="N93">
        <v>0</v>
      </c>
      <c r="O93">
        <v>0</v>
      </c>
      <c r="P93">
        <v>0</v>
      </c>
      <c r="Q93">
        <v>0</v>
      </c>
      <c r="R93">
        <v>0</v>
      </c>
      <c r="S93">
        <v>217.6</v>
      </c>
      <c r="T93">
        <v>40</v>
      </c>
      <c r="U93">
        <v>12</v>
      </c>
      <c r="V93">
        <v>0</v>
      </c>
      <c r="W93">
        <v>1836</v>
      </c>
      <c r="X93">
        <v>902.4</v>
      </c>
      <c r="Y93">
        <v>0</v>
      </c>
      <c r="Z93">
        <v>1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1</v>
      </c>
      <c r="AG93">
        <v>1</v>
      </c>
      <c r="AH93">
        <v>4</v>
      </c>
      <c r="AI93">
        <v>2284601</v>
      </c>
      <c r="AJ93">
        <f t="shared" si="3"/>
        <v>480</v>
      </c>
      <c r="AK93">
        <f t="shared" si="4"/>
        <v>468</v>
      </c>
      <c r="AL93">
        <f t="shared" si="5"/>
        <v>2056</v>
      </c>
    </row>
    <row r="94" spans="1:38" x14ac:dyDescent="0.2">
      <c r="A94" t="s">
        <v>43</v>
      </c>
      <c r="B94">
        <v>99</v>
      </c>
      <c r="C94">
        <v>22</v>
      </c>
      <c r="D94">
        <v>0</v>
      </c>
      <c r="E94">
        <v>0</v>
      </c>
      <c r="F94">
        <v>0</v>
      </c>
      <c r="G94">
        <v>12</v>
      </c>
      <c r="H94">
        <v>25</v>
      </c>
      <c r="I94">
        <v>2</v>
      </c>
      <c r="J94">
        <v>114.3</v>
      </c>
      <c r="K94">
        <v>0</v>
      </c>
      <c r="L94">
        <v>80</v>
      </c>
      <c r="M94">
        <v>127.4</v>
      </c>
      <c r="N94">
        <v>0</v>
      </c>
      <c r="O94">
        <v>0</v>
      </c>
      <c r="P94">
        <v>0</v>
      </c>
      <c r="Q94">
        <v>0</v>
      </c>
      <c r="R94">
        <v>0</v>
      </c>
      <c r="S94">
        <v>207.4</v>
      </c>
      <c r="T94">
        <v>40</v>
      </c>
      <c r="U94">
        <v>12</v>
      </c>
      <c r="V94">
        <v>0</v>
      </c>
      <c r="W94">
        <v>1248.5</v>
      </c>
      <c r="X94">
        <v>1076.4000000000001</v>
      </c>
      <c r="Y94">
        <v>19.5</v>
      </c>
      <c r="Z94">
        <v>1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1</v>
      </c>
      <c r="AH94">
        <v>3</v>
      </c>
      <c r="AI94">
        <v>441601</v>
      </c>
      <c r="AJ94">
        <f t="shared" si="3"/>
        <v>480</v>
      </c>
      <c r="AK94">
        <f t="shared" si="4"/>
        <v>455</v>
      </c>
      <c r="AL94">
        <f t="shared" si="5"/>
        <v>2054.9166666666665</v>
      </c>
    </row>
    <row r="95" spans="1:38" x14ac:dyDescent="0.2">
      <c r="A95" t="s">
        <v>43</v>
      </c>
      <c r="B95">
        <v>99</v>
      </c>
      <c r="C95">
        <v>24</v>
      </c>
      <c r="D95">
        <v>0</v>
      </c>
      <c r="E95">
        <v>0</v>
      </c>
      <c r="F95">
        <v>0</v>
      </c>
      <c r="G95">
        <v>12</v>
      </c>
      <c r="H95">
        <v>12</v>
      </c>
      <c r="I95">
        <v>2</v>
      </c>
      <c r="J95">
        <v>106.2</v>
      </c>
      <c r="K95">
        <v>0</v>
      </c>
      <c r="L95">
        <v>80</v>
      </c>
      <c r="M95">
        <v>197.4</v>
      </c>
      <c r="N95">
        <v>0</v>
      </c>
      <c r="O95">
        <v>0</v>
      </c>
      <c r="P95">
        <v>0</v>
      </c>
      <c r="Q95">
        <v>0</v>
      </c>
      <c r="R95">
        <v>0</v>
      </c>
      <c r="S95">
        <v>277.39999999999998</v>
      </c>
      <c r="T95">
        <v>40</v>
      </c>
      <c r="U95">
        <v>12</v>
      </c>
      <c r="V95">
        <v>0</v>
      </c>
      <c r="W95">
        <v>1836</v>
      </c>
      <c r="X95">
        <v>830.7</v>
      </c>
      <c r="Y95">
        <v>0</v>
      </c>
      <c r="Z95">
        <v>1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1</v>
      </c>
      <c r="AH95">
        <v>3</v>
      </c>
      <c r="AI95">
        <v>2284401</v>
      </c>
      <c r="AJ95">
        <f t="shared" si="3"/>
        <v>480</v>
      </c>
      <c r="AK95">
        <f t="shared" si="4"/>
        <v>468</v>
      </c>
      <c r="AL95">
        <f t="shared" si="5"/>
        <v>2056</v>
      </c>
    </row>
    <row r="96" spans="1:38" x14ac:dyDescent="0.2">
      <c r="A96" t="s">
        <v>43</v>
      </c>
      <c r="B96">
        <v>99</v>
      </c>
      <c r="C96">
        <v>24</v>
      </c>
      <c r="D96">
        <v>0</v>
      </c>
      <c r="E96">
        <v>0</v>
      </c>
      <c r="F96">
        <v>0</v>
      </c>
      <c r="G96">
        <v>12</v>
      </c>
      <c r="H96">
        <v>25</v>
      </c>
      <c r="I96">
        <v>0</v>
      </c>
      <c r="J96">
        <v>40.299999999999997</v>
      </c>
      <c r="K96">
        <v>0</v>
      </c>
      <c r="L96">
        <v>80</v>
      </c>
      <c r="M96">
        <v>49.7</v>
      </c>
      <c r="N96">
        <v>0</v>
      </c>
      <c r="O96">
        <v>0</v>
      </c>
      <c r="P96">
        <v>0</v>
      </c>
      <c r="Q96">
        <v>0</v>
      </c>
      <c r="R96">
        <v>0</v>
      </c>
      <c r="S96">
        <v>129.69999999999999</v>
      </c>
      <c r="T96">
        <v>41</v>
      </c>
      <c r="U96">
        <v>12</v>
      </c>
      <c r="V96">
        <v>0</v>
      </c>
      <c r="W96">
        <v>1200</v>
      </c>
      <c r="X96">
        <v>1259.0999999999999</v>
      </c>
      <c r="Y96">
        <v>23.2</v>
      </c>
      <c r="Z96">
        <v>1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1</v>
      </c>
      <c r="AG96">
        <v>1</v>
      </c>
      <c r="AH96">
        <v>4</v>
      </c>
      <c r="AI96">
        <v>2126203</v>
      </c>
      <c r="AJ96">
        <f t="shared" si="3"/>
        <v>492</v>
      </c>
      <c r="AK96">
        <f t="shared" si="4"/>
        <v>467</v>
      </c>
      <c r="AL96">
        <f t="shared" si="5"/>
        <v>2055.9166666666665</v>
      </c>
    </row>
    <row r="97" spans="1:38" x14ac:dyDescent="0.2">
      <c r="A97" t="s">
        <v>43</v>
      </c>
      <c r="B97">
        <v>99</v>
      </c>
      <c r="C97">
        <v>25</v>
      </c>
      <c r="D97">
        <v>0</v>
      </c>
      <c r="E97">
        <v>0</v>
      </c>
      <c r="F97">
        <v>0</v>
      </c>
      <c r="G97">
        <v>12</v>
      </c>
      <c r="H97">
        <v>1</v>
      </c>
      <c r="I97">
        <v>5</v>
      </c>
      <c r="J97">
        <v>106.2</v>
      </c>
      <c r="K97">
        <v>0</v>
      </c>
      <c r="L97">
        <v>80</v>
      </c>
      <c r="M97">
        <v>324</v>
      </c>
      <c r="N97">
        <v>0</v>
      </c>
      <c r="O97">
        <v>0</v>
      </c>
      <c r="P97">
        <v>0</v>
      </c>
      <c r="Q97">
        <v>0</v>
      </c>
      <c r="R97">
        <v>0</v>
      </c>
      <c r="S97">
        <v>404</v>
      </c>
      <c r="T97">
        <v>40</v>
      </c>
      <c r="U97">
        <v>12</v>
      </c>
      <c r="V97">
        <v>0</v>
      </c>
      <c r="W97">
        <v>1200</v>
      </c>
      <c r="X97">
        <v>33.700000000000003</v>
      </c>
      <c r="Y97">
        <v>0</v>
      </c>
      <c r="Z97">
        <v>1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1</v>
      </c>
      <c r="AH97">
        <v>3</v>
      </c>
      <c r="AI97">
        <v>2395901</v>
      </c>
      <c r="AJ97">
        <f t="shared" si="3"/>
        <v>480</v>
      </c>
      <c r="AK97">
        <f t="shared" si="4"/>
        <v>479</v>
      </c>
      <c r="AL97">
        <f t="shared" si="5"/>
        <v>2056.9166666666665</v>
      </c>
    </row>
    <row r="98" spans="1:38" x14ac:dyDescent="0.2">
      <c r="A98" t="s">
        <v>43</v>
      </c>
      <c r="B98">
        <v>99</v>
      </c>
      <c r="C98">
        <v>26</v>
      </c>
      <c r="D98">
        <v>0</v>
      </c>
      <c r="E98">
        <v>0</v>
      </c>
      <c r="F98">
        <v>0</v>
      </c>
      <c r="G98">
        <v>12</v>
      </c>
      <c r="H98">
        <v>1</v>
      </c>
      <c r="I98">
        <v>5</v>
      </c>
      <c r="J98">
        <v>40.299999999999997</v>
      </c>
      <c r="K98">
        <v>0</v>
      </c>
      <c r="L98">
        <v>80</v>
      </c>
      <c r="M98">
        <v>270.10000000000002</v>
      </c>
      <c r="N98">
        <v>0</v>
      </c>
      <c r="O98">
        <v>0</v>
      </c>
      <c r="P98">
        <v>0</v>
      </c>
      <c r="Q98">
        <v>0</v>
      </c>
      <c r="R98">
        <v>0</v>
      </c>
      <c r="S98">
        <v>350.1</v>
      </c>
      <c r="T98">
        <v>38</v>
      </c>
      <c r="U98">
        <v>12</v>
      </c>
      <c r="V98">
        <v>0</v>
      </c>
      <c r="W98">
        <v>1440</v>
      </c>
      <c r="X98">
        <v>51.3</v>
      </c>
      <c r="Y98">
        <v>0</v>
      </c>
      <c r="Z98">
        <v>1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1</v>
      </c>
      <c r="AG98">
        <v>1</v>
      </c>
      <c r="AH98">
        <v>4</v>
      </c>
      <c r="AI98">
        <v>2399803</v>
      </c>
      <c r="AJ98">
        <f t="shared" si="3"/>
        <v>456</v>
      </c>
      <c r="AK98">
        <f t="shared" si="4"/>
        <v>455</v>
      </c>
      <c r="AL98">
        <f t="shared" si="5"/>
        <v>2054.9166666666665</v>
      </c>
    </row>
    <row r="99" spans="1:38" x14ac:dyDescent="0.2">
      <c r="A99" t="s">
        <v>43</v>
      </c>
      <c r="B99">
        <v>99</v>
      </c>
      <c r="C99">
        <v>26</v>
      </c>
      <c r="D99">
        <v>0</v>
      </c>
      <c r="E99">
        <v>0</v>
      </c>
      <c r="F99">
        <v>0</v>
      </c>
      <c r="G99">
        <v>12</v>
      </c>
      <c r="H99">
        <v>5</v>
      </c>
      <c r="I99">
        <v>5</v>
      </c>
      <c r="J99">
        <v>40.299999999999997</v>
      </c>
      <c r="K99">
        <v>0</v>
      </c>
      <c r="L99">
        <v>80</v>
      </c>
      <c r="M99">
        <v>305.60000000000002</v>
      </c>
      <c r="N99">
        <v>0</v>
      </c>
      <c r="O99">
        <v>0</v>
      </c>
      <c r="P99">
        <v>0</v>
      </c>
      <c r="Q99">
        <v>0</v>
      </c>
      <c r="R99">
        <v>0</v>
      </c>
      <c r="S99">
        <v>385.6</v>
      </c>
      <c r="T99">
        <v>40</v>
      </c>
      <c r="U99">
        <v>12</v>
      </c>
      <c r="V99">
        <v>0</v>
      </c>
      <c r="W99">
        <v>1200</v>
      </c>
      <c r="X99">
        <v>189.3</v>
      </c>
      <c r="Y99">
        <v>0</v>
      </c>
      <c r="Z99">
        <v>1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1</v>
      </c>
      <c r="AG99">
        <v>1</v>
      </c>
      <c r="AH99">
        <v>4</v>
      </c>
      <c r="AI99">
        <v>2338303</v>
      </c>
      <c r="AJ99">
        <f t="shared" si="3"/>
        <v>480</v>
      </c>
      <c r="AK99">
        <f t="shared" si="4"/>
        <v>475</v>
      </c>
      <c r="AL99">
        <f t="shared" si="5"/>
        <v>2056.5833333333335</v>
      </c>
    </row>
    <row r="100" spans="1:38" x14ac:dyDescent="0.2">
      <c r="A100" t="s">
        <v>43</v>
      </c>
      <c r="B100">
        <v>99</v>
      </c>
      <c r="C100">
        <v>29</v>
      </c>
      <c r="D100">
        <v>0</v>
      </c>
      <c r="E100">
        <v>0</v>
      </c>
      <c r="F100">
        <v>0</v>
      </c>
      <c r="G100">
        <v>12</v>
      </c>
      <c r="H100">
        <v>1</v>
      </c>
      <c r="I100">
        <v>5</v>
      </c>
      <c r="J100">
        <v>42.1</v>
      </c>
      <c r="K100">
        <v>0</v>
      </c>
      <c r="L100">
        <v>80</v>
      </c>
      <c r="M100">
        <v>224.4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304.39999999999998</v>
      </c>
      <c r="T100">
        <v>36</v>
      </c>
      <c r="U100">
        <v>12</v>
      </c>
      <c r="V100">
        <v>0</v>
      </c>
      <c r="W100">
        <v>1200</v>
      </c>
      <c r="X100">
        <v>41.7</v>
      </c>
      <c r="Y100">
        <v>0</v>
      </c>
      <c r="Z100">
        <v>1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1</v>
      </c>
      <c r="AG100">
        <v>1</v>
      </c>
      <c r="AH100">
        <v>4</v>
      </c>
      <c r="AI100">
        <v>2396101</v>
      </c>
      <c r="AJ100">
        <f t="shared" si="3"/>
        <v>432</v>
      </c>
      <c r="AK100">
        <f t="shared" si="4"/>
        <v>431</v>
      </c>
      <c r="AL100">
        <f t="shared" si="5"/>
        <v>2052.9166666666665</v>
      </c>
    </row>
    <row r="101" spans="1:38" x14ac:dyDescent="0.2">
      <c r="A101" t="s">
        <v>43</v>
      </c>
      <c r="B101">
        <v>99</v>
      </c>
      <c r="C101">
        <v>29</v>
      </c>
      <c r="D101">
        <v>0</v>
      </c>
      <c r="E101">
        <v>0</v>
      </c>
      <c r="F101">
        <v>0</v>
      </c>
      <c r="G101">
        <v>12</v>
      </c>
      <c r="H101">
        <v>10</v>
      </c>
      <c r="I101">
        <v>2</v>
      </c>
      <c r="J101">
        <v>88.5</v>
      </c>
      <c r="K101">
        <v>0</v>
      </c>
      <c r="L101">
        <v>80</v>
      </c>
      <c r="M101">
        <v>165.4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245.4</v>
      </c>
      <c r="T101">
        <v>36</v>
      </c>
      <c r="U101">
        <v>12</v>
      </c>
      <c r="V101">
        <v>0</v>
      </c>
      <c r="W101">
        <v>1560</v>
      </c>
      <c r="X101">
        <v>599.29999999999995</v>
      </c>
      <c r="Y101">
        <v>0</v>
      </c>
      <c r="Z101">
        <v>1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1</v>
      </c>
      <c r="AH101">
        <v>3</v>
      </c>
      <c r="AI101">
        <v>2295101</v>
      </c>
      <c r="AJ101">
        <f t="shared" si="3"/>
        <v>432</v>
      </c>
      <c r="AK101">
        <f t="shared" si="4"/>
        <v>422</v>
      </c>
      <c r="AL101">
        <f t="shared" si="5"/>
        <v>2052.1666666666665</v>
      </c>
    </row>
    <row r="102" spans="1:38" x14ac:dyDescent="0.2">
      <c r="A102" t="s">
        <v>43</v>
      </c>
      <c r="B102">
        <v>99</v>
      </c>
      <c r="C102">
        <v>30</v>
      </c>
      <c r="D102">
        <v>0</v>
      </c>
      <c r="E102">
        <v>0</v>
      </c>
      <c r="F102">
        <v>0</v>
      </c>
      <c r="G102">
        <v>12</v>
      </c>
      <c r="H102">
        <v>21</v>
      </c>
      <c r="I102">
        <v>4</v>
      </c>
      <c r="J102">
        <v>86.5</v>
      </c>
      <c r="K102">
        <v>0</v>
      </c>
      <c r="L102">
        <v>80</v>
      </c>
      <c r="M102">
        <v>207.4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287.39999999999998</v>
      </c>
      <c r="T102">
        <v>35</v>
      </c>
      <c r="U102">
        <v>12</v>
      </c>
      <c r="V102">
        <v>0</v>
      </c>
      <c r="W102">
        <v>1248</v>
      </c>
      <c r="X102">
        <v>871</v>
      </c>
      <c r="Y102">
        <v>8.6</v>
      </c>
      <c r="Z102">
        <v>1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1</v>
      </c>
      <c r="AH102">
        <v>3</v>
      </c>
      <c r="AI102">
        <v>2224501</v>
      </c>
      <c r="AJ102">
        <f t="shared" si="3"/>
        <v>420</v>
      </c>
      <c r="AK102">
        <f t="shared" si="4"/>
        <v>399</v>
      </c>
      <c r="AL102">
        <f t="shared" si="5"/>
        <v>2050.25</v>
      </c>
    </row>
    <row r="103" spans="1:38" x14ac:dyDescent="0.2">
      <c r="A103" t="s">
        <v>43</v>
      </c>
      <c r="B103">
        <v>99</v>
      </c>
      <c r="C103">
        <v>30</v>
      </c>
      <c r="D103">
        <v>0</v>
      </c>
      <c r="E103">
        <v>0</v>
      </c>
      <c r="F103">
        <v>0</v>
      </c>
      <c r="G103">
        <v>12</v>
      </c>
      <c r="H103">
        <v>28</v>
      </c>
      <c r="I103">
        <v>2</v>
      </c>
      <c r="J103">
        <v>86.8</v>
      </c>
      <c r="K103">
        <v>0</v>
      </c>
      <c r="L103">
        <v>80</v>
      </c>
      <c r="M103">
        <v>194.9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274.89999999999998</v>
      </c>
      <c r="T103">
        <v>35</v>
      </c>
      <c r="U103">
        <v>12</v>
      </c>
      <c r="V103">
        <v>0</v>
      </c>
      <c r="W103">
        <v>1872.7</v>
      </c>
      <c r="X103">
        <v>2009.9</v>
      </c>
      <c r="Y103">
        <v>43</v>
      </c>
      <c r="Z103">
        <v>1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1</v>
      </c>
      <c r="AH103">
        <v>3</v>
      </c>
      <c r="AI103">
        <v>2181202</v>
      </c>
      <c r="AJ103">
        <f t="shared" si="3"/>
        <v>420</v>
      </c>
      <c r="AK103">
        <f t="shared" si="4"/>
        <v>392</v>
      </c>
      <c r="AL103">
        <f t="shared" si="5"/>
        <v>2049.6666666666665</v>
      </c>
    </row>
    <row r="104" spans="1:38" x14ac:dyDescent="0.2">
      <c r="A104" t="s">
        <v>43</v>
      </c>
      <c r="B104">
        <v>99</v>
      </c>
      <c r="C104">
        <v>31</v>
      </c>
      <c r="D104">
        <v>0</v>
      </c>
      <c r="E104">
        <v>0</v>
      </c>
      <c r="F104">
        <v>0</v>
      </c>
      <c r="G104">
        <v>12</v>
      </c>
      <c r="H104">
        <v>6</v>
      </c>
      <c r="I104">
        <v>5</v>
      </c>
      <c r="J104">
        <v>86.5</v>
      </c>
      <c r="K104">
        <v>0</v>
      </c>
      <c r="L104">
        <v>80</v>
      </c>
      <c r="M104">
        <v>386.3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466.3</v>
      </c>
      <c r="T104">
        <v>34</v>
      </c>
      <c r="U104">
        <v>12</v>
      </c>
      <c r="V104">
        <v>0</v>
      </c>
      <c r="W104">
        <v>1800</v>
      </c>
      <c r="X104">
        <v>366</v>
      </c>
      <c r="Y104">
        <v>0</v>
      </c>
      <c r="Z104">
        <v>1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1</v>
      </c>
      <c r="AH104">
        <v>3</v>
      </c>
      <c r="AI104">
        <v>2315203</v>
      </c>
      <c r="AJ104">
        <f t="shared" si="3"/>
        <v>408</v>
      </c>
      <c r="AK104">
        <f t="shared" si="4"/>
        <v>402</v>
      </c>
      <c r="AL104">
        <f t="shared" si="5"/>
        <v>2050.5</v>
      </c>
    </row>
    <row r="105" spans="1:38" x14ac:dyDescent="0.2">
      <c r="A105" t="s">
        <v>43</v>
      </c>
      <c r="B105">
        <v>99</v>
      </c>
      <c r="C105">
        <v>31</v>
      </c>
      <c r="D105">
        <v>0</v>
      </c>
      <c r="E105">
        <v>0</v>
      </c>
      <c r="F105">
        <v>0</v>
      </c>
      <c r="G105">
        <v>12</v>
      </c>
      <c r="H105">
        <v>10</v>
      </c>
      <c r="I105">
        <v>5</v>
      </c>
      <c r="J105">
        <v>86.5</v>
      </c>
      <c r="K105">
        <v>0</v>
      </c>
      <c r="L105">
        <v>80</v>
      </c>
      <c r="M105">
        <v>273.8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353.8</v>
      </c>
      <c r="T105">
        <v>35</v>
      </c>
      <c r="U105">
        <v>12</v>
      </c>
      <c r="V105">
        <v>0</v>
      </c>
      <c r="W105">
        <v>1200</v>
      </c>
      <c r="X105">
        <v>371.3</v>
      </c>
      <c r="Y105">
        <v>0</v>
      </c>
      <c r="Z105">
        <v>1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1</v>
      </c>
      <c r="AH105">
        <v>3</v>
      </c>
      <c r="AI105">
        <v>2282901</v>
      </c>
      <c r="AJ105">
        <f t="shared" si="3"/>
        <v>420</v>
      </c>
      <c r="AK105">
        <f t="shared" si="4"/>
        <v>410</v>
      </c>
      <c r="AL105">
        <f t="shared" si="5"/>
        <v>2051.1666666666665</v>
      </c>
    </row>
    <row r="106" spans="1:38" x14ac:dyDescent="0.2">
      <c r="A106" t="s">
        <v>43</v>
      </c>
      <c r="B106">
        <v>99</v>
      </c>
      <c r="C106">
        <v>31</v>
      </c>
      <c r="D106">
        <v>0</v>
      </c>
      <c r="E106">
        <v>0</v>
      </c>
      <c r="F106">
        <v>0</v>
      </c>
      <c r="G106">
        <v>12</v>
      </c>
      <c r="H106">
        <v>13</v>
      </c>
      <c r="I106">
        <v>4</v>
      </c>
      <c r="J106">
        <v>47.2</v>
      </c>
      <c r="K106">
        <v>0</v>
      </c>
      <c r="L106">
        <v>80</v>
      </c>
      <c r="M106">
        <v>182.1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262.10000000000002</v>
      </c>
      <c r="T106">
        <v>35</v>
      </c>
      <c r="U106">
        <v>12</v>
      </c>
      <c r="V106">
        <v>0</v>
      </c>
      <c r="W106">
        <v>1248</v>
      </c>
      <c r="X106">
        <v>573.1</v>
      </c>
      <c r="Y106">
        <v>0</v>
      </c>
      <c r="Z106">
        <v>1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1</v>
      </c>
      <c r="AG106">
        <v>1</v>
      </c>
      <c r="AH106">
        <v>4</v>
      </c>
      <c r="AI106">
        <v>2268401</v>
      </c>
      <c r="AJ106">
        <f t="shared" si="3"/>
        <v>420</v>
      </c>
      <c r="AK106">
        <f t="shared" si="4"/>
        <v>407</v>
      </c>
      <c r="AL106">
        <f t="shared" si="5"/>
        <v>2050.9166666666665</v>
      </c>
    </row>
    <row r="107" spans="1:38" x14ac:dyDescent="0.2">
      <c r="A107" t="s">
        <v>43</v>
      </c>
      <c r="B107">
        <v>99</v>
      </c>
      <c r="C107">
        <v>31</v>
      </c>
      <c r="D107">
        <v>0</v>
      </c>
      <c r="E107">
        <v>0</v>
      </c>
      <c r="F107">
        <v>0</v>
      </c>
      <c r="G107">
        <v>12</v>
      </c>
      <c r="H107">
        <v>21</v>
      </c>
      <c r="I107">
        <v>4</v>
      </c>
      <c r="J107">
        <v>47.2</v>
      </c>
      <c r="K107">
        <v>0</v>
      </c>
      <c r="L107">
        <v>80</v>
      </c>
      <c r="M107">
        <v>218.5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298.5</v>
      </c>
      <c r="T107">
        <v>35</v>
      </c>
      <c r="U107">
        <v>12</v>
      </c>
      <c r="V107">
        <v>0</v>
      </c>
      <c r="W107">
        <v>1248</v>
      </c>
      <c r="X107">
        <v>903.6</v>
      </c>
      <c r="Y107">
        <v>9</v>
      </c>
      <c r="Z107">
        <v>1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1</v>
      </c>
      <c r="AG107">
        <v>1</v>
      </c>
      <c r="AH107">
        <v>4</v>
      </c>
      <c r="AI107">
        <v>2224601</v>
      </c>
      <c r="AJ107">
        <f t="shared" si="3"/>
        <v>420</v>
      </c>
      <c r="AK107">
        <f t="shared" si="4"/>
        <v>399</v>
      </c>
      <c r="AL107">
        <f t="shared" si="5"/>
        <v>2050.25</v>
      </c>
    </row>
    <row r="108" spans="1:38" x14ac:dyDescent="0.2">
      <c r="A108" t="s">
        <v>43</v>
      </c>
      <c r="B108">
        <v>99</v>
      </c>
      <c r="C108">
        <v>32</v>
      </c>
      <c r="D108">
        <v>0</v>
      </c>
      <c r="E108">
        <v>0</v>
      </c>
      <c r="F108">
        <v>0</v>
      </c>
      <c r="G108">
        <v>12</v>
      </c>
      <c r="H108">
        <v>10</v>
      </c>
      <c r="I108">
        <v>5</v>
      </c>
      <c r="J108">
        <v>47.2</v>
      </c>
      <c r="K108">
        <v>0</v>
      </c>
      <c r="L108">
        <v>80</v>
      </c>
      <c r="M108">
        <v>173.3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253.3</v>
      </c>
      <c r="T108">
        <v>34</v>
      </c>
      <c r="U108">
        <v>12</v>
      </c>
      <c r="V108">
        <v>0</v>
      </c>
      <c r="W108">
        <v>1200</v>
      </c>
      <c r="X108">
        <v>440</v>
      </c>
      <c r="Y108">
        <v>0</v>
      </c>
      <c r="Z108">
        <v>1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1</v>
      </c>
      <c r="AG108">
        <v>1</v>
      </c>
      <c r="AH108">
        <v>4</v>
      </c>
      <c r="AI108">
        <v>2293401</v>
      </c>
      <c r="AJ108">
        <f t="shared" si="3"/>
        <v>408</v>
      </c>
      <c r="AK108">
        <f t="shared" si="4"/>
        <v>398</v>
      </c>
      <c r="AL108">
        <f t="shared" si="5"/>
        <v>2050.1666666666665</v>
      </c>
    </row>
    <row r="109" spans="1:38" x14ac:dyDescent="0.2">
      <c r="A109" t="s">
        <v>43</v>
      </c>
      <c r="B109">
        <v>99</v>
      </c>
      <c r="C109">
        <v>33</v>
      </c>
      <c r="D109">
        <v>0</v>
      </c>
      <c r="E109">
        <v>0</v>
      </c>
      <c r="F109">
        <v>0</v>
      </c>
      <c r="G109">
        <v>12</v>
      </c>
      <c r="H109">
        <v>10</v>
      </c>
      <c r="I109">
        <v>5</v>
      </c>
      <c r="J109">
        <v>87.9</v>
      </c>
      <c r="K109">
        <v>0</v>
      </c>
      <c r="L109">
        <v>80</v>
      </c>
      <c r="M109">
        <v>242.8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322.8</v>
      </c>
      <c r="T109">
        <v>32</v>
      </c>
      <c r="U109">
        <v>12</v>
      </c>
      <c r="V109">
        <v>0</v>
      </c>
      <c r="W109">
        <v>1200</v>
      </c>
      <c r="X109">
        <v>386</v>
      </c>
      <c r="Y109">
        <v>0</v>
      </c>
      <c r="Z109">
        <v>1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1</v>
      </c>
      <c r="AH109">
        <v>3</v>
      </c>
      <c r="AI109">
        <v>2295802</v>
      </c>
      <c r="AJ109">
        <f t="shared" si="3"/>
        <v>384</v>
      </c>
      <c r="AK109">
        <f t="shared" si="4"/>
        <v>374</v>
      </c>
      <c r="AL109">
        <f t="shared" si="5"/>
        <v>2048.1666666666665</v>
      </c>
    </row>
    <row r="110" spans="1:38" x14ac:dyDescent="0.2">
      <c r="A110" t="s">
        <v>43</v>
      </c>
      <c r="B110">
        <v>99</v>
      </c>
      <c r="C110">
        <v>33</v>
      </c>
      <c r="D110">
        <v>0</v>
      </c>
      <c r="E110">
        <v>0</v>
      </c>
      <c r="F110">
        <v>0</v>
      </c>
      <c r="G110">
        <v>12</v>
      </c>
      <c r="H110">
        <v>12</v>
      </c>
      <c r="I110">
        <v>5</v>
      </c>
      <c r="J110">
        <v>89.5</v>
      </c>
      <c r="K110">
        <v>0</v>
      </c>
      <c r="L110">
        <v>80</v>
      </c>
      <c r="M110">
        <v>248.9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328.9</v>
      </c>
      <c r="T110">
        <v>32</v>
      </c>
      <c r="U110">
        <v>12</v>
      </c>
      <c r="V110">
        <v>0</v>
      </c>
      <c r="W110">
        <v>1260</v>
      </c>
      <c r="X110">
        <v>463.2</v>
      </c>
      <c r="Y110">
        <v>0</v>
      </c>
      <c r="Z110">
        <v>1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1</v>
      </c>
      <c r="AH110">
        <v>3</v>
      </c>
      <c r="AI110">
        <v>2273001</v>
      </c>
      <c r="AJ110">
        <f t="shared" si="3"/>
        <v>384</v>
      </c>
      <c r="AK110">
        <f t="shared" si="4"/>
        <v>372</v>
      </c>
      <c r="AL110">
        <f t="shared" si="5"/>
        <v>2048</v>
      </c>
    </row>
    <row r="111" spans="1:38" x14ac:dyDescent="0.2">
      <c r="A111" t="s">
        <v>43</v>
      </c>
      <c r="B111">
        <v>99</v>
      </c>
      <c r="C111">
        <v>35</v>
      </c>
      <c r="D111">
        <v>0</v>
      </c>
      <c r="E111">
        <v>0</v>
      </c>
      <c r="F111">
        <v>0</v>
      </c>
      <c r="G111">
        <v>12</v>
      </c>
      <c r="H111">
        <v>6</v>
      </c>
      <c r="I111">
        <v>3</v>
      </c>
      <c r="J111">
        <v>54.6</v>
      </c>
      <c r="K111">
        <v>0</v>
      </c>
      <c r="L111">
        <v>80</v>
      </c>
      <c r="M111">
        <v>159.4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239.4</v>
      </c>
      <c r="T111">
        <v>30</v>
      </c>
      <c r="U111">
        <v>12</v>
      </c>
      <c r="V111">
        <v>0</v>
      </c>
      <c r="W111">
        <v>1440</v>
      </c>
      <c r="X111">
        <v>336</v>
      </c>
      <c r="Y111">
        <v>0</v>
      </c>
      <c r="Z111">
        <v>1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1</v>
      </c>
      <c r="AG111">
        <v>1</v>
      </c>
      <c r="AH111">
        <v>4</v>
      </c>
      <c r="AI111">
        <v>1923303</v>
      </c>
      <c r="AJ111">
        <f t="shared" si="3"/>
        <v>360</v>
      </c>
      <c r="AK111">
        <f t="shared" si="4"/>
        <v>354</v>
      </c>
      <c r="AL111">
        <f t="shared" si="5"/>
        <v>2046.5</v>
      </c>
    </row>
    <row r="112" spans="1:38" x14ac:dyDescent="0.2">
      <c r="A112" t="s">
        <v>43</v>
      </c>
      <c r="B112">
        <v>99</v>
      </c>
      <c r="C112">
        <v>36</v>
      </c>
      <c r="D112">
        <v>0</v>
      </c>
      <c r="E112">
        <v>0</v>
      </c>
      <c r="F112">
        <v>0</v>
      </c>
      <c r="G112">
        <v>12</v>
      </c>
      <c r="H112">
        <v>4</v>
      </c>
      <c r="I112">
        <v>3</v>
      </c>
      <c r="J112">
        <v>94</v>
      </c>
      <c r="K112">
        <v>0</v>
      </c>
      <c r="L112">
        <v>80</v>
      </c>
      <c r="M112">
        <v>183.2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263.2</v>
      </c>
      <c r="T112">
        <v>29</v>
      </c>
      <c r="U112">
        <v>12</v>
      </c>
      <c r="V112">
        <v>0</v>
      </c>
      <c r="W112">
        <v>1440</v>
      </c>
      <c r="X112">
        <v>218.8</v>
      </c>
      <c r="Y112">
        <v>0</v>
      </c>
      <c r="Z112">
        <v>1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1</v>
      </c>
      <c r="AH112">
        <v>3</v>
      </c>
      <c r="AI112">
        <v>1923204</v>
      </c>
      <c r="AJ112">
        <f t="shared" si="3"/>
        <v>348</v>
      </c>
      <c r="AK112">
        <f t="shared" si="4"/>
        <v>344</v>
      </c>
      <c r="AL112">
        <f t="shared" si="5"/>
        <v>2045.6666666666667</v>
      </c>
    </row>
    <row r="113" spans="1:38" x14ac:dyDescent="0.2">
      <c r="A113" t="s">
        <v>43</v>
      </c>
      <c r="B113">
        <v>99</v>
      </c>
      <c r="C113">
        <v>36</v>
      </c>
      <c r="D113">
        <v>0</v>
      </c>
      <c r="E113">
        <v>0</v>
      </c>
      <c r="F113">
        <v>0</v>
      </c>
      <c r="G113">
        <v>12</v>
      </c>
      <c r="H113">
        <v>15</v>
      </c>
      <c r="I113">
        <v>2</v>
      </c>
      <c r="J113">
        <v>94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29</v>
      </c>
      <c r="U113">
        <v>12</v>
      </c>
      <c r="V113">
        <v>0</v>
      </c>
      <c r="W113">
        <v>0</v>
      </c>
      <c r="X113">
        <v>974.1</v>
      </c>
      <c r="Y113">
        <v>1.3</v>
      </c>
      <c r="Z113">
        <v>1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1</v>
      </c>
      <c r="AH113">
        <v>3</v>
      </c>
      <c r="AI113">
        <v>1792203</v>
      </c>
      <c r="AJ113">
        <f t="shared" si="3"/>
        <v>348</v>
      </c>
      <c r="AK113">
        <f t="shared" si="4"/>
        <v>333</v>
      </c>
      <c r="AL113">
        <f t="shared" si="5"/>
        <v>2044.75</v>
      </c>
    </row>
    <row r="114" spans="1:38" x14ac:dyDescent="0.2">
      <c r="A114" t="s">
        <v>43</v>
      </c>
      <c r="B114">
        <v>99</v>
      </c>
      <c r="C114">
        <v>36</v>
      </c>
      <c r="D114">
        <v>0</v>
      </c>
      <c r="E114">
        <v>0</v>
      </c>
      <c r="F114">
        <v>0</v>
      </c>
      <c r="G114">
        <v>12</v>
      </c>
      <c r="H114">
        <v>17</v>
      </c>
      <c r="I114">
        <v>0</v>
      </c>
      <c r="J114">
        <v>61.3</v>
      </c>
      <c r="K114">
        <v>0</v>
      </c>
      <c r="L114">
        <v>80</v>
      </c>
      <c r="M114">
        <v>136.5</v>
      </c>
      <c r="N114">
        <v>0</v>
      </c>
      <c r="O114">
        <v>0</v>
      </c>
      <c r="P114">
        <v>101.9</v>
      </c>
      <c r="Q114">
        <v>0</v>
      </c>
      <c r="R114">
        <v>48.1</v>
      </c>
      <c r="S114">
        <v>366.5</v>
      </c>
      <c r="T114">
        <v>18</v>
      </c>
      <c r="U114">
        <v>12</v>
      </c>
      <c r="V114">
        <v>0</v>
      </c>
      <c r="W114">
        <v>2994</v>
      </c>
      <c r="X114">
        <v>2135.3000000000002</v>
      </c>
      <c r="Y114">
        <v>7.4</v>
      </c>
      <c r="Z114">
        <v>1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1</v>
      </c>
      <c r="AG114">
        <v>1</v>
      </c>
      <c r="AH114">
        <v>4</v>
      </c>
      <c r="AI114">
        <v>1853902</v>
      </c>
      <c r="AJ114">
        <f t="shared" si="3"/>
        <v>216</v>
      </c>
      <c r="AK114">
        <f t="shared" si="4"/>
        <v>199</v>
      </c>
      <c r="AL114">
        <f t="shared" si="5"/>
        <v>2033.5833333333333</v>
      </c>
    </row>
    <row r="115" spans="1:38" x14ac:dyDescent="0.2">
      <c r="A115" t="s">
        <v>43</v>
      </c>
      <c r="B115">
        <v>99</v>
      </c>
      <c r="C115">
        <v>37</v>
      </c>
      <c r="D115">
        <v>0</v>
      </c>
      <c r="E115">
        <v>0</v>
      </c>
      <c r="F115">
        <v>0</v>
      </c>
      <c r="G115">
        <v>12</v>
      </c>
      <c r="H115">
        <v>8</v>
      </c>
      <c r="I115">
        <v>5</v>
      </c>
      <c r="J115">
        <v>98</v>
      </c>
      <c r="K115">
        <v>0</v>
      </c>
      <c r="L115">
        <v>80</v>
      </c>
      <c r="M115">
        <v>411.9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491.9</v>
      </c>
      <c r="T115">
        <v>33</v>
      </c>
      <c r="U115">
        <v>12</v>
      </c>
      <c r="V115">
        <v>0</v>
      </c>
      <c r="W115">
        <v>2400</v>
      </c>
      <c r="X115">
        <v>720.9</v>
      </c>
      <c r="Y115">
        <v>0</v>
      </c>
      <c r="Z115">
        <v>1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1</v>
      </c>
      <c r="AH115">
        <v>3</v>
      </c>
      <c r="AI115">
        <v>1925501</v>
      </c>
      <c r="AJ115">
        <f t="shared" si="3"/>
        <v>396</v>
      </c>
      <c r="AK115">
        <f t="shared" si="4"/>
        <v>388</v>
      </c>
      <c r="AL115">
        <f t="shared" si="5"/>
        <v>2049.3333333333335</v>
      </c>
    </row>
    <row r="116" spans="1:38" x14ac:dyDescent="0.2">
      <c r="A116" t="s">
        <v>43</v>
      </c>
      <c r="B116">
        <v>99</v>
      </c>
      <c r="C116">
        <v>37</v>
      </c>
      <c r="D116">
        <v>0</v>
      </c>
      <c r="E116">
        <v>0</v>
      </c>
      <c r="F116">
        <v>0</v>
      </c>
      <c r="G116">
        <v>12</v>
      </c>
      <c r="H116">
        <v>24</v>
      </c>
      <c r="I116">
        <v>0</v>
      </c>
      <c r="J116">
        <v>108.2</v>
      </c>
      <c r="K116">
        <v>0</v>
      </c>
      <c r="L116">
        <v>80</v>
      </c>
      <c r="M116">
        <v>89.9</v>
      </c>
      <c r="N116">
        <v>0</v>
      </c>
      <c r="O116">
        <v>0</v>
      </c>
      <c r="P116">
        <v>101.9</v>
      </c>
      <c r="Q116">
        <v>0</v>
      </c>
      <c r="R116">
        <v>48.1</v>
      </c>
      <c r="S116">
        <v>319.89999999999998</v>
      </c>
      <c r="T116">
        <v>7</v>
      </c>
      <c r="U116">
        <v>12</v>
      </c>
      <c r="V116">
        <v>0</v>
      </c>
      <c r="W116">
        <v>4110</v>
      </c>
      <c r="X116">
        <v>5815.5</v>
      </c>
      <c r="Y116">
        <v>78.599999999999994</v>
      </c>
      <c r="Z116">
        <v>1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1</v>
      </c>
      <c r="AH116">
        <v>3</v>
      </c>
      <c r="AI116">
        <v>1704202</v>
      </c>
      <c r="AJ116">
        <f t="shared" si="3"/>
        <v>84</v>
      </c>
      <c r="AK116">
        <f t="shared" si="4"/>
        <v>60</v>
      </c>
      <c r="AL116">
        <f t="shared" si="5"/>
        <v>2022</v>
      </c>
    </row>
    <row r="117" spans="1:38" x14ac:dyDescent="0.2">
      <c r="A117" t="s">
        <v>43</v>
      </c>
      <c r="B117">
        <v>99</v>
      </c>
      <c r="C117">
        <v>38</v>
      </c>
      <c r="D117">
        <v>0</v>
      </c>
      <c r="E117">
        <v>0</v>
      </c>
      <c r="F117">
        <v>0</v>
      </c>
      <c r="G117">
        <v>12</v>
      </c>
      <c r="H117">
        <v>4</v>
      </c>
      <c r="I117">
        <v>5</v>
      </c>
      <c r="J117">
        <v>102.6</v>
      </c>
      <c r="K117">
        <v>0</v>
      </c>
      <c r="L117">
        <v>80</v>
      </c>
      <c r="M117">
        <v>460.6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540.6</v>
      </c>
      <c r="T117">
        <v>32</v>
      </c>
      <c r="U117">
        <v>12</v>
      </c>
      <c r="V117">
        <v>0</v>
      </c>
      <c r="W117">
        <v>1800</v>
      </c>
      <c r="X117">
        <v>226.1</v>
      </c>
      <c r="Y117">
        <v>0</v>
      </c>
      <c r="Z117">
        <v>1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1</v>
      </c>
      <c r="AH117">
        <v>3</v>
      </c>
      <c r="AI117">
        <v>2349903</v>
      </c>
      <c r="AJ117">
        <f t="shared" si="3"/>
        <v>384</v>
      </c>
      <c r="AK117">
        <f t="shared" si="4"/>
        <v>380</v>
      </c>
      <c r="AL117">
        <f t="shared" si="5"/>
        <v>2048.6666666666665</v>
      </c>
    </row>
    <row r="118" spans="1:38" x14ac:dyDescent="0.2">
      <c r="A118" t="s">
        <v>43</v>
      </c>
      <c r="B118">
        <v>99</v>
      </c>
      <c r="C118">
        <v>38</v>
      </c>
      <c r="D118">
        <v>0</v>
      </c>
      <c r="E118">
        <v>0</v>
      </c>
      <c r="F118">
        <v>0</v>
      </c>
      <c r="G118">
        <v>12</v>
      </c>
      <c r="H118">
        <v>12</v>
      </c>
      <c r="I118">
        <v>5</v>
      </c>
      <c r="J118">
        <v>70.400000000000006</v>
      </c>
      <c r="K118">
        <v>0</v>
      </c>
      <c r="L118">
        <v>80</v>
      </c>
      <c r="M118">
        <v>216.4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296.39999999999998</v>
      </c>
      <c r="T118">
        <v>28</v>
      </c>
      <c r="U118">
        <v>12</v>
      </c>
      <c r="V118">
        <v>0</v>
      </c>
      <c r="W118">
        <v>1260</v>
      </c>
      <c r="X118">
        <v>496</v>
      </c>
      <c r="Y118">
        <v>0</v>
      </c>
      <c r="Z118">
        <v>1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1</v>
      </c>
      <c r="AG118">
        <v>1</v>
      </c>
      <c r="AH118">
        <v>4</v>
      </c>
      <c r="AI118">
        <v>2275101</v>
      </c>
      <c r="AJ118">
        <f t="shared" si="3"/>
        <v>336</v>
      </c>
      <c r="AK118">
        <f t="shared" si="4"/>
        <v>324</v>
      </c>
      <c r="AL118">
        <f t="shared" si="5"/>
        <v>2044</v>
      </c>
    </row>
    <row r="119" spans="1:38" x14ac:dyDescent="0.2">
      <c r="A119" t="s">
        <v>43</v>
      </c>
      <c r="B119">
        <v>99</v>
      </c>
      <c r="C119">
        <v>38</v>
      </c>
      <c r="D119">
        <v>0</v>
      </c>
      <c r="E119">
        <v>0</v>
      </c>
      <c r="F119">
        <v>0</v>
      </c>
      <c r="G119">
        <v>12</v>
      </c>
      <c r="H119">
        <v>13</v>
      </c>
      <c r="I119">
        <v>5</v>
      </c>
      <c r="J119">
        <v>70.400000000000006</v>
      </c>
      <c r="K119">
        <v>0</v>
      </c>
      <c r="L119">
        <v>80</v>
      </c>
      <c r="M119">
        <v>202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282</v>
      </c>
      <c r="T119">
        <v>27</v>
      </c>
      <c r="U119">
        <v>12</v>
      </c>
      <c r="V119">
        <v>0</v>
      </c>
      <c r="W119">
        <v>1260</v>
      </c>
      <c r="X119">
        <v>548.4</v>
      </c>
      <c r="Y119">
        <v>0</v>
      </c>
      <c r="Z119">
        <v>1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1</v>
      </c>
      <c r="AG119">
        <v>1</v>
      </c>
      <c r="AH119">
        <v>4</v>
      </c>
      <c r="AI119">
        <v>2266102</v>
      </c>
      <c r="AJ119">
        <f t="shared" si="3"/>
        <v>324</v>
      </c>
      <c r="AK119">
        <f t="shared" si="4"/>
        <v>311</v>
      </c>
      <c r="AL119">
        <f t="shared" si="5"/>
        <v>2042.9166666666667</v>
      </c>
    </row>
    <row r="120" spans="1:38" x14ac:dyDescent="0.2">
      <c r="A120" t="s">
        <v>43</v>
      </c>
      <c r="B120">
        <v>99</v>
      </c>
      <c r="C120">
        <v>39</v>
      </c>
      <c r="D120">
        <v>0</v>
      </c>
      <c r="E120">
        <v>0</v>
      </c>
      <c r="F120">
        <v>0</v>
      </c>
      <c r="G120">
        <v>12</v>
      </c>
      <c r="H120">
        <v>13</v>
      </c>
      <c r="I120">
        <v>4</v>
      </c>
      <c r="J120">
        <v>114.9</v>
      </c>
      <c r="K120">
        <v>0</v>
      </c>
      <c r="L120">
        <v>80</v>
      </c>
      <c r="M120">
        <v>309.2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389.2</v>
      </c>
      <c r="T120">
        <v>27</v>
      </c>
      <c r="U120">
        <v>12</v>
      </c>
      <c r="V120">
        <v>0</v>
      </c>
      <c r="W120">
        <v>1872</v>
      </c>
      <c r="X120">
        <v>839.7</v>
      </c>
      <c r="Y120">
        <v>0</v>
      </c>
      <c r="Z120">
        <v>1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1</v>
      </c>
      <c r="AH120">
        <v>3</v>
      </c>
      <c r="AI120">
        <v>2266001</v>
      </c>
      <c r="AJ120">
        <f t="shared" si="3"/>
        <v>324</v>
      </c>
      <c r="AK120">
        <f t="shared" si="4"/>
        <v>311</v>
      </c>
      <c r="AL120">
        <f t="shared" si="5"/>
        <v>2042.9166666666667</v>
      </c>
    </row>
    <row r="121" spans="1:38" x14ac:dyDescent="0.2">
      <c r="A121" t="s">
        <v>43</v>
      </c>
      <c r="B121">
        <v>99</v>
      </c>
      <c r="C121">
        <v>39</v>
      </c>
      <c r="D121">
        <v>0</v>
      </c>
      <c r="E121">
        <v>0</v>
      </c>
      <c r="F121">
        <v>0</v>
      </c>
      <c r="G121">
        <v>12</v>
      </c>
      <c r="H121">
        <v>15</v>
      </c>
      <c r="I121">
        <v>3</v>
      </c>
      <c r="J121">
        <v>75.7</v>
      </c>
      <c r="K121">
        <v>0</v>
      </c>
      <c r="L121">
        <v>80</v>
      </c>
      <c r="M121">
        <v>233.7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313.7</v>
      </c>
      <c r="T121">
        <v>28</v>
      </c>
      <c r="U121">
        <v>12</v>
      </c>
      <c r="V121">
        <v>0</v>
      </c>
      <c r="W121">
        <v>1854</v>
      </c>
      <c r="X121">
        <v>1050.8</v>
      </c>
      <c r="Y121">
        <v>1.2</v>
      </c>
      <c r="Z121">
        <v>1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1</v>
      </c>
      <c r="AG121">
        <v>1</v>
      </c>
      <c r="AH121">
        <v>4</v>
      </c>
      <c r="AI121">
        <v>1114201</v>
      </c>
      <c r="AJ121">
        <f t="shared" si="3"/>
        <v>336</v>
      </c>
      <c r="AK121">
        <f t="shared" si="4"/>
        <v>321</v>
      </c>
      <c r="AL121">
        <f t="shared" si="5"/>
        <v>2043.75</v>
      </c>
    </row>
    <row r="122" spans="1:38" x14ac:dyDescent="0.2">
      <c r="A122" t="s">
        <v>43</v>
      </c>
      <c r="B122">
        <v>99</v>
      </c>
      <c r="C122">
        <v>39</v>
      </c>
      <c r="D122">
        <v>0</v>
      </c>
      <c r="E122">
        <v>0</v>
      </c>
      <c r="F122">
        <v>0</v>
      </c>
      <c r="G122">
        <v>12</v>
      </c>
      <c r="H122">
        <v>17</v>
      </c>
      <c r="I122">
        <v>2</v>
      </c>
      <c r="J122">
        <v>75.7</v>
      </c>
      <c r="K122">
        <v>0</v>
      </c>
      <c r="L122">
        <v>80</v>
      </c>
      <c r="M122">
        <v>228.6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308.60000000000002</v>
      </c>
      <c r="T122">
        <v>25</v>
      </c>
      <c r="U122">
        <v>12</v>
      </c>
      <c r="V122">
        <v>0</v>
      </c>
      <c r="W122">
        <v>2448</v>
      </c>
      <c r="X122">
        <v>10881.6</v>
      </c>
      <c r="Y122">
        <v>106.8</v>
      </c>
      <c r="Z122">
        <v>1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</v>
      </c>
      <c r="AG122">
        <v>1</v>
      </c>
      <c r="AH122">
        <v>4</v>
      </c>
      <c r="AI122">
        <v>456402</v>
      </c>
      <c r="AJ122">
        <f t="shared" si="3"/>
        <v>300</v>
      </c>
      <c r="AK122">
        <f t="shared" si="4"/>
        <v>283</v>
      </c>
      <c r="AL122">
        <f t="shared" si="5"/>
        <v>2040.5833333333333</v>
      </c>
    </row>
    <row r="123" spans="1:38" x14ac:dyDescent="0.2">
      <c r="A123" t="s">
        <v>43</v>
      </c>
      <c r="B123">
        <v>99</v>
      </c>
      <c r="C123">
        <v>40</v>
      </c>
      <c r="D123">
        <v>0</v>
      </c>
      <c r="E123">
        <v>0</v>
      </c>
      <c r="F123">
        <v>0</v>
      </c>
      <c r="G123">
        <v>12</v>
      </c>
      <c r="H123">
        <v>6</v>
      </c>
      <c r="I123">
        <v>5</v>
      </c>
      <c r="J123">
        <v>114.9</v>
      </c>
      <c r="K123">
        <v>0</v>
      </c>
      <c r="L123">
        <v>80</v>
      </c>
      <c r="M123">
        <v>288.10000000000002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368.1</v>
      </c>
      <c r="T123">
        <v>29</v>
      </c>
      <c r="U123">
        <v>12</v>
      </c>
      <c r="V123">
        <v>0</v>
      </c>
      <c r="W123">
        <v>1200</v>
      </c>
      <c r="X123">
        <v>210.4</v>
      </c>
      <c r="Y123">
        <v>0</v>
      </c>
      <c r="Z123">
        <v>1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1</v>
      </c>
      <c r="AH123">
        <v>3</v>
      </c>
      <c r="AI123">
        <v>2335401</v>
      </c>
      <c r="AJ123">
        <f t="shared" si="3"/>
        <v>348</v>
      </c>
      <c r="AK123">
        <f t="shared" si="4"/>
        <v>342</v>
      </c>
      <c r="AL123">
        <f t="shared" si="5"/>
        <v>2045.5</v>
      </c>
    </row>
    <row r="124" spans="1:38" x14ac:dyDescent="0.2">
      <c r="A124" t="s">
        <v>43</v>
      </c>
      <c r="B124">
        <v>99</v>
      </c>
      <c r="C124">
        <v>40</v>
      </c>
      <c r="D124">
        <v>0</v>
      </c>
      <c r="E124">
        <v>0</v>
      </c>
      <c r="F124">
        <v>0</v>
      </c>
      <c r="G124">
        <v>12</v>
      </c>
      <c r="H124">
        <v>7</v>
      </c>
      <c r="I124">
        <v>5</v>
      </c>
      <c r="J124">
        <v>75.7</v>
      </c>
      <c r="K124">
        <v>0</v>
      </c>
      <c r="L124">
        <v>80</v>
      </c>
      <c r="M124">
        <v>400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480</v>
      </c>
      <c r="T124">
        <v>30</v>
      </c>
      <c r="U124">
        <v>12</v>
      </c>
      <c r="V124">
        <v>0</v>
      </c>
      <c r="W124">
        <v>1800</v>
      </c>
      <c r="X124">
        <v>437.9</v>
      </c>
      <c r="Y124">
        <v>0</v>
      </c>
      <c r="Z124">
        <v>1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1</v>
      </c>
      <c r="AG124">
        <v>1</v>
      </c>
      <c r="AH124">
        <v>4</v>
      </c>
      <c r="AI124">
        <v>2322501</v>
      </c>
      <c r="AJ124">
        <f t="shared" si="3"/>
        <v>360</v>
      </c>
      <c r="AK124">
        <f t="shared" si="4"/>
        <v>353</v>
      </c>
      <c r="AL124">
        <f t="shared" si="5"/>
        <v>2046.4166666666667</v>
      </c>
    </row>
    <row r="125" spans="1:38" x14ac:dyDescent="0.2">
      <c r="A125" t="s">
        <v>43</v>
      </c>
      <c r="B125">
        <v>99</v>
      </c>
      <c r="C125">
        <v>40</v>
      </c>
      <c r="D125">
        <v>0</v>
      </c>
      <c r="E125">
        <v>0</v>
      </c>
      <c r="F125">
        <v>0</v>
      </c>
      <c r="G125">
        <v>12</v>
      </c>
      <c r="H125">
        <v>7</v>
      </c>
      <c r="I125">
        <v>5</v>
      </c>
      <c r="J125">
        <v>114.9</v>
      </c>
      <c r="K125">
        <v>0</v>
      </c>
      <c r="L125">
        <v>80</v>
      </c>
      <c r="M125">
        <v>248.6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328.6</v>
      </c>
      <c r="T125">
        <v>24</v>
      </c>
      <c r="U125">
        <v>12</v>
      </c>
      <c r="V125">
        <v>0</v>
      </c>
      <c r="W125">
        <v>1440</v>
      </c>
      <c r="X125">
        <v>341.1</v>
      </c>
      <c r="Y125">
        <v>0</v>
      </c>
      <c r="Z125">
        <v>1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1</v>
      </c>
      <c r="AH125">
        <v>3</v>
      </c>
      <c r="AI125">
        <v>2322902</v>
      </c>
      <c r="AJ125">
        <f t="shared" si="3"/>
        <v>288</v>
      </c>
      <c r="AK125">
        <f t="shared" si="4"/>
        <v>281</v>
      </c>
      <c r="AL125">
        <f t="shared" si="5"/>
        <v>2040.4166666666667</v>
      </c>
    </row>
    <row r="126" spans="1:38" x14ac:dyDescent="0.2">
      <c r="A126" t="s">
        <v>43</v>
      </c>
      <c r="B126">
        <v>99</v>
      </c>
      <c r="C126">
        <v>40</v>
      </c>
      <c r="D126">
        <v>0</v>
      </c>
      <c r="E126">
        <v>0</v>
      </c>
      <c r="F126">
        <v>0</v>
      </c>
      <c r="G126">
        <v>12</v>
      </c>
      <c r="H126">
        <v>13</v>
      </c>
      <c r="I126">
        <v>0</v>
      </c>
      <c r="J126">
        <v>81.7</v>
      </c>
      <c r="K126">
        <v>0</v>
      </c>
      <c r="L126">
        <v>80</v>
      </c>
      <c r="M126">
        <v>95.4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175.4</v>
      </c>
      <c r="T126">
        <v>26</v>
      </c>
      <c r="U126">
        <v>12</v>
      </c>
      <c r="V126">
        <v>0</v>
      </c>
      <c r="W126">
        <v>1200</v>
      </c>
      <c r="X126">
        <v>993.9</v>
      </c>
      <c r="Y126">
        <v>0</v>
      </c>
      <c r="Z126">
        <v>1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</v>
      </c>
      <c r="AG126">
        <v>1</v>
      </c>
      <c r="AH126">
        <v>4</v>
      </c>
      <c r="AI126">
        <v>2268801</v>
      </c>
      <c r="AJ126">
        <f t="shared" si="3"/>
        <v>312</v>
      </c>
      <c r="AK126">
        <f t="shared" si="4"/>
        <v>299</v>
      </c>
      <c r="AL126">
        <f t="shared" si="5"/>
        <v>2041.9166666666667</v>
      </c>
    </row>
    <row r="127" spans="1:38" x14ac:dyDescent="0.2">
      <c r="A127" t="s">
        <v>43</v>
      </c>
      <c r="B127">
        <v>99</v>
      </c>
      <c r="C127">
        <v>40</v>
      </c>
      <c r="D127">
        <v>0</v>
      </c>
      <c r="E127">
        <v>0</v>
      </c>
      <c r="F127">
        <v>0</v>
      </c>
      <c r="G127">
        <v>12</v>
      </c>
      <c r="H127">
        <v>17</v>
      </c>
      <c r="I127">
        <v>3</v>
      </c>
      <c r="J127">
        <v>81.7</v>
      </c>
      <c r="K127">
        <v>0</v>
      </c>
      <c r="L127">
        <v>80</v>
      </c>
      <c r="M127">
        <v>179.4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259.39999999999998</v>
      </c>
      <c r="T127">
        <v>25</v>
      </c>
      <c r="U127">
        <v>12</v>
      </c>
      <c r="V127">
        <v>0</v>
      </c>
      <c r="W127">
        <v>1569.7</v>
      </c>
      <c r="X127">
        <v>4122.3999999999996</v>
      </c>
      <c r="Y127">
        <v>36</v>
      </c>
      <c r="Z127">
        <v>1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1</v>
      </c>
      <c r="AG127">
        <v>1</v>
      </c>
      <c r="AH127">
        <v>4</v>
      </c>
      <c r="AI127">
        <v>590803</v>
      </c>
      <c r="AJ127">
        <f t="shared" si="3"/>
        <v>300</v>
      </c>
      <c r="AK127">
        <f t="shared" si="4"/>
        <v>283</v>
      </c>
      <c r="AL127">
        <f t="shared" si="5"/>
        <v>2040.5833333333333</v>
      </c>
    </row>
    <row r="128" spans="1:38" x14ac:dyDescent="0.2">
      <c r="A128" t="s">
        <v>43</v>
      </c>
      <c r="B128">
        <v>99</v>
      </c>
      <c r="C128">
        <v>40</v>
      </c>
      <c r="D128">
        <v>0</v>
      </c>
      <c r="E128">
        <v>0</v>
      </c>
      <c r="F128">
        <v>0</v>
      </c>
      <c r="G128">
        <v>12</v>
      </c>
      <c r="H128">
        <v>23</v>
      </c>
      <c r="I128">
        <v>0</v>
      </c>
      <c r="J128">
        <v>81.7</v>
      </c>
      <c r="K128">
        <v>0</v>
      </c>
      <c r="L128">
        <v>80</v>
      </c>
      <c r="M128">
        <v>138.30000000000001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218.3</v>
      </c>
      <c r="T128">
        <v>25</v>
      </c>
      <c r="U128">
        <v>12</v>
      </c>
      <c r="V128">
        <v>0</v>
      </c>
      <c r="W128">
        <v>1800</v>
      </c>
      <c r="X128">
        <v>1692.3</v>
      </c>
      <c r="Y128">
        <v>24</v>
      </c>
      <c r="Z128">
        <v>1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1</v>
      </c>
      <c r="AG128">
        <v>1</v>
      </c>
      <c r="AH128">
        <v>4</v>
      </c>
      <c r="AI128">
        <v>1874202</v>
      </c>
      <c r="AJ128">
        <f t="shared" si="3"/>
        <v>300</v>
      </c>
      <c r="AK128">
        <f t="shared" si="4"/>
        <v>277</v>
      </c>
      <c r="AL128">
        <f t="shared" si="5"/>
        <v>2040.0833333333333</v>
      </c>
    </row>
    <row r="129" spans="1:38" x14ac:dyDescent="0.2">
      <c r="A129" t="s">
        <v>43</v>
      </c>
      <c r="B129">
        <v>99</v>
      </c>
      <c r="C129">
        <v>41</v>
      </c>
      <c r="D129">
        <v>0</v>
      </c>
      <c r="E129">
        <v>0</v>
      </c>
      <c r="F129">
        <v>0</v>
      </c>
      <c r="G129">
        <v>12</v>
      </c>
      <c r="H129">
        <v>20</v>
      </c>
      <c r="I129">
        <v>0</v>
      </c>
      <c r="J129">
        <v>88.2</v>
      </c>
      <c r="K129">
        <v>0</v>
      </c>
      <c r="L129">
        <v>80</v>
      </c>
      <c r="M129">
        <v>122.5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202.5</v>
      </c>
      <c r="T129">
        <v>22</v>
      </c>
      <c r="U129">
        <v>12</v>
      </c>
      <c r="V129">
        <v>0</v>
      </c>
      <c r="W129">
        <v>1680</v>
      </c>
      <c r="X129">
        <v>1363.5</v>
      </c>
      <c r="Y129">
        <v>11.3</v>
      </c>
      <c r="Z129">
        <v>1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1</v>
      </c>
      <c r="AG129">
        <v>1</v>
      </c>
      <c r="AH129">
        <v>4</v>
      </c>
      <c r="AI129">
        <v>74702</v>
      </c>
      <c r="AJ129">
        <f t="shared" si="3"/>
        <v>264</v>
      </c>
      <c r="AK129">
        <f t="shared" si="4"/>
        <v>244</v>
      </c>
      <c r="AL129">
        <f t="shared" si="5"/>
        <v>2037.3333333333333</v>
      </c>
    </row>
    <row r="130" spans="1:38" x14ac:dyDescent="0.2">
      <c r="A130" t="s">
        <v>43</v>
      </c>
      <c r="B130">
        <v>99</v>
      </c>
      <c r="C130">
        <v>41</v>
      </c>
      <c r="D130">
        <v>0</v>
      </c>
      <c r="E130">
        <v>0</v>
      </c>
      <c r="F130">
        <v>0</v>
      </c>
      <c r="G130">
        <v>12</v>
      </c>
      <c r="H130">
        <v>27</v>
      </c>
      <c r="I130">
        <v>2</v>
      </c>
      <c r="J130">
        <v>95.5</v>
      </c>
      <c r="K130">
        <v>0</v>
      </c>
      <c r="L130">
        <v>80</v>
      </c>
      <c r="M130">
        <v>208.6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288.60000000000002</v>
      </c>
      <c r="T130">
        <v>24</v>
      </c>
      <c r="U130">
        <v>12</v>
      </c>
      <c r="V130">
        <v>0</v>
      </c>
      <c r="W130">
        <v>2060</v>
      </c>
      <c r="X130">
        <v>5780.7</v>
      </c>
      <c r="Y130">
        <v>170.3</v>
      </c>
      <c r="Z130">
        <v>1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1</v>
      </c>
      <c r="AG130">
        <v>1</v>
      </c>
      <c r="AH130">
        <v>4</v>
      </c>
      <c r="AI130">
        <v>666303</v>
      </c>
      <c r="AJ130">
        <f t="shared" si="3"/>
        <v>288</v>
      </c>
      <c r="AK130">
        <f t="shared" si="4"/>
        <v>261</v>
      </c>
      <c r="AL130">
        <f t="shared" si="5"/>
        <v>2038.75</v>
      </c>
    </row>
    <row r="131" spans="1:38" x14ac:dyDescent="0.2">
      <c r="A131" t="s">
        <v>43</v>
      </c>
      <c r="B131">
        <v>99</v>
      </c>
      <c r="C131">
        <v>43</v>
      </c>
      <c r="D131">
        <v>0</v>
      </c>
      <c r="E131">
        <v>0</v>
      </c>
      <c r="F131">
        <v>0</v>
      </c>
      <c r="G131">
        <v>12</v>
      </c>
      <c r="H131">
        <v>7</v>
      </c>
      <c r="I131">
        <v>5</v>
      </c>
      <c r="J131">
        <v>143.19999999999999</v>
      </c>
      <c r="K131">
        <v>0</v>
      </c>
      <c r="L131">
        <v>80</v>
      </c>
      <c r="M131">
        <v>644.9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724.9</v>
      </c>
      <c r="T131">
        <v>26</v>
      </c>
      <c r="U131">
        <v>12</v>
      </c>
      <c r="V131">
        <v>0</v>
      </c>
      <c r="W131">
        <v>2640</v>
      </c>
      <c r="X131">
        <v>623.4</v>
      </c>
      <c r="Y131">
        <v>0</v>
      </c>
      <c r="Z131">
        <v>1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1</v>
      </c>
      <c r="AH131">
        <v>3</v>
      </c>
      <c r="AI131">
        <v>2322701</v>
      </c>
      <c r="AJ131">
        <f t="shared" si="3"/>
        <v>312</v>
      </c>
      <c r="AK131">
        <f t="shared" si="4"/>
        <v>305</v>
      </c>
      <c r="AL131">
        <f t="shared" si="5"/>
        <v>2042.4166666666667</v>
      </c>
    </row>
    <row r="132" spans="1:38" x14ac:dyDescent="0.2">
      <c r="A132" t="s">
        <v>43</v>
      </c>
      <c r="B132">
        <v>99</v>
      </c>
      <c r="C132">
        <v>43</v>
      </c>
      <c r="D132">
        <v>0</v>
      </c>
      <c r="E132">
        <v>0</v>
      </c>
      <c r="F132">
        <v>0</v>
      </c>
      <c r="G132">
        <v>12</v>
      </c>
      <c r="H132">
        <v>8</v>
      </c>
      <c r="I132">
        <v>5</v>
      </c>
      <c r="J132">
        <v>143.19999999999999</v>
      </c>
      <c r="K132">
        <v>0</v>
      </c>
      <c r="L132">
        <v>80</v>
      </c>
      <c r="M132">
        <v>312.8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392.8</v>
      </c>
      <c r="T132">
        <v>27</v>
      </c>
      <c r="U132">
        <v>12</v>
      </c>
      <c r="V132">
        <v>0</v>
      </c>
      <c r="W132">
        <v>1200</v>
      </c>
      <c r="X132">
        <v>268.3</v>
      </c>
      <c r="Y132">
        <v>0</v>
      </c>
      <c r="Z132">
        <v>1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1</v>
      </c>
      <c r="AH132">
        <v>3</v>
      </c>
      <c r="AI132">
        <v>2316301</v>
      </c>
      <c r="AJ132">
        <f t="shared" si="3"/>
        <v>324</v>
      </c>
      <c r="AK132">
        <f t="shared" si="4"/>
        <v>316</v>
      </c>
      <c r="AL132">
        <f t="shared" si="5"/>
        <v>2043.3333333333333</v>
      </c>
    </row>
    <row r="133" spans="1:38" x14ac:dyDescent="0.2">
      <c r="A133" t="s">
        <v>43</v>
      </c>
      <c r="B133">
        <v>99</v>
      </c>
      <c r="C133">
        <v>43</v>
      </c>
      <c r="D133">
        <v>0</v>
      </c>
      <c r="E133">
        <v>0</v>
      </c>
      <c r="F133">
        <v>0</v>
      </c>
      <c r="G133">
        <v>12</v>
      </c>
      <c r="H133">
        <v>9</v>
      </c>
      <c r="I133">
        <v>5</v>
      </c>
      <c r="J133">
        <v>95.5</v>
      </c>
      <c r="K133">
        <v>0</v>
      </c>
      <c r="L133">
        <v>80</v>
      </c>
      <c r="M133">
        <v>680.5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760.5</v>
      </c>
      <c r="T133">
        <v>25</v>
      </c>
      <c r="U133">
        <v>12</v>
      </c>
      <c r="V133">
        <v>0</v>
      </c>
      <c r="W133">
        <v>3600</v>
      </c>
      <c r="X133">
        <v>1207.2</v>
      </c>
      <c r="Y133">
        <v>0</v>
      </c>
      <c r="Z133">
        <v>1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1</v>
      </c>
      <c r="AG133">
        <v>1</v>
      </c>
      <c r="AH133">
        <v>4</v>
      </c>
      <c r="AI133">
        <v>2300003</v>
      </c>
      <c r="AJ133">
        <f t="shared" si="3"/>
        <v>300</v>
      </c>
      <c r="AK133">
        <f t="shared" si="4"/>
        <v>291</v>
      </c>
      <c r="AL133">
        <f t="shared" si="5"/>
        <v>2041.25</v>
      </c>
    </row>
    <row r="134" spans="1:38" x14ac:dyDescent="0.2">
      <c r="A134" t="s">
        <v>43</v>
      </c>
      <c r="B134">
        <v>99</v>
      </c>
      <c r="C134">
        <v>43</v>
      </c>
      <c r="D134">
        <v>0</v>
      </c>
      <c r="E134">
        <v>0</v>
      </c>
      <c r="F134">
        <v>0</v>
      </c>
      <c r="G134">
        <v>12</v>
      </c>
      <c r="H134">
        <v>23</v>
      </c>
      <c r="I134">
        <v>0</v>
      </c>
      <c r="J134">
        <v>156</v>
      </c>
      <c r="K134">
        <v>0</v>
      </c>
      <c r="L134">
        <v>80</v>
      </c>
      <c r="M134">
        <v>184.1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264.10000000000002</v>
      </c>
      <c r="T134">
        <v>22</v>
      </c>
      <c r="U134">
        <v>12</v>
      </c>
      <c r="V134">
        <v>0</v>
      </c>
      <c r="W134">
        <v>1800</v>
      </c>
      <c r="X134">
        <v>1558.5</v>
      </c>
      <c r="Y134">
        <v>22.1</v>
      </c>
      <c r="Z134">
        <v>1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1</v>
      </c>
      <c r="AH134">
        <v>3</v>
      </c>
      <c r="AI134">
        <v>1876802</v>
      </c>
      <c r="AJ134">
        <f t="shared" si="3"/>
        <v>264</v>
      </c>
      <c r="AK134">
        <f t="shared" si="4"/>
        <v>241</v>
      </c>
      <c r="AL134">
        <f t="shared" si="5"/>
        <v>2037.0833333333333</v>
      </c>
    </row>
    <row r="135" spans="1:38" x14ac:dyDescent="0.2">
      <c r="A135" t="s">
        <v>43</v>
      </c>
      <c r="B135">
        <v>99</v>
      </c>
      <c r="C135">
        <v>43</v>
      </c>
      <c r="D135">
        <v>0</v>
      </c>
      <c r="E135">
        <v>0</v>
      </c>
      <c r="F135">
        <v>0</v>
      </c>
      <c r="G135">
        <v>12</v>
      </c>
      <c r="H135">
        <v>25</v>
      </c>
      <c r="I135">
        <v>0</v>
      </c>
      <c r="J135">
        <v>170.8</v>
      </c>
      <c r="K135">
        <v>0</v>
      </c>
      <c r="L135">
        <v>80</v>
      </c>
      <c r="M135">
        <v>207.8</v>
      </c>
      <c r="N135">
        <v>0</v>
      </c>
      <c r="O135">
        <v>0</v>
      </c>
      <c r="P135">
        <v>101.9</v>
      </c>
      <c r="Q135">
        <v>0</v>
      </c>
      <c r="R135">
        <v>48.1</v>
      </c>
      <c r="S135">
        <v>437.8</v>
      </c>
      <c r="T135">
        <v>22</v>
      </c>
      <c r="U135">
        <v>12</v>
      </c>
      <c r="V135">
        <v>0</v>
      </c>
      <c r="W135">
        <v>1950</v>
      </c>
      <c r="X135">
        <v>1694.7</v>
      </c>
      <c r="Y135">
        <v>31.5</v>
      </c>
      <c r="Z135">
        <v>1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1</v>
      </c>
      <c r="AH135">
        <v>3</v>
      </c>
      <c r="AI135">
        <v>1853502</v>
      </c>
      <c r="AJ135">
        <f t="shared" ref="AJ135:AJ153" si="6">T135*12</f>
        <v>264</v>
      </c>
      <c r="AK135">
        <f t="shared" ref="AK135:AK153" si="7">AJ135-H135</f>
        <v>239</v>
      </c>
      <c r="AL135">
        <f t="shared" ref="AL135:AL153" si="8">2017+AK135/12</f>
        <v>2036.9166666666667</v>
      </c>
    </row>
    <row r="136" spans="1:38" x14ac:dyDescent="0.2">
      <c r="A136" t="s">
        <v>43</v>
      </c>
      <c r="B136">
        <v>99</v>
      </c>
      <c r="C136">
        <v>44</v>
      </c>
      <c r="D136">
        <v>0</v>
      </c>
      <c r="E136">
        <v>0</v>
      </c>
      <c r="F136">
        <v>0</v>
      </c>
      <c r="G136">
        <v>12</v>
      </c>
      <c r="H136">
        <v>13</v>
      </c>
      <c r="I136">
        <v>0</v>
      </c>
      <c r="J136">
        <v>170.8</v>
      </c>
      <c r="K136">
        <v>0</v>
      </c>
      <c r="L136">
        <v>80</v>
      </c>
      <c r="M136">
        <v>127.9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207.9</v>
      </c>
      <c r="T136">
        <v>21</v>
      </c>
      <c r="U136">
        <v>12</v>
      </c>
      <c r="V136">
        <v>0</v>
      </c>
      <c r="W136">
        <v>1200</v>
      </c>
      <c r="X136">
        <v>971.7</v>
      </c>
      <c r="Y136">
        <v>0</v>
      </c>
      <c r="Z136">
        <v>1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1</v>
      </c>
      <c r="AH136">
        <v>3</v>
      </c>
      <c r="AI136">
        <v>2270601</v>
      </c>
      <c r="AJ136">
        <f t="shared" si="6"/>
        <v>252</v>
      </c>
      <c r="AK136">
        <f t="shared" si="7"/>
        <v>239</v>
      </c>
      <c r="AL136">
        <f t="shared" si="8"/>
        <v>2036.9166666666667</v>
      </c>
    </row>
    <row r="137" spans="1:38" x14ac:dyDescent="0.2">
      <c r="A137" t="s">
        <v>43</v>
      </c>
      <c r="B137">
        <v>99</v>
      </c>
      <c r="C137">
        <v>44</v>
      </c>
      <c r="D137">
        <v>0</v>
      </c>
      <c r="E137">
        <v>0</v>
      </c>
      <c r="F137">
        <v>0</v>
      </c>
      <c r="G137">
        <v>12</v>
      </c>
      <c r="H137">
        <v>14</v>
      </c>
      <c r="I137">
        <v>3</v>
      </c>
      <c r="J137">
        <v>112.5</v>
      </c>
      <c r="K137">
        <v>0</v>
      </c>
      <c r="L137">
        <v>80</v>
      </c>
      <c r="M137">
        <v>179.3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259.3</v>
      </c>
      <c r="T137">
        <v>25</v>
      </c>
      <c r="U137">
        <v>12</v>
      </c>
      <c r="V137">
        <v>0</v>
      </c>
      <c r="W137">
        <v>1236</v>
      </c>
      <c r="X137">
        <v>579.70000000000005</v>
      </c>
      <c r="Y137">
        <v>0.2</v>
      </c>
      <c r="Z137">
        <v>1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1</v>
      </c>
      <c r="AG137">
        <v>1</v>
      </c>
      <c r="AH137">
        <v>4</v>
      </c>
      <c r="AI137">
        <v>626102</v>
      </c>
      <c r="AJ137">
        <f t="shared" si="6"/>
        <v>300</v>
      </c>
      <c r="AK137">
        <f t="shared" si="7"/>
        <v>286</v>
      </c>
      <c r="AL137">
        <f t="shared" si="8"/>
        <v>2040.8333333333333</v>
      </c>
    </row>
    <row r="138" spans="1:38" x14ac:dyDescent="0.2">
      <c r="A138" t="s">
        <v>43</v>
      </c>
      <c r="B138">
        <v>99</v>
      </c>
      <c r="C138">
        <v>44</v>
      </c>
      <c r="D138">
        <v>0</v>
      </c>
      <c r="E138">
        <v>0</v>
      </c>
      <c r="F138">
        <v>0</v>
      </c>
      <c r="G138">
        <v>12</v>
      </c>
      <c r="H138">
        <v>19</v>
      </c>
      <c r="I138">
        <v>0</v>
      </c>
      <c r="J138">
        <v>170.8</v>
      </c>
      <c r="K138">
        <v>0</v>
      </c>
      <c r="L138">
        <v>80</v>
      </c>
      <c r="M138">
        <v>127.9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207.9</v>
      </c>
      <c r="T138">
        <v>21</v>
      </c>
      <c r="U138">
        <v>12</v>
      </c>
      <c r="V138">
        <v>0</v>
      </c>
      <c r="W138">
        <v>1200</v>
      </c>
      <c r="X138">
        <v>774.5</v>
      </c>
      <c r="Y138">
        <v>5.0999999999999996</v>
      </c>
      <c r="Z138">
        <v>1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3</v>
      </c>
      <c r="AI138">
        <v>1912502</v>
      </c>
      <c r="AJ138">
        <f t="shared" si="6"/>
        <v>252</v>
      </c>
      <c r="AK138">
        <f t="shared" si="7"/>
        <v>233</v>
      </c>
      <c r="AL138">
        <f t="shared" si="8"/>
        <v>2036.4166666666667</v>
      </c>
    </row>
    <row r="139" spans="1:38" x14ac:dyDescent="0.2">
      <c r="A139" t="s">
        <v>43</v>
      </c>
      <c r="B139">
        <v>99</v>
      </c>
      <c r="C139">
        <v>45</v>
      </c>
      <c r="D139">
        <v>0</v>
      </c>
      <c r="E139">
        <v>0</v>
      </c>
      <c r="F139">
        <v>0</v>
      </c>
      <c r="G139">
        <v>12</v>
      </c>
      <c r="H139">
        <v>4</v>
      </c>
      <c r="I139">
        <v>5</v>
      </c>
      <c r="J139">
        <v>170.8</v>
      </c>
      <c r="K139">
        <v>0</v>
      </c>
      <c r="L139">
        <v>80</v>
      </c>
      <c r="M139">
        <v>320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400</v>
      </c>
      <c r="T139">
        <v>25</v>
      </c>
      <c r="U139">
        <v>12</v>
      </c>
      <c r="V139">
        <v>0</v>
      </c>
      <c r="W139">
        <v>1200</v>
      </c>
      <c r="X139">
        <v>122.9</v>
      </c>
      <c r="Y139">
        <v>0</v>
      </c>
      <c r="Z139">
        <v>1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3</v>
      </c>
      <c r="AI139">
        <v>2291102</v>
      </c>
      <c r="AJ139">
        <f t="shared" si="6"/>
        <v>300</v>
      </c>
      <c r="AK139">
        <f t="shared" si="7"/>
        <v>296</v>
      </c>
      <c r="AL139">
        <f t="shared" si="8"/>
        <v>2041.6666666666667</v>
      </c>
    </row>
    <row r="140" spans="1:38" x14ac:dyDescent="0.2">
      <c r="A140" t="s">
        <v>43</v>
      </c>
      <c r="B140">
        <v>99</v>
      </c>
      <c r="C140">
        <v>45</v>
      </c>
      <c r="D140">
        <v>0</v>
      </c>
      <c r="E140">
        <v>0</v>
      </c>
      <c r="F140">
        <v>0</v>
      </c>
      <c r="G140">
        <v>12</v>
      </c>
      <c r="H140">
        <v>10</v>
      </c>
      <c r="I140">
        <v>5</v>
      </c>
      <c r="J140">
        <v>112.5</v>
      </c>
      <c r="K140">
        <v>0</v>
      </c>
      <c r="L140">
        <v>80</v>
      </c>
      <c r="M140">
        <v>383.6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463.6</v>
      </c>
      <c r="T140">
        <v>25</v>
      </c>
      <c r="U140">
        <v>12</v>
      </c>
      <c r="V140">
        <v>0</v>
      </c>
      <c r="W140">
        <v>1800</v>
      </c>
      <c r="X140">
        <v>598.70000000000005</v>
      </c>
      <c r="Y140">
        <v>0</v>
      </c>
      <c r="Z140">
        <v>1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1</v>
      </c>
      <c r="AG140">
        <v>1</v>
      </c>
      <c r="AH140">
        <v>4</v>
      </c>
      <c r="AI140">
        <v>2289901</v>
      </c>
      <c r="AJ140">
        <f t="shared" si="6"/>
        <v>300</v>
      </c>
      <c r="AK140">
        <f t="shared" si="7"/>
        <v>290</v>
      </c>
      <c r="AL140">
        <f t="shared" si="8"/>
        <v>2041.1666666666667</v>
      </c>
    </row>
    <row r="141" spans="1:38" x14ac:dyDescent="0.2">
      <c r="A141" t="s">
        <v>43</v>
      </c>
      <c r="B141">
        <v>99</v>
      </c>
      <c r="C141">
        <v>45</v>
      </c>
      <c r="D141">
        <v>0</v>
      </c>
      <c r="E141">
        <v>0</v>
      </c>
      <c r="F141">
        <v>0</v>
      </c>
      <c r="G141">
        <v>12</v>
      </c>
      <c r="H141">
        <v>13</v>
      </c>
      <c r="I141">
        <v>5</v>
      </c>
      <c r="J141">
        <v>122.1</v>
      </c>
      <c r="K141">
        <v>0</v>
      </c>
      <c r="L141">
        <v>80</v>
      </c>
      <c r="M141">
        <v>274.5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354.5</v>
      </c>
      <c r="T141">
        <v>20</v>
      </c>
      <c r="U141">
        <v>12</v>
      </c>
      <c r="V141">
        <v>0</v>
      </c>
      <c r="W141">
        <v>1890</v>
      </c>
      <c r="X141">
        <v>856.3</v>
      </c>
      <c r="Y141">
        <v>0</v>
      </c>
      <c r="Z141">
        <v>1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1</v>
      </c>
      <c r="AG141">
        <v>1</v>
      </c>
      <c r="AH141">
        <v>4</v>
      </c>
      <c r="AI141">
        <v>1944702</v>
      </c>
      <c r="AJ141">
        <f t="shared" si="6"/>
        <v>240</v>
      </c>
      <c r="AK141">
        <f t="shared" si="7"/>
        <v>227</v>
      </c>
      <c r="AL141">
        <f t="shared" si="8"/>
        <v>2035.9166666666667</v>
      </c>
    </row>
    <row r="142" spans="1:38" x14ac:dyDescent="0.2">
      <c r="A142" t="s">
        <v>43</v>
      </c>
      <c r="B142">
        <v>99</v>
      </c>
      <c r="C142">
        <v>45</v>
      </c>
      <c r="D142">
        <v>0</v>
      </c>
      <c r="E142">
        <v>0</v>
      </c>
      <c r="F142">
        <v>0</v>
      </c>
      <c r="G142">
        <v>12</v>
      </c>
      <c r="H142">
        <v>20</v>
      </c>
      <c r="I142">
        <v>3</v>
      </c>
      <c r="J142">
        <v>187.6</v>
      </c>
      <c r="K142">
        <v>0</v>
      </c>
      <c r="L142">
        <v>80</v>
      </c>
      <c r="M142">
        <v>212.3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292.3</v>
      </c>
      <c r="T142">
        <v>21</v>
      </c>
      <c r="U142">
        <v>12</v>
      </c>
      <c r="V142">
        <v>0</v>
      </c>
      <c r="W142">
        <v>1334.9</v>
      </c>
      <c r="X142">
        <v>829.6</v>
      </c>
      <c r="Y142">
        <v>6.8</v>
      </c>
      <c r="Z142">
        <v>1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1</v>
      </c>
      <c r="AH142">
        <v>3</v>
      </c>
      <c r="AI142">
        <v>2233301</v>
      </c>
      <c r="AJ142">
        <f t="shared" si="6"/>
        <v>252</v>
      </c>
      <c r="AK142">
        <f t="shared" si="7"/>
        <v>232</v>
      </c>
      <c r="AL142">
        <f t="shared" si="8"/>
        <v>2036.3333333333333</v>
      </c>
    </row>
    <row r="143" spans="1:38" x14ac:dyDescent="0.2">
      <c r="A143" t="s">
        <v>43</v>
      </c>
      <c r="B143">
        <v>99</v>
      </c>
      <c r="C143">
        <v>45</v>
      </c>
      <c r="D143">
        <v>0</v>
      </c>
      <c r="E143">
        <v>0</v>
      </c>
      <c r="F143">
        <v>0</v>
      </c>
      <c r="G143">
        <v>12</v>
      </c>
      <c r="H143">
        <v>22</v>
      </c>
      <c r="I143">
        <v>3</v>
      </c>
      <c r="J143">
        <v>122.1</v>
      </c>
      <c r="K143">
        <v>0</v>
      </c>
      <c r="L143">
        <v>80</v>
      </c>
      <c r="M143">
        <v>199.7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279.7</v>
      </c>
      <c r="T143">
        <v>15</v>
      </c>
      <c r="U143">
        <v>12</v>
      </c>
      <c r="V143">
        <v>0</v>
      </c>
      <c r="W143">
        <v>2472</v>
      </c>
      <c r="X143">
        <v>2205.9</v>
      </c>
      <c r="Y143">
        <v>26.2</v>
      </c>
      <c r="Z143">
        <v>1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1</v>
      </c>
      <c r="AG143">
        <v>1</v>
      </c>
      <c r="AH143">
        <v>4</v>
      </c>
      <c r="AI143">
        <v>2205301</v>
      </c>
      <c r="AJ143">
        <f t="shared" si="6"/>
        <v>180</v>
      </c>
      <c r="AK143">
        <f t="shared" si="7"/>
        <v>158</v>
      </c>
      <c r="AL143">
        <f t="shared" si="8"/>
        <v>2030.1666666666667</v>
      </c>
    </row>
    <row r="144" spans="1:38" x14ac:dyDescent="0.2">
      <c r="A144" t="s">
        <v>43</v>
      </c>
      <c r="B144">
        <v>99</v>
      </c>
      <c r="C144">
        <v>46</v>
      </c>
      <c r="D144">
        <v>0</v>
      </c>
      <c r="E144">
        <v>0</v>
      </c>
      <c r="F144">
        <v>0</v>
      </c>
      <c r="G144">
        <v>12</v>
      </c>
      <c r="H144">
        <v>11</v>
      </c>
      <c r="I144">
        <v>5</v>
      </c>
      <c r="J144">
        <v>122.1</v>
      </c>
      <c r="K144">
        <v>0</v>
      </c>
      <c r="L144">
        <v>80</v>
      </c>
      <c r="M144">
        <v>348.6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428.6</v>
      </c>
      <c r="T144">
        <v>20</v>
      </c>
      <c r="U144">
        <v>12</v>
      </c>
      <c r="V144">
        <v>0</v>
      </c>
      <c r="W144">
        <v>2220</v>
      </c>
      <c r="X144">
        <v>897.6</v>
      </c>
      <c r="Y144">
        <v>0</v>
      </c>
      <c r="Z144">
        <v>1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1</v>
      </c>
      <c r="AH144">
        <v>4</v>
      </c>
      <c r="AI144">
        <v>2219901</v>
      </c>
      <c r="AJ144">
        <f t="shared" si="6"/>
        <v>240</v>
      </c>
      <c r="AK144">
        <f t="shared" si="7"/>
        <v>229</v>
      </c>
      <c r="AL144">
        <f t="shared" si="8"/>
        <v>2036.0833333333333</v>
      </c>
    </row>
    <row r="145" spans="1:38" x14ac:dyDescent="0.2">
      <c r="A145" t="s">
        <v>43</v>
      </c>
      <c r="B145">
        <v>99</v>
      </c>
      <c r="C145">
        <v>46</v>
      </c>
      <c r="D145">
        <v>0</v>
      </c>
      <c r="E145">
        <v>0</v>
      </c>
      <c r="F145">
        <v>0</v>
      </c>
      <c r="G145">
        <v>12</v>
      </c>
      <c r="H145">
        <v>11</v>
      </c>
      <c r="I145">
        <v>5</v>
      </c>
      <c r="J145">
        <v>187.6</v>
      </c>
      <c r="K145">
        <v>0</v>
      </c>
      <c r="L145">
        <v>80</v>
      </c>
      <c r="M145">
        <v>452.3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532.29999999999995</v>
      </c>
      <c r="T145">
        <v>20</v>
      </c>
      <c r="U145">
        <v>12</v>
      </c>
      <c r="V145">
        <v>0</v>
      </c>
      <c r="W145">
        <v>2220</v>
      </c>
      <c r="X145">
        <v>806.7</v>
      </c>
      <c r="Y145">
        <v>0</v>
      </c>
      <c r="Z145">
        <v>1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1</v>
      </c>
      <c r="AH145">
        <v>3</v>
      </c>
      <c r="AI145">
        <v>2219803</v>
      </c>
      <c r="AJ145">
        <f t="shared" si="6"/>
        <v>240</v>
      </c>
      <c r="AK145">
        <f t="shared" si="7"/>
        <v>229</v>
      </c>
      <c r="AL145">
        <f t="shared" si="8"/>
        <v>2036.0833333333333</v>
      </c>
    </row>
    <row r="146" spans="1:38" x14ac:dyDescent="0.2">
      <c r="A146" t="s">
        <v>43</v>
      </c>
      <c r="B146">
        <v>99</v>
      </c>
      <c r="C146">
        <v>46</v>
      </c>
      <c r="D146">
        <v>0</v>
      </c>
      <c r="E146">
        <v>0</v>
      </c>
      <c r="F146">
        <v>0</v>
      </c>
      <c r="G146">
        <v>12</v>
      </c>
      <c r="H146">
        <v>25</v>
      </c>
      <c r="I146">
        <v>0</v>
      </c>
      <c r="J146">
        <v>143.80000000000001</v>
      </c>
      <c r="K146">
        <v>0</v>
      </c>
      <c r="L146">
        <v>80</v>
      </c>
      <c r="M146">
        <v>162.1</v>
      </c>
      <c r="N146">
        <v>0</v>
      </c>
      <c r="O146">
        <v>0</v>
      </c>
      <c r="P146">
        <v>101.9</v>
      </c>
      <c r="Q146">
        <v>0</v>
      </c>
      <c r="R146">
        <v>48.1</v>
      </c>
      <c r="S146">
        <v>392.1</v>
      </c>
      <c r="T146">
        <v>18</v>
      </c>
      <c r="U146">
        <v>12</v>
      </c>
      <c r="V146">
        <v>0</v>
      </c>
      <c r="W146">
        <v>1950</v>
      </c>
      <c r="X146">
        <v>1757.7</v>
      </c>
      <c r="Y146">
        <v>32.700000000000003</v>
      </c>
      <c r="Z146">
        <v>1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1</v>
      </c>
      <c r="AG146">
        <v>1</v>
      </c>
      <c r="AH146">
        <v>4</v>
      </c>
      <c r="AI146">
        <v>1852402</v>
      </c>
      <c r="AJ146">
        <f t="shared" si="6"/>
        <v>216</v>
      </c>
      <c r="AK146">
        <f t="shared" si="7"/>
        <v>191</v>
      </c>
      <c r="AL146">
        <f t="shared" si="8"/>
        <v>2032.9166666666667</v>
      </c>
    </row>
    <row r="147" spans="1:38" x14ac:dyDescent="0.2">
      <c r="A147" t="s">
        <v>43</v>
      </c>
      <c r="B147">
        <v>99</v>
      </c>
      <c r="C147">
        <v>47</v>
      </c>
      <c r="D147">
        <v>0</v>
      </c>
      <c r="E147">
        <v>0</v>
      </c>
      <c r="F147">
        <v>0</v>
      </c>
      <c r="G147">
        <v>12</v>
      </c>
      <c r="H147">
        <v>15</v>
      </c>
      <c r="I147">
        <v>3</v>
      </c>
      <c r="J147">
        <v>143.80000000000001</v>
      </c>
      <c r="K147">
        <v>0</v>
      </c>
      <c r="L147">
        <v>80</v>
      </c>
      <c r="M147">
        <v>167.2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247.2</v>
      </c>
      <c r="T147">
        <v>22</v>
      </c>
      <c r="U147">
        <v>12</v>
      </c>
      <c r="V147">
        <v>0</v>
      </c>
      <c r="W147">
        <v>1483.2</v>
      </c>
      <c r="X147">
        <v>785</v>
      </c>
      <c r="Y147">
        <v>0.9</v>
      </c>
      <c r="Z147">
        <v>1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1</v>
      </c>
      <c r="AG147">
        <v>1</v>
      </c>
      <c r="AH147">
        <v>4</v>
      </c>
      <c r="AI147">
        <v>2257201</v>
      </c>
      <c r="AJ147">
        <f t="shared" si="6"/>
        <v>264</v>
      </c>
      <c r="AK147">
        <f t="shared" si="7"/>
        <v>249</v>
      </c>
      <c r="AL147">
        <f t="shared" si="8"/>
        <v>2037.75</v>
      </c>
    </row>
    <row r="148" spans="1:38" x14ac:dyDescent="0.2">
      <c r="A148" t="s">
        <v>43</v>
      </c>
      <c r="B148">
        <v>99</v>
      </c>
      <c r="C148">
        <v>48</v>
      </c>
      <c r="D148">
        <v>0</v>
      </c>
      <c r="E148">
        <v>0</v>
      </c>
      <c r="F148">
        <v>0</v>
      </c>
      <c r="G148">
        <v>12</v>
      </c>
      <c r="H148">
        <v>2</v>
      </c>
      <c r="I148">
        <v>3</v>
      </c>
      <c r="J148">
        <v>227.8</v>
      </c>
      <c r="K148">
        <v>0</v>
      </c>
      <c r="L148">
        <v>80</v>
      </c>
      <c r="M148">
        <v>224.8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304.8</v>
      </c>
      <c r="T148">
        <v>17</v>
      </c>
      <c r="U148">
        <v>12</v>
      </c>
      <c r="V148">
        <v>0</v>
      </c>
      <c r="W148">
        <v>1440</v>
      </c>
      <c r="X148">
        <v>88.7</v>
      </c>
      <c r="Y148">
        <v>0</v>
      </c>
      <c r="Z148">
        <v>1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1</v>
      </c>
      <c r="AH148">
        <v>3</v>
      </c>
      <c r="AI148">
        <v>2367701</v>
      </c>
      <c r="AJ148">
        <f t="shared" si="6"/>
        <v>204</v>
      </c>
      <c r="AK148">
        <f t="shared" si="7"/>
        <v>202</v>
      </c>
      <c r="AL148">
        <f t="shared" si="8"/>
        <v>2033.8333333333333</v>
      </c>
    </row>
    <row r="149" spans="1:38" x14ac:dyDescent="0.2">
      <c r="A149" t="s">
        <v>43</v>
      </c>
      <c r="B149">
        <v>99</v>
      </c>
      <c r="C149">
        <v>48</v>
      </c>
      <c r="D149">
        <v>0</v>
      </c>
      <c r="E149">
        <v>0</v>
      </c>
      <c r="F149">
        <v>0</v>
      </c>
      <c r="G149">
        <v>12</v>
      </c>
      <c r="H149">
        <v>14</v>
      </c>
      <c r="I149">
        <v>5</v>
      </c>
      <c r="J149">
        <v>156.1</v>
      </c>
      <c r="K149">
        <v>0</v>
      </c>
      <c r="L149">
        <v>80</v>
      </c>
      <c r="M149">
        <v>257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337</v>
      </c>
      <c r="T149">
        <v>17</v>
      </c>
      <c r="U149">
        <v>12</v>
      </c>
      <c r="V149">
        <v>0</v>
      </c>
      <c r="W149">
        <v>1890</v>
      </c>
      <c r="X149">
        <v>914.1</v>
      </c>
      <c r="Y149">
        <v>0.4</v>
      </c>
      <c r="Z149">
        <v>1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1</v>
      </c>
      <c r="AG149">
        <v>1</v>
      </c>
      <c r="AH149">
        <v>4</v>
      </c>
      <c r="AI149">
        <v>2258002</v>
      </c>
      <c r="AJ149">
        <f t="shared" si="6"/>
        <v>204</v>
      </c>
      <c r="AK149">
        <f t="shared" si="7"/>
        <v>190</v>
      </c>
      <c r="AL149">
        <f t="shared" si="8"/>
        <v>2032.8333333333333</v>
      </c>
    </row>
    <row r="150" spans="1:38" x14ac:dyDescent="0.2">
      <c r="A150" t="s">
        <v>43</v>
      </c>
      <c r="B150">
        <v>99</v>
      </c>
      <c r="C150">
        <v>51</v>
      </c>
      <c r="D150">
        <v>0</v>
      </c>
      <c r="E150">
        <v>0</v>
      </c>
      <c r="F150">
        <v>0</v>
      </c>
      <c r="G150">
        <v>12</v>
      </c>
      <c r="H150">
        <v>13</v>
      </c>
      <c r="I150">
        <v>5</v>
      </c>
      <c r="J150">
        <v>338</v>
      </c>
      <c r="K150">
        <v>0</v>
      </c>
      <c r="L150">
        <v>80</v>
      </c>
      <c r="M150">
        <v>472.1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552.1</v>
      </c>
      <c r="T150">
        <v>15</v>
      </c>
      <c r="U150">
        <v>12</v>
      </c>
      <c r="V150">
        <v>0</v>
      </c>
      <c r="W150">
        <v>1890</v>
      </c>
      <c r="X150">
        <v>613.70000000000005</v>
      </c>
      <c r="Y150">
        <v>0</v>
      </c>
      <c r="Z150">
        <v>1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1</v>
      </c>
      <c r="AH150">
        <v>3</v>
      </c>
      <c r="AI150">
        <v>791802</v>
      </c>
      <c r="AJ150">
        <f t="shared" si="6"/>
        <v>180</v>
      </c>
      <c r="AK150">
        <f t="shared" si="7"/>
        <v>167</v>
      </c>
      <c r="AL150">
        <f t="shared" si="8"/>
        <v>2030.9166666666667</v>
      </c>
    </row>
    <row r="151" spans="1:38" x14ac:dyDescent="0.2">
      <c r="A151" t="s">
        <v>43</v>
      </c>
      <c r="B151">
        <v>99</v>
      </c>
      <c r="C151">
        <v>51</v>
      </c>
      <c r="D151">
        <v>0</v>
      </c>
      <c r="E151">
        <v>0</v>
      </c>
      <c r="F151">
        <v>0</v>
      </c>
      <c r="G151">
        <v>12</v>
      </c>
      <c r="H151">
        <v>14</v>
      </c>
      <c r="I151">
        <v>3</v>
      </c>
      <c r="J151">
        <v>338</v>
      </c>
      <c r="K151">
        <v>0</v>
      </c>
      <c r="L151">
        <v>80</v>
      </c>
      <c r="M151">
        <v>326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406</v>
      </c>
      <c r="T151">
        <v>18</v>
      </c>
      <c r="U151">
        <v>12</v>
      </c>
      <c r="V151">
        <v>0</v>
      </c>
      <c r="W151">
        <v>1483.2</v>
      </c>
      <c r="X151">
        <v>509.1</v>
      </c>
      <c r="Y151">
        <v>0.2</v>
      </c>
      <c r="Z151">
        <v>1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1</v>
      </c>
      <c r="AH151">
        <v>3</v>
      </c>
      <c r="AI151">
        <v>2257402</v>
      </c>
      <c r="AJ151">
        <f t="shared" si="6"/>
        <v>216</v>
      </c>
      <c r="AK151">
        <f t="shared" si="7"/>
        <v>202</v>
      </c>
      <c r="AL151">
        <f t="shared" si="8"/>
        <v>2033.8333333333333</v>
      </c>
    </row>
    <row r="152" spans="1:38" x14ac:dyDescent="0.2">
      <c r="A152" t="s">
        <v>43</v>
      </c>
      <c r="B152">
        <v>99</v>
      </c>
      <c r="C152">
        <v>54</v>
      </c>
      <c r="D152">
        <v>0</v>
      </c>
      <c r="E152">
        <v>0</v>
      </c>
      <c r="F152">
        <v>0</v>
      </c>
      <c r="G152">
        <v>12</v>
      </c>
      <c r="H152">
        <v>13</v>
      </c>
      <c r="I152">
        <v>5</v>
      </c>
      <c r="J152">
        <v>247.9</v>
      </c>
      <c r="K152">
        <v>0</v>
      </c>
      <c r="L152">
        <v>80</v>
      </c>
      <c r="M152">
        <v>130.9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210.9</v>
      </c>
      <c r="T152">
        <v>14</v>
      </c>
      <c r="U152">
        <v>12</v>
      </c>
      <c r="V152">
        <v>0</v>
      </c>
      <c r="W152">
        <v>1260</v>
      </c>
      <c r="X152">
        <v>485.6</v>
      </c>
      <c r="Y152">
        <v>0</v>
      </c>
      <c r="Z152">
        <v>1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1</v>
      </c>
      <c r="AG152">
        <v>1</v>
      </c>
      <c r="AH152">
        <v>4</v>
      </c>
      <c r="AI152">
        <v>2272001</v>
      </c>
      <c r="AJ152">
        <f t="shared" si="6"/>
        <v>168</v>
      </c>
      <c r="AK152">
        <f t="shared" si="7"/>
        <v>155</v>
      </c>
      <c r="AL152">
        <f t="shared" si="8"/>
        <v>2029.9166666666667</v>
      </c>
    </row>
    <row r="153" spans="1:38" x14ac:dyDescent="0.2">
      <c r="A153" t="s">
        <v>43</v>
      </c>
      <c r="B153">
        <v>99</v>
      </c>
      <c r="C153">
        <v>56</v>
      </c>
      <c r="D153">
        <v>0</v>
      </c>
      <c r="E153">
        <v>0</v>
      </c>
      <c r="F153">
        <v>0</v>
      </c>
      <c r="G153">
        <v>12</v>
      </c>
      <c r="H153">
        <v>13</v>
      </c>
      <c r="I153">
        <v>3</v>
      </c>
      <c r="J153">
        <v>545.1</v>
      </c>
      <c r="K153">
        <v>0</v>
      </c>
      <c r="L153">
        <v>80</v>
      </c>
      <c r="M153">
        <v>785.1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865.1</v>
      </c>
      <c r="T153">
        <v>14</v>
      </c>
      <c r="U153">
        <v>12</v>
      </c>
      <c r="V153">
        <v>0</v>
      </c>
      <c r="W153">
        <v>3090</v>
      </c>
      <c r="X153">
        <v>1060.5</v>
      </c>
      <c r="Y153">
        <v>0</v>
      </c>
      <c r="Z153">
        <v>1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1</v>
      </c>
      <c r="AH153">
        <v>3</v>
      </c>
      <c r="AI153">
        <v>2274901</v>
      </c>
      <c r="AJ153">
        <f t="shared" si="6"/>
        <v>168</v>
      </c>
      <c r="AK153">
        <f t="shared" si="7"/>
        <v>155</v>
      </c>
      <c r="AL153">
        <f t="shared" si="8"/>
        <v>2029.9166666666667</v>
      </c>
    </row>
  </sheetData>
  <autoFilter ref="A5:AL5"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F624"/>
  <sheetViews>
    <sheetView tabSelected="1" workbookViewId="0">
      <pane xSplit="1" ySplit="10" topLeftCell="O11" activePane="bottomRight" state="frozen"/>
      <selection pane="topRight" activeCell="B1" sqref="B1"/>
      <selection pane="bottomLeft" activeCell="A11" sqref="A11"/>
      <selection pane="bottomRight" activeCell="V9" sqref="V9"/>
    </sheetView>
  </sheetViews>
  <sheetFormatPr baseColWidth="10" defaultRowHeight="12.75" x14ac:dyDescent="0.2"/>
  <cols>
    <col min="3" max="4" width="15.42578125" bestFit="1" customWidth="1"/>
    <col min="7" max="7" width="13.7109375" bestFit="1" customWidth="1"/>
    <col min="8" max="8" width="16.5703125" bestFit="1" customWidth="1"/>
    <col min="9" max="9" width="15.85546875" bestFit="1" customWidth="1"/>
    <col min="10" max="10" width="21.85546875" bestFit="1" customWidth="1"/>
    <col min="11" max="11" width="25.28515625" customWidth="1"/>
    <col min="12" max="12" width="19.140625" bestFit="1" customWidth="1"/>
    <col min="13" max="13" width="26.42578125" bestFit="1" customWidth="1"/>
    <col min="14" max="14" width="22.7109375" bestFit="1" customWidth="1"/>
    <col min="15" max="15" width="20.5703125" bestFit="1" customWidth="1"/>
    <col min="16" max="16" width="15.5703125" bestFit="1" customWidth="1"/>
    <col min="17" max="17" width="20.5703125" bestFit="1" customWidth="1"/>
    <col min="18" max="18" width="22.85546875" bestFit="1" customWidth="1"/>
    <col min="19" max="19" width="24" bestFit="1" customWidth="1"/>
    <col min="20" max="20" width="27.28515625" bestFit="1" customWidth="1"/>
    <col min="21" max="21" width="14.7109375" bestFit="1" customWidth="1"/>
    <col min="22" max="22" width="19.7109375" bestFit="1" customWidth="1"/>
    <col min="23" max="23" width="14.85546875" bestFit="1" customWidth="1"/>
    <col min="24" max="24" width="19.42578125" customWidth="1"/>
    <col min="25" max="25" width="15.7109375" bestFit="1" customWidth="1"/>
    <col min="26" max="26" width="23.7109375" customWidth="1"/>
    <col min="27" max="27" width="16.5703125" customWidth="1"/>
    <col min="28" max="28" width="18.140625" customWidth="1"/>
    <col min="29" max="29" width="15.5703125" customWidth="1"/>
    <col min="30" max="30" width="13.140625" bestFit="1" customWidth="1"/>
    <col min="31" max="33" width="34.42578125" bestFit="1" customWidth="1"/>
    <col min="34" max="34" width="35.85546875" bestFit="1" customWidth="1"/>
    <col min="35" max="35" width="23" bestFit="1" customWidth="1"/>
    <col min="36" max="36" width="13.7109375" bestFit="1" customWidth="1"/>
    <col min="37" max="37" width="15.140625" bestFit="1" customWidth="1"/>
    <col min="38" max="38" width="18.42578125" bestFit="1" customWidth="1"/>
    <col min="39" max="39" width="17.140625" bestFit="1" customWidth="1"/>
    <col min="40" max="40" width="14.5703125" bestFit="1" customWidth="1"/>
    <col min="41" max="41" width="25.140625" bestFit="1" customWidth="1"/>
    <col min="42" max="42" width="19.140625" bestFit="1" customWidth="1"/>
    <col min="43" max="43" width="21.28515625" bestFit="1" customWidth="1"/>
    <col min="44" max="44" width="13.85546875" bestFit="1" customWidth="1"/>
    <col min="45" max="45" width="15.7109375" bestFit="1" customWidth="1"/>
    <col min="46" max="46" width="23.7109375" bestFit="1" customWidth="1"/>
    <col min="47" max="47" width="22.5703125" customWidth="1"/>
    <col min="48" max="48" width="23.42578125" bestFit="1" customWidth="1"/>
    <col min="49" max="49" width="18.7109375" bestFit="1" customWidth="1"/>
    <col min="52" max="52" width="13.5703125" bestFit="1" customWidth="1"/>
    <col min="53" max="53" width="16.140625" bestFit="1" customWidth="1"/>
    <col min="54" max="54" width="15.28515625" bestFit="1" customWidth="1"/>
  </cols>
  <sheetData>
    <row r="1" spans="1:55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I1" t="s">
        <v>42</v>
      </c>
      <c r="AJ1" s="19" t="s">
        <v>61</v>
      </c>
    </row>
    <row r="2" spans="1:55" x14ac:dyDescent="0.2">
      <c r="A2" t="s">
        <v>43</v>
      </c>
      <c r="B2">
        <v>99</v>
      </c>
      <c r="C2">
        <v>56</v>
      </c>
      <c r="D2">
        <v>0</v>
      </c>
      <c r="E2">
        <v>0</v>
      </c>
      <c r="F2">
        <v>0</v>
      </c>
      <c r="G2">
        <v>12</v>
      </c>
      <c r="H2">
        <v>13</v>
      </c>
      <c r="I2">
        <v>3</v>
      </c>
      <c r="J2">
        <v>545.1</v>
      </c>
      <c r="K2">
        <v>0</v>
      </c>
      <c r="L2">
        <v>80</v>
      </c>
      <c r="M2">
        <v>785.1</v>
      </c>
      <c r="N2">
        <v>0</v>
      </c>
      <c r="O2">
        <v>0</v>
      </c>
      <c r="P2">
        <v>0</v>
      </c>
      <c r="Q2">
        <v>0</v>
      </c>
      <c r="R2">
        <v>0</v>
      </c>
      <c r="S2">
        <v>865.1</v>
      </c>
      <c r="T2">
        <v>14</v>
      </c>
      <c r="U2">
        <v>12</v>
      </c>
      <c r="V2">
        <v>0</v>
      </c>
      <c r="W2">
        <v>3090</v>
      </c>
      <c r="X2">
        <v>1060.5</v>
      </c>
      <c r="Y2">
        <v>0</v>
      </c>
      <c r="Z2">
        <v>1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3</v>
      </c>
      <c r="AI2">
        <v>2274901</v>
      </c>
      <c r="AJ2">
        <v>168</v>
      </c>
    </row>
    <row r="8" spans="1:55" x14ac:dyDescent="0.2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I8">
        <v>35</v>
      </c>
      <c r="AJ8">
        <v>36</v>
      </c>
      <c r="AK8">
        <v>37</v>
      </c>
      <c r="AL8">
        <v>38</v>
      </c>
      <c r="AM8">
        <v>39</v>
      </c>
      <c r="AN8">
        <v>40</v>
      </c>
      <c r="AO8">
        <v>41</v>
      </c>
      <c r="AP8">
        <v>42</v>
      </c>
      <c r="AQ8">
        <v>43</v>
      </c>
      <c r="AR8">
        <v>44</v>
      </c>
      <c r="AS8">
        <v>45</v>
      </c>
      <c r="AT8">
        <v>46</v>
      </c>
      <c r="AU8">
        <v>47</v>
      </c>
      <c r="AV8">
        <v>48</v>
      </c>
      <c r="AW8">
        <v>49</v>
      </c>
      <c r="AX8">
        <v>50</v>
      </c>
      <c r="AY8">
        <v>51</v>
      </c>
      <c r="AZ8">
        <v>52</v>
      </c>
      <c r="BA8">
        <v>53</v>
      </c>
      <c r="BB8">
        <v>54</v>
      </c>
    </row>
    <row r="9" spans="1:55" x14ac:dyDescent="0.2">
      <c r="V9" s="4"/>
    </row>
    <row r="10" spans="1:55" x14ac:dyDescent="0.2">
      <c r="A10" s="2" t="s">
        <v>44</v>
      </c>
      <c r="B10" s="2" t="s">
        <v>45</v>
      </c>
      <c r="C10" s="2" t="s">
        <v>46</v>
      </c>
      <c r="D10" s="2" t="s">
        <v>47</v>
      </c>
      <c r="E10" s="2" t="s">
        <v>48</v>
      </c>
      <c r="F10" s="2" t="s">
        <v>49</v>
      </c>
      <c r="G10" t="s">
        <v>50</v>
      </c>
      <c r="H10" t="s">
        <v>69</v>
      </c>
      <c r="I10" s="2" t="s">
        <v>51</v>
      </c>
      <c r="J10" s="2" t="s">
        <v>52</v>
      </c>
      <c r="K10" s="2" t="s">
        <v>53</v>
      </c>
      <c r="L10" s="2" t="s">
        <v>54</v>
      </c>
      <c r="M10" s="2" t="s">
        <v>70</v>
      </c>
      <c r="N10" s="2" t="s">
        <v>55</v>
      </c>
      <c r="O10" s="2" t="s">
        <v>65</v>
      </c>
      <c r="P10" s="2" t="s">
        <v>66</v>
      </c>
      <c r="Q10" s="2" t="s">
        <v>67</v>
      </c>
      <c r="R10" s="2" t="s">
        <v>68</v>
      </c>
      <c r="S10" s="2" t="s">
        <v>71</v>
      </c>
      <c r="T10" s="2" t="s">
        <v>72</v>
      </c>
      <c r="U10" s="2" t="s">
        <v>73</v>
      </c>
      <c r="V10" s="2" t="s">
        <v>75</v>
      </c>
      <c r="W10" s="2" t="s">
        <v>76</v>
      </c>
      <c r="X10" s="2" t="s">
        <v>74</v>
      </c>
      <c r="Y10" s="2" t="s">
        <v>77</v>
      </c>
      <c r="Z10" s="2" t="s">
        <v>78</v>
      </c>
      <c r="AA10" s="2" t="s">
        <v>82</v>
      </c>
      <c r="AB10" s="2" t="s">
        <v>80</v>
      </c>
      <c r="AC10" s="2" t="s">
        <v>81</v>
      </c>
      <c r="AD10" s="2" t="s">
        <v>79</v>
      </c>
      <c r="AE10" s="2" t="s">
        <v>83</v>
      </c>
      <c r="AF10" s="2" t="s">
        <v>84</v>
      </c>
      <c r="AG10" s="2" t="s">
        <v>85</v>
      </c>
      <c r="AH10" s="2" t="s">
        <v>86</v>
      </c>
      <c r="AI10" s="2" t="s">
        <v>87</v>
      </c>
      <c r="AJ10" s="2" t="s">
        <v>88</v>
      </c>
      <c r="AK10" s="2" t="s">
        <v>89</v>
      </c>
      <c r="AL10" s="2" t="s">
        <v>90</v>
      </c>
      <c r="AM10" s="2" t="s">
        <v>91</v>
      </c>
      <c r="AN10" s="2" t="s">
        <v>92</v>
      </c>
      <c r="AO10" s="2" t="s">
        <v>97</v>
      </c>
      <c r="AP10" s="2" t="s">
        <v>96</v>
      </c>
      <c r="AQ10" s="2" t="s">
        <v>101</v>
      </c>
      <c r="AR10" s="2" t="s">
        <v>102</v>
      </c>
      <c r="AS10" s="2" t="s">
        <v>77</v>
      </c>
      <c r="AT10" s="2" t="s">
        <v>105</v>
      </c>
      <c r="AU10" s="2" t="s">
        <v>103</v>
      </c>
      <c r="AV10" s="2" t="s">
        <v>104</v>
      </c>
      <c r="AW10" s="2" t="s">
        <v>106</v>
      </c>
      <c r="AX10" s="2" t="s">
        <v>81</v>
      </c>
      <c r="AY10" s="2" t="s">
        <v>107</v>
      </c>
      <c r="AZ10" s="2" t="s">
        <v>108</v>
      </c>
      <c r="BA10" s="2" t="s">
        <v>109</v>
      </c>
      <c r="BB10" s="2" t="s">
        <v>112</v>
      </c>
      <c r="BC10" s="2" t="s">
        <v>120</v>
      </c>
    </row>
    <row r="11" spans="1:55" x14ac:dyDescent="0.2">
      <c r="A11" s="3">
        <v>43100</v>
      </c>
      <c r="B11">
        <f>H2</f>
        <v>13</v>
      </c>
      <c r="C11">
        <f>(B11+11)/12-1</f>
        <v>1</v>
      </c>
      <c r="D11">
        <f>IF(C11-INT(C11)=0,1,0)</f>
        <v>1</v>
      </c>
      <c r="E11">
        <f>$C$2+INT($C11)</f>
        <v>57</v>
      </c>
      <c r="F11">
        <f>IF(C11&gt;=$T$2,0,VLOOKUP($E11,'Mortality Table'!$A$3:$C$128,2+AF$2,FALSE))</f>
        <v>4.6439000000000003E-3</v>
      </c>
      <c r="G11">
        <f>F11*Assumptions!$B$1</f>
        <v>4.6439000000000003E-3</v>
      </c>
      <c r="J11">
        <f>HLOOKUP(C11,Assumptions!$A$6:$J$7,2,TRUE)</f>
        <v>0.124</v>
      </c>
      <c r="K11" s="4">
        <f t="shared" ref="K11:K42" si="0">IF(B11&gt;$AJ$2,0,IF(($U$2*(B11+11))/12-INT(($U$2*(B11+11))/12)=0,1,0))</f>
        <v>1</v>
      </c>
      <c r="O11" s="5">
        <v>1</v>
      </c>
      <c r="R11">
        <v>0</v>
      </c>
      <c r="U11">
        <f>W2</f>
        <v>3090</v>
      </c>
      <c r="V11">
        <f>IF(E11&lt;=75,SUM($J$2:$R$2),0)</f>
        <v>1410.2</v>
      </c>
      <c r="W11">
        <f>($G$2+IF(B11&lt;13,$D$2,IF(B11&lt;25,$E$2,IF(B11&lt;37,$F$2,0))))/100</f>
        <v>0.12</v>
      </c>
      <c r="Z11">
        <f>X2</f>
        <v>1060.5</v>
      </c>
      <c r="AB11">
        <f>IF(MONTH(A11)=12,Z11+AD11,(Z11+AD11)*((1+AC11)/(1+V2/100))^(MONTH(A11)/12))</f>
        <v>1060.5</v>
      </c>
      <c r="AC11" s="23">
        <f>HLOOKUP(YEAR(A11),Assumptions!$A$25:$AL$29,4,TRUE)/100</f>
        <v>9.9419999999999994E-3</v>
      </c>
      <c r="AD11">
        <f>Y2</f>
        <v>0</v>
      </c>
      <c r="AE11">
        <v>0</v>
      </c>
      <c r="AG11">
        <v>0</v>
      </c>
      <c r="AH11">
        <v>0</v>
      </c>
      <c r="AQ11">
        <v>1</v>
      </c>
      <c r="AT11" s="28">
        <f t="shared" ref="AT11" si="1">O11*(Z11+AD11+AA12)+R11*(AE11+AH11+AJ12)</f>
        <v>1060.5</v>
      </c>
      <c r="AU11">
        <v>0</v>
      </c>
      <c r="AX11" s="23">
        <f>HLOOKUP(YEAR(A11),Assumptions!$A$25:$AL$29,2,TRUE)/100</f>
        <v>1.5942000000000001E-2</v>
      </c>
      <c r="AZ11" s="26">
        <f>(AZ12+BA12+AR12+AP12-X12)*AY12</f>
        <v>-6590.9295307013545</v>
      </c>
      <c r="BC11">
        <v>0</v>
      </c>
    </row>
    <row r="12" spans="1:55" x14ac:dyDescent="0.2">
      <c r="A12" s="3">
        <f>DATE(YEAR(A11),MONTH(A11)+2,1)-1</f>
        <v>43131</v>
      </c>
      <c r="B12">
        <f t="shared" ref="B12:B75" si="2">B11+1</f>
        <v>14</v>
      </c>
      <c r="C12">
        <f t="shared" ref="C12:C32" si="3">(B12+11)/12-1</f>
        <v>1.0833333333333335</v>
      </c>
      <c r="D12">
        <f t="shared" ref="D12:D32" si="4">IF(C12-INT(C12)=0,1,0)</f>
        <v>0</v>
      </c>
      <c r="E12">
        <f t="shared" ref="E12:E75" si="5">$C$2+INT($C12)</f>
        <v>57</v>
      </c>
      <c r="F12">
        <f>IF(C12&gt;=$T$2,0,VLOOKUP($E12,'Mortality Table'!$A$3:$C$128,2+AF$2,FALSE))</f>
        <v>4.6439000000000003E-3</v>
      </c>
      <c r="G12">
        <f>F12*Assumptions!$B$1</f>
        <v>4.6439000000000003E-3</v>
      </c>
      <c r="H12">
        <f>(1-(1-G12)^(1/12))</f>
        <v>3.8781781284513706E-4</v>
      </c>
      <c r="I12">
        <f>H12*O11*(1-M12/2)</f>
        <v>3.8569028344675885E-4</v>
      </c>
      <c r="J12">
        <f>IF(B12&gt;$AJ$2,0,HLOOKUP(C12,Assumptions!$A$6:$J$7,2,TRUE))</f>
        <v>0.124</v>
      </c>
      <c r="K12" s="4">
        <f t="shared" si="0"/>
        <v>1</v>
      </c>
      <c r="L12" s="4">
        <f>IF(B12&gt;$AJ$2,0,IF(B12=$AJ$2,1/$U$2,IF(K13=0,0,1/$U$2)))</f>
        <v>8.3333333333333329E-2</v>
      </c>
      <c r="M12" s="4">
        <f t="shared" ref="M12:M43" si="6">(1-(1-J12)^L12)</f>
        <v>1.097179824088057E-2</v>
      </c>
      <c r="N12">
        <f>M12*O11*(1-H12/2)</f>
        <v>1.0969670711482192E-2</v>
      </c>
      <c r="O12" s="21">
        <f t="shared" ref="O12:O43" si="7">IF(B12&gt;$AJ$2,0,O11-I12-N12-Q12)</f>
        <v>0.98420295372489652</v>
      </c>
      <c r="P12">
        <f>IF(B12&gt;$AJ$2,0,HLOOKUP(C12,Assumptions!$A$12:$J$13,2,TRUE))</f>
        <v>5.2600000000000001E-2</v>
      </c>
      <c r="Q12">
        <f t="shared" ref="Q12:Q43" si="8">(1-(1-P12)^L12)*(O11-I12-N12)</f>
        <v>4.4416852801746846E-3</v>
      </c>
      <c r="R12">
        <f>IF(B12&gt;$AJ$2,0,Q12+R11-S12-T12)</f>
        <v>4.4416852801746846E-3</v>
      </c>
      <c r="S12">
        <f>H12*R11*(1-M12/2)</f>
        <v>0</v>
      </c>
      <c r="T12">
        <f>M12*R11*(1-H12/2)</f>
        <v>0</v>
      </c>
      <c r="U12">
        <f>IF(B12&gt;$AJ$2,0,U11*(1+$I$2/100)^D12)</f>
        <v>3090</v>
      </c>
      <c r="V12">
        <f>IF(B12&gt;$AJ$2,0,IF(E12&lt;=75,SUM($J$2:$R$2),0))</f>
        <v>1410.2</v>
      </c>
      <c r="W12">
        <f>IF(B12&gt;$AJ$2,0,($G$2+IF(B12&lt;13,$D$2,IF(B12&lt;25,$E$2,IF(B12&lt;37,$F$2,0))))/100)</f>
        <v>0.12</v>
      </c>
      <c r="X12">
        <f t="shared" ref="X12:X75" si="9">U12/$U$2*K12*O11</f>
        <v>257.5</v>
      </c>
      <c r="Y12">
        <f>IF($W$2=0,0,(U12-V12)*(1-W12)/$U$2*K12)</f>
        <v>123.18533333333333</v>
      </c>
      <c r="Z12">
        <f>IF(B12&gt;$AJ$2,0,(Z11+Y12)*(1+$V$2/100)^(1/12))</f>
        <v>1183.6853333333333</v>
      </c>
      <c r="AA12">
        <f>IF(B12&gt;$AJ$2,0,MAX(0,IF(MONTH(A12)=1,AB11-AD11-Z11,0)))</f>
        <v>0</v>
      </c>
      <c r="AB12">
        <f>IF(B12&gt;$AJ$2,0,(AB11+Y12)*(1+MAX(AC12,$V$2/100))^(1/12))</f>
        <v>1184.541667893501</v>
      </c>
      <c r="AC12" s="23">
        <f>IF(B12&gt;$AJ$2,0,HLOOKUP(YEAR(A12),Assumptions!$A$25:$AL$29,4,TRUE)/100)</f>
        <v>8.7159999999999998E-3</v>
      </c>
      <c r="AD12">
        <f>IF(B12&gt;$AJ$2,0,AD11+AA12)*(1+$V$2/100)^(1/12)</f>
        <v>0</v>
      </c>
      <c r="AE12">
        <f>IF(B12&gt;$AJ$2,0,IF(R12=0,0,(AF12*(R12-Q12)+Q12*Z12)/R12))</f>
        <v>1183.6853333333333</v>
      </c>
      <c r="AF12">
        <f>IF(B12&gt;$AJ$2,0,AE11*(1+$V$2/100)^(1/12))</f>
        <v>0</v>
      </c>
      <c r="AG12">
        <f>IF(B12&gt;$AJ$2,0,IF(R12=0,0,(AG11*(R12-Q12)*(1+MAX(AC12,$V$2/100))^(1/12)+Q12*AB12)/R12))</f>
        <v>1184.541667893501</v>
      </c>
      <c r="AH12">
        <f>IF(B12&gt;$AJ$2,0,IF(R12=0,0,(AI12*(R12-Q12)+Q12*AD12)/R12))</f>
        <v>0</v>
      </c>
      <c r="AI12">
        <f>IF(B12&gt;$AJ$2,0,(AH11+AJ12)*(1+$V$2/100)^(1/12))</f>
        <v>0</v>
      </c>
      <c r="AJ12">
        <f>IF(B12&gt;$AJ$2,0,MAX(0,IF(MONTH(A12)=1,AG11-AE11-AH11)))</f>
        <v>0</v>
      </c>
      <c r="AK12">
        <f>I12*(Z12+AD12)+S12*(AF12+AI12)</f>
        <v>0.45653593172510459</v>
      </c>
      <c r="AL12">
        <f>N12*(Z12+AD12+BC12)+T12*(AE12+AH12)</f>
        <v>12.984638332677703</v>
      </c>
      <c r="AM12">
        <f t="shared" ref="AM12:AM75" si="10">IF($AJ$2+1=B12,O11*(Z11+AD11+MAX(0,IF(MONTH(A12)=1,AB11-AD11-Z11,0)))+R11*(AF11+AH11),0)</f>
        <v>0</v>
      </c>
      <c r="AN12">
        <f>IF($S$2=0,0,(SUMPRODUCT($K$2:$R$2,Assumptions!$B$34:$I$34)/$U$2+$J$2/$U$2*Assumptions!$A$34*G12)*K12*O11)</f>
        <v>21.505115824166666</v>
      </c>
      <c r="AO12">
        <f>($P$2+$R$2)/$U$2*K12*O11</f>
        <v>0</v>
      </c>
      <c r="AP12">
        <f>IF(B12&lt;=12,(X12-AO12)*$AB$2+AO12*0.06,IF(B12&lt;=24,(X12-AO12)*$AC$2+AO12*0.06,IF(B12&lt;=36,(X12-AO12)*$AD$2+AO12*0.06,0)))</f>
        <v>0</v>
      </c>
      <c r="AQ12">
        <f>IF(B12&gt;$AJ$2,0,AQ11*(1+Assumptions!$B$43)^(1/12))</f>
        <v>1.0008295381143462</v>
      </c>
      <c r="AR12" s="27">
        <f>IF(B12&gt;$AJ$2,0,(O11+R11)*Assumptions!$B$39/12*AQ11+AV12*Assumptions!$B$41/12)</f>
        <v>12.094823882272896</v>
      </c>
      <c r="AS12">
        <f>IF(B12&gt;$AJ$2,0,Y12*K12*O11)</f>
        <v>123.18533333333333</v>
      </c>
      <c r="AT12" s="28">
        <f>IF(B12&gt;$AJ$2,0,O12*(Z12+AD12+AA13+BC12)+R12*(AE12+AH12+AJ13))</f>
        <v>1170.2441590689309</v>
      </c>
      <c r="AU12">
        <f>IF(B12&gt;$AJ$2,0,IF(MONTH(A12)=12,0,AU11+AW12*((1+AX12)^(1/12)-1)-BB12*((1+$V$2/100)^(1/12)-1)))</f>
        <v>1.5645776269475042</v>
      </c>
      <c r="AV12" s="28">
        <f>IF(B12&gt;$AJ$2,0,AT11+AS12-AN12+AU11)</f>
        <v>1162.1802175091666</v>
      </c>
      <c r="AW12" s="28">
        <f>IF(B12&gt;$AJ$2,0,AT11+X12+AU11-AN12-AP12-AR12)</f>
        <v>1284.4000602935603</v>
      </c>
      <c r="AX12" s="23">
        <f>HLOOKUP(YEAR(A12),Assumptions!$A$25:$AL$29,2,TRUE)/100</f>
        <v>1.4716E-2</v>
      </c>
      <c r="AY12" s="29">
        <f>1/(1+HLOOKUP(YEAR(A12),Assumptions!$A$18:$AL$20,3,TRUE))^(1/12)</f>
        <v>0.99868284646645789</v>
      </c>
      <c r="AZ12" s="26">
        <f>(AZ13+BA13+AR13+AP13-X13)*AY13</f>
        <v>-6389.1633604341687</v>
      </c>
      <c r="BA12">
        <f>AK12+AL12+AM12+AN12</f>
        <v>34.946290088569469</v>
      </c>
      <c r="BB12">
        <f>IF(B12&gt;$AJ$2,0,AT11-BC11*O11+AS12-AN12)</f>
        <v>1162.1802175091666</v>
      </c>
      <c r="BC12">
        <f>IF($W$2=0,0,IF(B12&gt;$AJ$2,0,BC11+V12/$U$2*K12-$U$2/12*V12/$U$2))</f>
        <v>0</v>
      </c>
    </row>
    <row r="13" spans="1:55" x14ac:dyDescent="0.2">
      <c r="A13" s="3">
        <f t="shared" ref="A13:A76" si="11">DATE(YEAR(A12),MONTH(A12)+2,1)-1</f>
        <v>43159</v>
      </c>
      <c r="B13">
        <f t="shared" si="2"/>
        <v>15</v>
      </c>
      <c r="C13">
        <f t="shared" si="3"/>
        <v>1.1666666666666665</v>
      </c>
      <c r="D13">
        <f t="shared" si="4"/>
        <v>0</v>
      </c>
      <c r="E13">
        <f t="shared" si="5"/>
        <v>57</v>
      </c>
      <c r="F13">
        <f>IF(C13&gt;=$T$2,0,VLOOKUP($E13,'Mortality Table'!$A$3:$C$128,2+AF$2,FALSE))</f>
        <v>4.6439000000000003E-3</v>
      </c>
      <c r="G13">
        <f>F13*Assumptions!$B$1</f>
        <v>4.6439000000000003E-3</v>
      </c>
      <c r="H13">
        <f t="shared" ref="H13:H76" si="12">(1-(1-G13)^(1/12))</f>
        <v>3.8781781284513706E-4</v>
      </c>
      <c r="I13">
        <f t="shared" ref="I13:I43" si="13">H13*O12*(1-M13/2)</f>
        <v>3.7959751619129264E-4</v>
      </c>
      <c r="J13">
        <f>IF(B13&gt;$AJ$2,0,HLOOKUP(C13,Assumptions!$A$6:$J$7,2,TRUE))</f>
        <v>0.124</v>
      </c>
      <c r="K13" s="4">
        <f t="shared" si="0"/>
        <v>1</v>
      </c>
      <c r="L13" s="4">
        <f t="shared" ref="L13:L76" si="14">IF(B13&gt;$AJ$2,0,IF(B13=$AJ$2,1/$U$2,IF(K14=0,0,1/$U$2)))</f>
        <v>8.3333333333333329E-2</v>
      </c>
      <c r="M13" s="4">
        <f t="shared" si="6"/>
        <v>1.097179824088057E-2</v>
      </c>
      <c r="N13">
        <f t="shared" ref="N13:N76" si="15">M13*O12*(1-H13/2)</f>
        <v>1.079638231563026E-2</v>
      </c>
      <c r="O13" s="21">
        <f t="shared" si="7"/>
        <v>0.96865545412081056</v>
      </c>
      <c r="P13">
        <f>IF(B13&gt;$AJ$2,0,HLOOKUP(C13,Assumptions!$A$12:$J$13,2,TRUE))</f>
        <v>5.2600000000000001E-2</v>
      </c>
      <c r="Q13">
        <f t="shared" si="8"/>
        <v>4.3715197722643184E-3</v>
      </c>
      <c r="R13">
        <f t="shared" ref="R13:R76" si="16">IF(B13&gt;$AJ$2,0,Q13+R12-S13-T13)</f>
        <v>8.7627681126567561E-3</v>
      </c>
      <c r="S13">
        <f>H13*R12*(1-M13/2)</f>
        <v>1.7131148546918705E-6</v>
      </c>
      <c r="T13">
        <f>M13*R12*(1-H13/2)</f>
        <v>4.8723824927553812E-5</v>
      </c>
      <c r="U13">
        <f t="shared" ref="U13:U76" si="17">IF(B13&gt;$AJ$2,0,U12*(1+$I$2/100)^D13)</f>
        <v>3090</v>
      </c>
      <c r="V13">
        <f t="shared" ref="V13:V76" si="18">IF(B13&gt;$AJ$2,0,IF(E13&lt;=75,SUM($J$2:$R$2),0))</f>
        <v>1410.2</v>
      </c>
      <c r="W13">
        <f t="shared" ref="W13:W76" si="19">IF(B13&gt;$AJ$2,0,($G$2+IF(B13&lt;13,$D$2,IF(B13&lt;25,$E$2,IF(B13&lt;37,$F$2,0))))/100)</f>
        <v>0.12</v>
      </c>
      <c r="X13">
        <f t="shared" si="9"/>
        <v>253.43226058416084</v>
      </c>
      <c r="Y13">
        <f t="shared" ref="Y13:Y76" si="20">IF($W$2=0,0,(U13-V13)*(1-W13)/$U$2*K13)</f>
        <v>123.18533333333333</v>
      </c>
      <c r="Z13">
        <f t="shared" ref="Z13:Z76" si="21">IF(B13&gt;$AJ$2,0,(Z12+Y13)*(1+$V$2/100)^(1/12))</f>
        <v>1306.8706666666667</v>
      </c>
      <c r="AA13">
        <f t="shared" ref="AA13:AA76" si="22">IF(B13&gt;$AJ$2,0,MAX(0,IF(MONTH(A13)=1,AB12-AD12-Z12,0)))</f>
        <v>0</v>
      </c>
      <c r="AB13">
        <f t="shared" ref="AB13:AB76" si="23">IF(B13&gt;$AJ$2,0,(AB12+Y13)*(1+MAX(AC13,$V$2/100))^(1/12))</f>
        <v>1308.6730734597827</v>
      </c>
      <c r="AC13" s="23">
        <f>IF(B13&gt;$AJ$2,0,HLOOKUP(YEAR(A13),Assumptions!$A$25:$AL$29,4,TRUE)/100)</f>
        <v>8.7159999999999998E-3</v>
      </c>
      <c r="AD13">
        <f t="shared" ref="AD13:AD76" si="24">IF(B13&gt;$AJ$2,0,AD12+AA13)*(1+$V$2/100)^(1/12)</f>
        <v>0</v>
      </c>
      <c r="AE13">
        <f t="shared" ref="AE13:AE76" si="25">IF(B13&gt;$AJ$2,0,IF(R13=0,0,(AF13*(R13-Q13)+Q13*Z13)/R13))</f>
        <v>1245.1393297641905</v>
      </c>
      <c r="AF13">
        <f t="shared" ref="AF13:AF76" si="26">IF(B13&gt;$AJ$2,0,AE12*(1+$V$2/100)^(1/12))</f>
        <v>1183.6853333333333</v>
      </c>
      <c r="AG13">
        <f t="shared" ref="AG13:AG76" si="27">IF(B13&gt;$AJ$2,0,IF(R13=0,0,(AG12*(R13-Q13)*(1+MAX(AC13,$V$2/100))^(1/12)+Q13*AB13)/R13))</f>
        <v>1246.8970771569184</v>
      </c>
      <c r="AH13">
        <f t="shared" ref="AH13:AH76" si="28">IF(B13&gt;$AJ$2,0,IF(R13=0,0,(AI13*(R13-Q13)+Q13*AD13)/R13))</f>
        <v>0</v>
      </c>
      <c r="AI13">
        <f t="shared" ref="AI13:AI76" si="29">IF(B13&gt;$AJ$2,0,(AH12+AJ13)*(1+$V$2/100)^(1/12))</f>
        <v>0</v>
      </c>
      <c r="AJ13">
        <f t="shared" ref="AJ13:AJ76" si="30">IF(B13&gt;$AJ$2,0,MAX(0,IF(MONTH(A13)=1,AG12-AE12-AH12)))</f>
        <v>0</v>
      </c>
      <c r="AK13">
        <f t="shared" ref="AK13:AK76" si="31">I13*(Z13+AD13)+S13*(AF13+AI13)</f>
        <v>0.49811264797773963</v>
      </c>
      <c r="AL13">
        <f t="shared" ref="AL13:AL76" si="32">N13*(Z13+AD13+BC13)+T13*(AE13+AH13)</f>
        <v>14.170143305129772</v>
      </c>
      <c r="AM13">
        <f t="shared" si="10"/>
        <v>0</v>
      </c>
      <c r="AN13">
        <f>IF($S$2=0,0,(SUMPRODUCT($K$2:$R$2,Assumptions!$B$34:$I$34)/$U$2+$J$2/$U$2*Assumptions!$A$34*G13)*K13*O12)</f>
        <v>21.165398514340843</v>
      </c>
      <c r="AO13">
        <f t="shared" ref="AO13:AO76" si="33">($P$2+$R$2)/$U$2*K13*O12</f>
        <v>0</v>
      </c>
      <c r="AP13">
        <f t="shared" ref="AP13:AP76" si="34">IF(B13&lt;=12,(X13-AO13)*$AB$2+AO13*0.06,IF(B13&lt;=24,(X13-AO13)*$AC$2+AO13*0.06,IF(B13&lt;=36,(X13-AO13)*$AD$2+AO13*0.06,0)))</f>
        <v>0</v>
      </c>
      <c r="AQ13">
        <f>IF(B13&gt;$AJ$2,0,AQ12*(1+Assumptions!$B$43)^(1/12))</f>
        <v>1.0016597643621754</v>
      </c>
      <c r="AR13" s="27">
        <f>IF(B13&gt;$AJ$2,0,(O12+R12)*Assumptions!$B$39/12*AQ12+AV13*Assumptions!$B$41/12)</f>
        <v>11.994839905171947</v>
      </c>
      <c r="AS13">
        <f t="shared" ref="AS13:AS76" si="35">IF(B13&gt;$AJ$2,0,Y13*K13*O12)</f>
        <v>121.23936892225262</v>
      </c>
      <c r="AT13" s="28">
        <f t="shared" ref="AT13:AT76" si="36">IF(B13&gt;$AJ$2,0,O13*(Z13+AD13+AA14+BC13)+R13*(AE13+AH13+AJ14))</f>
        <v>1276.8182663118389</v>
      </c>
      <c r="AU13">
        <f t="shared" ref="AU13:AU76" si="37">IF(B13&gt;$AJ$2,0,IF(MONTH(A13)=12,0,AU12+AW13*((1+AX13)^(1/12)-1)-BB13*((1+$V$2/100)^(1/12)-1)))</f>
        <v>3.2603252974353731</v>
      </c>
      <c r="AV13" s="28">
        <f t="shared" ref="AV13:AV76" si="38">IF(B13&gt;$AJ$2,0,AT12+AS13-AN13+AU12)</f>
        <v>1271.8827071037902</v>
      </c>
      <c r="AW13" s="28">
        <f t="shared" ref="AW13:AW76" si="39">IF(B13&gt;$AJ$2,0,AT12+X13+AU12-AN13-AP13-AR13)</f>
        <v>1392.0807588605262</v>
      </c>
      <c r="AX13" s="23">
        <f>HLOOKUP(YEAR(A13),Assumptions!$A$25:$AL$29,2,TRUE)/100</f>
        <v>1.4716E-2</v>
      </c>
      <c r="AY13" s="29">
        <f>1/(1+HLOOKUP(YEAR(A13),Assumptions!$A$18:$AL$20,3,TRUE))^(1/12)</f>
        <v>0.99868284646645789</v>
      </c>
      <c r="AZ13" s="26">
        <f t="shared" ref="AZ13:AZ76" si="40">(AZ14+BA14+AR14+AP14-X14)*AY14</f>
        <v>-6191.9862024560125</v>
      </c>
      <c r="BA13">
        <f t="shared" ref="BA13:BA76" si="41">AK13+AL13+AM13+AN13</f>
        <v>35.833654467448355</v>
      </c>
      <c r="BB13">
        <f t="shared" ref="BB13:BB76" si="42">IF(B13&gt;$AJ$2,0,AT12-BC12*O12+AS13-AN13)</f>
        <v>1270.3181294768426</v>
      </c>
      <c r="BC13">
        <f t="shared" ref="BC13:BC76" si="43">IF($W$2=0,0,IF(B13&gt;$AJ$2,0,BC12+V13/$U$2*K13-$U$2/12*V13/$U$2))</f>
        <v>0</v>
      </c>
    </row>
    <row r="14" spans="1:55" x14ac:dyDescent="0.2">
      <c r="A14" s="3">
        <f t="shared" si="11"/>
        <v>43190</v>
      </c>
      <c r="B14">
        <f t="shared" si="2"/>
        <v>16</v>
      </c>
      <c r="C14">
        <f t="shared" si="3"/>
        <v>1.25</v>
      </c>
      <c r="D14">
        <f t="shared" si="4"/>
        <v>0</v>
      </c>
      <c r="E14">
        <f t="shared" si="5"/>
        <v>57</v>
      </c>
      <c r="F14">
        <f>IF(C14&gt;=$T$2,0,VLOOKUP($E14,'Mortality Table'!$A$3:$C$128,2+AF$2,FALSE))</f>
        <v>4.6439000000000003E-3</v>
      </c>
      <c r="G14">
        <f>F14*Assumptions!$B$1</f>
        <v>4.6439000000000003E-3</v>
      </c>
      <c r="H14">
        <f t="shared" si="12"/>
        <v>3.8781781284513706E-4</v>
      </c>
      <c r="I14">
        <f t="shared" si="13"/>
        <v>3.7360099666210433E-4</v>
      </c>
      <c r="J14">
        <f>IF(B14&gt;$AJ$2,0,HLOOKUP(C14,Assumptions!$A$6:$J$7,2,TRUE))</f>
        <v>0.124</v>
      </c>
      <c r="K14" s="4">
        <f t="shared" si="0"/>
        <v>1</v>
      </c>
      <c r="L14" s="4">
        <f t="shared" si="14"/>
        <v>8.3333333333333329E-2</v>
      </c>
      <c r="M14" s="4">
        <f t="shared" si="6"/>
        <v>1.097179824088057E-2</v>
      </c>
      <c r="N14">
        <f t="shared" si="15"/>
        <v>1.0625831364586537E-2</v>
      </c>
      <c r="O14" s="21">
        <f t="shared" si="7"/>
        <v>0.95335355908743269</v>
      </c>
      <c r="P14">
        <f>IF(B14&gt;$AJ$2,0,HLOOKUP(C14,Assumptions!$A$12:$J$13,2,TRUE))</f>
        <v>5.2600000000000001E-2</v>
      </c>
      <c r="Q14">
        <f t="shared" si="8"/>
        <v>4.3024626721293287E-3</v>
      </c>
      <c r="R14">
        <f t="shared" si="16"/>
        <v>1.2965726389552014E-2</v>
      </c>
      <c r="S14">
        <f t="shared" ref="S14:S77" si="44">H14*R13*(1-M14/2)</f>
        <v>3.3797145171488043E-6</v>
      </c>
      <c r="T14">
        <f t="shared" ref="T14:T77" si="45">M14*R13*(1-H14/2)</f>
        <v>9.6124680716920904E-5</v>
      </c>
      <c r="U14">
        <f t="shared" si="17"/>
        <v>3090</v>
      </c>
      <c r="V14">
        <f t="shared" si="18"/>
        <v>1410.2</v>
      </c>
      <c r="W14">
        <f t="shared" si="19"/>
        <v>0.12</v>
      </c>
      <c r="X14">
        <f t="shared" si="9"/>
        <v>249.42877943610873</v>
      </c>
      <c r="Y14">
        <f t="shared" si="20"/>
        <v>123.18533333333333</v>
      </c>
      <c r="Z14">
        <f t="shared" si="21"/>
        <v>1430.056</v>
      </c>
      <c r="AA14">
        <f t="shared" si="22"/>
        <v>0</v>
      </c>
      <c r="AB14">
        <f t="shared" si="23"/>
        <v>1432.8942816193678</v>
      </c>
      <c r="AC14" s="23">
        <f>IF(B14&gt;$AJ$2,0,HLOOKUP(YEAR(A14),Assumptions!$A$25:$AL$29,4,TRUE)/100)</f>
        <v>8.7159999999999998E-3</v>
      </c>
      <c r="AD14">
        <f t="shared" si="24"/>
        <v>0</v>
      </c>
      <c r="AE14">
        <f t="shared" si="25"/>
        <v>1306.5008799959712</v>
      </c>
      <c r="AF14">
        <f t="shared" si="26"/>
        <v>1245.1393297641905</v>
      </c>
      <c r="AG14">
        <f t="shared" si="27"/>
        <v>1309.2199144327403</v>
      </c>
      <c r="AH14">
        <f t="shared" si="28"/>
        <v>0</v>
      </c>
      <c r="AI14">
        <f t="shared" si="29"/>
        <v>0</v>
      </c>
      <c r="AJ14">
        <f t="shared" si="30"/>
        <v>0</v>
      </c>
      <c r="AK14">
        <f t="shared" si="31"/>
        <v>0.53847856235129932</v>
      </c>
      <c r="AL14">
        <f t="shared" si="32"/>
        <v>15.321120877861155</v>
      </c>
      <c r="AM14">
        <f t="shared" si="10"/>
        <v>0</v>
      </c>
      <c r="AN14">
        <f>IF($S$2=0,0,(SUMPRODUCT($K$2:$R$2,Assumptions!$B$34:$I$34)/$U$2+$J$2/$U$2*Assumptions!$A$34*G14)*K14*O13)</f>
        <v>20.831047734578792</v>
      </c>
      <c r="AO14">
        <f t="shared" si="33"/>
        <v>0</v>
      </c>
      <c r="AP14">
        <f t="shared" si="34"/>
        <v>0</v>
      </c>
      <c r="AQ14">
        <f>IF(B14&gt;$AJ$2,0,AQ13*(1+Assumptions!$B$43)^(1/12))</f>
        <v>1.0024906793143209</v>
      </c>
      <c r="AR14" s="27">
        <f>IF(B14&gt;$AJ$2,0,(O13+R13)*Assumptions!$B$39/12*AQ13+AV14*Assumptions!$B$41/12)</f>
        <v>11.895491286290813</v>
      </c>
      <c r="AS14">
        <f t="shared" si="35"/>
        <v>119.32414500102342</v>
      </c>
      <c r="AT14" s="28">
        <f t="shared" si="36"/>
        <v>1380.2887102320742</v>
      </c>
      <c r="AU14">
        <f t="shared" si="37"/>
        <v>5.0836121958291489</v>
      </c>
      <c r="AV14" s="28">
        <f t="shared" si="38"/>
        <v>1378.571688875719</v>
      </c>
      <c r="AW14" s="28">
        <f t="shared" si="39"/>
        <v>1496.7808320245135</v>
      </c>
      <c r="AX14" s="23">
        <f>HLOOKUP(YEAR(A14),Assumptions!$A$25:$AL$29,2,TRUE)/100</f>
        <v>1.4716E-2</v>
      </c>
      <c r="AY14" s="29">
        <f>1/(1+HLOOKUP(YEAR(A14),Assumptions!$A$18:$AL$20,3,TRUE))^(1/12)</f>
        <v>0.99868284646645789</v>
      </c>
      <c r="AZ14" s="26">
        <f t="shared" si="40"/>
        <v>-5999.3101145914816</v>
      </c>
      <c r="BA14">
        <f t="shared" si="41"/>
        <v>36.690647174791245</v>
      </c>
      <c r="BB14">
        <f t="shared" si="42"/>
        <v>1375.3113635782836</v>
      </c>
      <c r="BC14">
        <f t="shared" si="43"/>
        <v>0</v>
      </c>
    </row>
    <row r="15" spans="1:55" x14ac:dyDescent="0.2">
      <c r="A15" s="3">
        <f t="shared" si="11"/>
        <v>43220</v>
      </c>
      <c r="B15">
        <f t="shared" si="2"/>
        <v>17</v>
      </c>
      <c r="C15">
        <f t="shared" si="3"/>
        <v>1.3333333333333335</v>
      </c>
      <c r="D15">
        <f t="shared" si="4"/>
        <v>0</v>
      </c>
      <c r="E15">
        <f t="shared" si="5"/>
        <v>57</v>
      </c>
      <c r="F15">
        <f>IF(C15&gt;=$T$2,0,VLOOKUP($E15,'Mortality Table'!$A$3:$C$128,2+AF$2,FALSE))</f>
        <v>4.6439000000000003E-3</v>
      </c>
      <c r="G15">
        <f>F15*Assumptions!$B$1</f>
        <v>4.6439000000000003E-3</v>
      </c>
      <c r="H15">
        <f t="shared" si="12"/>
        <v>3.8781781284513706E-4</v>
      </c>
      <c r="I15">
        <f t="shared" si="13"/>
        <v>3.6769920442940827E-4</v>
      </c>
      <c r="J15">
        <f>IF(B15&gt;$AJ$2,0,HLOOKUP(C15,Assumptions!$A$6:$J$7,2,TRUE))</f>
        <v>0.124</v>
      </c>
      <c r="K15" s="4">
        <f t="shared" si="0"/>
        <v>1</v>
      </c>
      <c r="L15" s="4">
        <f t="shared" si="14"/>
        <v>8.3333333333333329E-2</v>
      </c>
      <c r="M15" s="4">
        <f t="shared" si="6"/>
        <v>1.097179824088057E-2</v>
      </c>
      <c r="N15">
        <f t="shared" si="15"/>
        <v>1.0457974614808718E-2</v>
      </c>
      <c r="O15" s="21">
        <f t="shared" si="7"/>
        <v>0.93829338879799384</v>
      </c>
      <c r="P15">
        <f>IF(B15&gt;$AJ$2,0,HLOOKUP(C15,Assumptions!$A$12:$J$13,2,TRUE))</f>
        <v>5.2600000000000001E-2</v>
      </c>
      <c r="Q15">
        <f t="shared" si="8"/>
        <v>4.2344964702007958E-3</v>
      </c>
      <c r="R15">
        <f t="shared" si="16"/>
        <v>1.7052992356037969E-2</v>
      </c>
      <c r="S15">
        <f t="shared" si="44"/>
        <v>5.0007546862794376E-6</v>
      </c>
      <c r="T15">
        <f t="shared" si="45"/>
        <v>1.4222974902856046E-4</v>
      </c>
      <c r="U15">
        <f t="shared" si="17"/>
        <v>3090</v>
      </c>
      <c r="V15">
        <f t="shared" si="18"/>
        <v>1410.2</v>
      </c>
      <c r="W15">
        <f t="shared" si="19"/>
        <v>0.12</v>
      </c>
      <c r="X15">
        <f t="shared" si="9"/>
        <v>245.48854146501392</v>
      </c>
      <c r="Y15">
        <f t="shared" si="20"/>
        <v>123.18533333333333</v>
      </c>
      <c r="Z15">
        <f t="shared" si="21"/>
        <v>1553.2413333333334</v>
      </c>
      <c r="AA15">
        <f t="shared" si="22"/>
        <v>0</v>
      </c>
      <c r="AB15">
        <f t="shared" si="23"/>
        <v>1557.2053573397457</v>
      </c>
      <c r="AC15" s="23">
        <f>IF(B15&gt;$AJ$2,0,HLOOKUP(YEAR(A15),Assumptions!$A$25:$AL$29,4,TRUE)/100)</f>
        <v>8.7159999999999998E-3</v>
      </c>
      <c r="AD15">
        <f t="shared" si="24"/>
        <v>0</v>
      </c>
      <c r="AE15">
        <f t="shared" si="25"/>
        <v>1367.76998496586</v>
      </c>
      <c r="AF15">
        <f t="shared" si="26"/>
        <v>1306.5008799959712</v>
      </c>
      <c r="AG15">
        <f t="shared" si="27"/>
        <v>1371.510128844887</v>
      </c>
      <c r="AH15">
        <f t="shared" si="28"/>
        <v>0</v>
      </c>
      <c r="AI15">
        <f t="shared" si="29"/>
        <v>0</v>
      </c>
      <c r="AJ15">
        <f t="shared" si="30"/>
        <v>0</v>
      </c>
      <c r="AK15">
        <f t="shared" si="31"/>
        <v>0.57765909295180817</v>
      </c>
      <c r="AL15">
        <f t="shared" si="32"/>
        <v>16.438296016362141</v>
      </c>
      <c r="AM15">
        <f t="shared" si="10"/>
        <v>0</v>
      </c>
      <c r="AN15">
        <f>IF($S$2=0,0,(SUMPRODUCT($K$2:$R$2,Assumptions!$B$34:$I$34)/$U$2+$J$2/$U$2*Assumptions!$A$34*G15)*K15*O14)</f>
        <v>20.501978709556759</v>
      </c>
      <c r="AO15">
        <f t="shared" si="33"/>
        <v>0</v>
      </c>
      <c r="AP15">
        <f t="shared" si="34"/>
        <v>0</v>
      </c>
      <c r="AQ15">
        <f>IF(B15&gt;$AJ$2,0,AQ14*(1+Assumptions!$B$43)^(1/12))</f>
        <v>1.003322283542089</v>
      </c>
      <c r="AR15" s="27">
        <f>IF(B15&gt;$AJ$2,0,(O14+R14)*Assumptions!$B$39/12*AQ14+AV15*Assumptions!$B$41/12)</f>
        <v>11.796778218960617</v>
      </c>
      <c r="AS15">
        <f t="shared" si="35"/>
        <v>117.43917596070509</v>
      </c>
      <c r="AT15" s="28">
        <f t="shared" si="36"/>
        <v>1480.7206453728888</v>
      </c>
      <c r="AU15">
        <f t="shared" si="37"/>
        <v>7.0308828205836527</v>
      </c>
      <c r="AV15" s="28">
        <f t="shared" si="38"/>
        <v>1482.3095196790516</v>
      </c>
      <c r="AW15" s="28">
        <f t="shared" si="39"/>
        <v>1598.5621069643998</v>
      </c>
      <c r="AX15" s="23">
        <f>HLOOKUP(YEAR(A15),Assumptions!$A$25:$AL$29,2,TRUE)/100</f>
        <v>1.4716E-2</v>
      </c>
      <c r="AY15" s="29">
        <f>1/(1+HLOOKUP(YEAR(A15),Assumptions!$A$18:$AL$20,3,TRUE))^(1/12)</f>
        <v>0.99868284646645789</v>
      </c>
      <c r="AZ15" s="26">
        <f t="shared" si="40"/>
        <v>-5811.0487195714868</v>
      </c>
      <c r="BA15">
        <f t="shared" si="41"/>
        <v>37.517933818870709</v>
      </c>
      <c r="BB15">
        <f t="shared" si="42"/>
        <v>1477.2259074832225</v>
      </c>
      <c r="BC15">
        <f t="shared" si="43"/>
        <v>0</v>
      </c>
    </row>
    <row r="16" spans="1:55" x14ac:dyDescent="0.2">
      <c r="A16" s="3">
        <f t="shared" si="11"/>
        <v>43251</v>
      </c>
      <c r="B16">
        <f t="shared" si="2"/>
        <v>18</v>
      </c>
      <c r="C16">
        <f t="shared" si="3"/>
        <v>1.4166666666666665</v>
      </c>
      <c r="D16">
        <f t="shared" si="4"/>
        <v>0</v>
      </c>
      <c r="E16">
        <f t="shared" si="5"/>
        <v>57</v>
      </c>
      <c r="F16">
        <f>IF(C16&gt;=$T$2,0,VLOOKUP($E16,'Mortality Table'!$A$3:$C$128,2+AF$2,FALSE))</f>
        <v>4.6439000000000003E-3</v>
      </c>
      <c r="G16">
        <f>F16*Assumptions!$B$1</f>
        <v>4.6439000000000003E-3</v>
      </c>
      <c r="H16">
        <f t="shared" si="12"/>
        <v>3.8781781284513706E-4</v>
      </c>
      <c r="I16">
        <f t="shared" si="13"/>
        <v>3.6189064308171811E-4</v>
      </c>
      <c r="J16">
        <f>IF(B16&gt;$AJ$2,0,HLOOKUP(C16,Assumptions!$A$6:$J$7,2,TRUE))</f>
        <v>0.124</v>
      </c>
      <c r="K16" s="4">
        <f t="shared" si="0"/>
        <v>1</v>
      </c>
      <c r="L16" s="4">
        <f t="shared" si="14"/>
        <v>8.3333333333333329E-2</v>
      </c>
      <c r="M16" s="4">
        <f t="shared" si="6"/>
        <v>1.097179824088057E-2</v>
      </c>
      <c r="N16">
        <f t="shared" si="15"/>
        <v>1.0292769505874726E-2</v>
      </c>
      <c r="O16" s="21">
        <f t="shared" si="7"/>
        <v>0.92347112471552817</v>
      </c>
      <c r="P16">
        <f>IF(B16&gt;$AJ$2,0,HLOOKUP(C16,Assumptions!$A$12:$J$13,2,TRUE))</f>
        <v>5.2600000000000001E-2</v>
      </c>
      <c r="Q16">
        <f t="shared" si="8"/>
        <v>4.1676039335092705E-3</v>
      </c>
      <c r="R16">
        <f t="shared" si="16"/>
        <v>2.1026953405300666E-2</v>
      </c>
      <c r="S16">
        <f t="shared" si="44"/>
        <v>6.5771734554156961E-6</v>
      </c>
      <c r="T16">
        <f t="shared" si="45"/>
        <v>1.8706571079115942E-4</v>
      </c>
      <c r="U16">
        <f t="shared" si="17"/>
        <v>3090</v>
      </c>
      <c r="V16">
        <f t="shared" si="18"/>
        <v>1410.2</v>
      </c>
      <c r="W16">
        <f t="shared" si="19"/>
        <v>0.12</v>
      </c>
      <c r="X16">
        <f t="shared" si="9"/>
        <v>241.61054761548343</v>
      </c>
      <c r="Y16">
        <f t="shared" si="20"/>
        <v>123.18533333333333</v>
      </c>
      <c r="Z16">
        <f t="shared" si="21"/>
        <v>1676.4266666666667</v>
      </c>
      <c r="AA16">
        <f t="shared" si="22"/>
        <v>0</v>
      </c>
      <c r="AB16">
        <f t="shared" si="23"/>
        <v>1681.6063656354063</v>
      </c>
      <c r="AC16" s="23">
        <f>IF(B16&gt;$AJ$2,0,HLOOKUP(YEAR(A16),Assumptions!$A$25:$AL$29,4,TRUE)/100)</f>
        <v>8.7159999999999998E-3</v>
      </c>
      <c r="AD16">
        <f t="shared" si="24"/>
        <v>0</v>
      </c>
      <c r="AE16">
        <f t="shared" si="25"/>
        <v>1428.9466459858975</v>
      </c>
      <c r="AF16">
        <f t="shared" si="26"/>
        <v>1367.76998496586</v>
      </c>
      <c r="AG16">
        <f t="shared" si="27"/>
        <v>1433.767669784065</v>
      </c>
      <c r="AH16">
        <f t="shared" si="28"/>
        <v>0</v>
      </c>
      <c r="AI16">
        <f t="shared" si="29"/>
        <v>0</v>
      </c>
      <c r="AJ16">
        <f t="shared" si="30"/>
        <v>0</v>
      </c>
      <c r="AK16">
        <f t="shared" si="31"/>
        <v>0.6156791849175729</v>
      </c>
      <c r="AL16">
        <f t="shared" si="32"/>
        <v>17.522380193515875</v>
      </c>
      <c r="AM16">
        <f t="shared" si="10"/>
        <v>0</v>
      </c>
      <c r="AN16">
        <f>IF($S$2=0,0,(SUMPRODUCT($K$2:$R$2,Assumptions!$B$34:$I$34)/$U$2+$J$2/$U$2*Assumptions!$A$34*G16)*K16*O15)</f>
        <v>20.178108003150705</v>
      </c>
      <c r="AO16">
        <f t="shared" si="33"/>
        <v>0</v>
      </c>
      <c r="AP16">
        <f t="shared" si="34"/>
        <v>0</v>
      </c>
      <c r="AQ16">
        <f>IF(B16&gt;$AJ$2,0,AQ15*(1+Assumptions!$B$43)^(1/12))</f>
        <v>1.00415457761726</v>
      </c>
      <c r="AR16" s="27">
        <f>IF(B16&gt;$AJ$2,0,(O15+R15)*Assumptions!$B$39/12*AQ15+AV16*Assumptions!$B$41/12)</f>
        <v>11.698700783017541</v>
      </c>
      <c r="AS16">
        <f t="shared" si="35"/>
        <v>115.58398386354381</v>
      </c>
      <c r="AT16" s="28">
        <f t="shared" si="36"/>
        <v>1578.1780139135767</v>
      </c>
      <c r="AU16">
        <f t="shared" si="37"/>
        <v>9.0986555908915641</v>
      </c>
      <c r="AV16" s="28">
        <f t="shared" si="38"/>
        <v>1583.1574040538655</v>
      </c>
      <c r="AW16" s="28">
        <f t="shared" si="39"/>
        <v>1697.4852670227876</v>
      </c>
      <c r="AX16" s="23">
        <f>HLOOKUP(YEAR(A16),Assumptions!$A$25:$AL$29,2,TRUE)/100</f>
        <v>1.4716E-2</v>
      </c>
      <c r="AY16" s="29">
        <f>1/(1+HLOOKUP(YEAR(A16),Assumptions!$A$18:$AL$20,3,TRUE))^(1/12)</f>
        <v>0.99868284646645789</v>
      </c>
      <c r="AZ16" s="26">
        <f t="shared" si="40"/>
        <v>-5627.117178321887</v>
      </c>
      <c r="BA16">
        <f t="shared" si="41"/>
        <v>38.316167381584151</v>
      </c>
      <c r="BB16">
        <f t="shared" si="42"/>
        <v>1576.1265212332819</v>
      </c>
      <c r="BC16">
        <f t="shared" si="43"/>
        <v>0</v>
      </c>
    </row>
    <row r="17" spans="1:55" x14ac:dyDescent="0.2">
      <c r="A17" s="3">
        <f t="shared" si="11"/>
        <v>43281</v>
      </c>
      <c r="B17">
        <f t="shared" si="2"/>
        <v>19</v>
      </c>
      <c r="C17">
        <f t="shared" si="3"/>
        <v>1.5</v>
      </c>
      <c r="D17">
        <f t="shared" si="4"/>
        <v>0</v>
      </c>
      <c r="E17">
        <f t="shared" si="5"/>
        <v>57</v>
      </c>
      <c r="F17">
        <f>IF(C17&gt;=$T$2,0,VLOOKUP($E17,'Mortality Table'!$A$3:$C$128,2+AF$2,FALSE))</f>
        <v>4.6439000000000003E-3</v>
      </c>
      <c r="G17">
        <f>F17*Assumptions!$B$1</f>
        <v>4.6439000000000003E-3</v>
      </c>
      <c r="H17">
        <f t="shared" si="12"/>
        <v>3.8781781284513706E-4</v>
      </c>
      <c r="I17">
        <f t="shared" si="13"/>
        <v>3.5617383984642927E-4</v>
      </c>
      <c r="J17">
        <f>IF(B17&gt;$AJ$2,0,HLOOKUP(C17,Assumptions!$A$6:$J$7,2,TRUE))</f>
        <v>0.124</v>
      </c>
      <c r="K17" s="4">
        <f t="shared" si="0"/>
        <v>1</v>
      </c>
      <c r="L17" s="4">
        <f t="shared" si="14"/>
        <v>8.3333333333333329E-2</v>
      </c>
      <c r="M17" s="4">
        <f t="shared" si="6"/>
        <v>1.097179824088057E-2</v>
      </c>
      <c r="N17">
        <f t="shared" si="15"/>
        <v>1.0130174149691449E-2</v>
      </c>
      <c r="O17" s="21">
        <f t="shared" si="7"/>
        <v>0.90888300862467497</v>
      </c>
      <c r="P17">
        <f>IF(B17&gt;$AJ$2,0,HLOOKUP(C17,Assumptions!$A$12:$J$13,2,TRUE))</f>
        <v>5.2600000000000001E-2</v>
      </c>
      <c r="Q17">
        <f t="shared" si="8"/>
        <v>4.1017681013153211E-3</v>
      </c>
      <c r="R17">
        <f t="shared" si="16"/>
        <v>2.4889952860075244E-2</v>
      </c>
      <c r="S17">
        <f t="shared" si="44"/>
        <v>8.1098916189122044E-6</v>
      </c>
      <c r="T17">
        <f t="shared" si="45"/>
        <v>2.3065875492182743E-4</v>
      </c>
      <c r="U17">
        <f t="shared" si="17"/>
        <v>3090</v>
      </c>
      <c r="V17">
        <f t="shared" si="18"/>
        <v>1410.2</v>
      </c>
      <c r="W17">
        <f t="shared" si="19"/>
        <v>0.12</v>
      </c>
      <c r="X17">
        <f t="shared" si="9"/>
        <v>237.7938146142485</v>
      </c>
      <c r="Y17">
        <f t="shared" si="20"/>
        <v>123.18533333333333</v>
      </c>
      <c r="Z17">
        <f t="shared" si="21"/>
        <v>1799.6120000000001</v>
      </c>
      <c r="AA17">
        <f t="shared" si="22"/>
        <v>0</v>
      </c>
      <c r="AB17">
        <f t="shared" si="23"/>
        <v>1806.097371567874</v>
      </c>
      <c r="AC17" s="23">
        <f>IF(B17&gt;$AJ$2,0,HLOOKUP(YEAR(A17),Assumptions!$A$25:$AL$29,4,TRUE)/100)</f>
        <v>8.7159999999999998E-3</v>
      </c>
      <c r="AD17">
        <f t="shared" si="24"/>
        <v>0</v>
      </c>
      <c r="AE17">
        <f t="shared" si="25"/>
        <v>1490.0308647429595</v>
      </c>
      <c r="AF17">
        <f t="shared" si="26"/>
        <v>1428.9466459858975</v>
      </c>
      <c r="AG17">
        <f t="shared" si="27"/>
        <v>1495.9924869082813</v>
      </c>
      <c r="AH17">
        <f t="shared" si="28"/>
        <v>0</v>
      </c>
      <c r="AI17">
        <f t="shared" si="29"/>
        <v>0</v>
      </c>
      <c r="AJ17">
        <f t="shared" si="30"/>
        <v>0</v>
      </c>
      <c r="AK17">
        <f t="shared" si="31"/>
        <v>0.65256331870186601</v>
      </c>
      <c r="AL17">
        <f t="shared" si="32"/>
        <v>18.574071625931232</v>
      </c>
      <c r="AM17">
        <f t="shared" si="10"/>
        <v>0</v>
      </c>
      <c r="AN17">
        <f>IF($S$2=0,0,(SUMPRODUCT($K$2:$R$2,Assumptions!$B$34:$I$34)/$U$2+$J$2/$U$2*Assumptions!$A$34*G17)*K17*O16)</f>
        <v>19.859353497280892</v>
      </c>
      <c r="AO17">
        <f t="shared" si="33"/>
        <v>0</v>
      </c>
      <c r="AP17">
        <f t="shared" si="34"/>
        <v>0</v>
      </c>
      <c r="AQ17">
        <f>IF(B17&gt;$AJ$2,0,AQ16*(1+Assumptions!$B$43)^(1/12))</f>
        <v>1.0049875621120887</v>
      </c>
      <c r="AR17" s="27">
        <f>IF(B17&gt;$AJ$2,0,(O16+R16)*Assumptions!$B$39/12*AQ16+AV17*Assumptions!$B$41/12)</f>
        <v>11.601258947790214</v>
      </c>
      <c r="AS17">
        <f t="shared" si="35"/>
        <v>113.75809832179057</v>
      </c>
      <c r="AT17" s="28">
        <f t="shared" si="36"/>
        <v>1672.7235669005779</v>
      </c>
      <c r="AU17">
        <f t="shared" si="37"/>
        <v>11.283521477655366</v>
      </c>
      <c r="AV17" s="28">
        <f t="shared" si="38"/>
        <v>1681.1754143289781</v>
      </c>
      <c r="AW17" s="28">
        <f t="shared" si="39"/>
        <v>1793.6098716736458</v>
      </c>
      <c r="AX17" s="23">
        <f>HLOOKUP(YEAR(A17),Assumptions!$A$25:$AL$29,2,TRUE)/100</f>
        <v>1.4716E-2</v>
      </c>
      <c r="AY17" s="29">
        <f>1/(1+HLOOKUP(YEAR(A17),Assumptions!$A$18:$AL$20,3,TRUE))^(1/12)</f>
        <v>0.99868284646645789</v>
      </c>
      <c r="AZ17" s="26">
        <f t="shared" si="40"/>
        <v>-5447.4321636966561</v>
      </c>
      <c r="BA17">
        <f t="shared" si="41"/>
        <v>39.08598844191399</v>
      </c>
      <c r="BB17">
        <f t="shared" si="42"/>
        <v>1672.0767587380865</v>
      </c>
      <c r="BC17">
        <f t="shared" si="43"/>
        <v>0</v>
      </c>
    </row>
    <row r="18" spans="1:55" x14ac:dyDescent="0.2">
      <c r="A18" s="3">
        <f t="shared" si="11"/>
        <v>43312</v>
      </c>
      <c r="B18">
        <f t="shared" si="2"/>
        <v>20</v>
      </c>
      <c r="C18">
        <f t="shared" si="3"/>
        <v>1.5833333333333335</v>
      </c>
      <c r="D18">
        <f t="shared" si="4"/>
        <v>0</v>
      </c>
      <c r="E18">
        <f t="shared" si="5"/>
        <v>57</v>
      </c>
      <c r="F18">
        <f>IF(C18&gt;=$T$2,0,VLOOKUP($E18,'Mortality Table'!$A$3:$C$128,2+AF$2,FALSE))</f>
        <v>4.6439000000000003E-3</v>
      </c>
      <c r="G18">
        <f>F18*Assumptions!$B$1</f>
        <v>4.6439000000000003E-3</v>
      </c>
      <c r="H18">
        <f t="shared" si="12"/>
        <v>3.8781781284513706E-4</v>
      </c>
      <c r="I18">
        <f t="shared" si="13"/>
        <v>3.5054734521639387E-4</v>
      </c>
      <c r="J18">
        <f>IF(B18&gt;$AJ$2,0,HLOOKUP(C18,Assumptions!$A$6:$J$7,2,TRUE))</f>
        <v>0.124</v>
      </c>
      <c r="K18" s="4">
        <f t="shared" si="0"/>
        <v>1</v>
      </c>
      <c r="L18" s="4">
        <f t="shared" si="14"/>
        <v>8.3333333333333329E-2</v>
      </c>
      <c r="M18" s="4">
        <f t="shared" si="6"/>
        <v>1.097179824088057E-2</v>
      </c>
      <c r="N18">
        <f t="shared" si="15"/>
        <v>9.9701473198739142E-3</v>
      </c>
      <c r="O18" s="21">
        <f t="shared" si="7"/>
        <v>0.89452534167877551</v>
      </c>
      <c r="P18">
        <f>IF(B18&gt;$AJ$2,0,HLOOKUP(C18,Assumptions!$A$12:$J$13,2,TRUE))</f>
        <v>5.2600000000000001E-2</v>
      </c>
      <c r="Q18">
        <f t="shared" si="8"/>
        <v>4.0369722808090988E-3</v>
      </c>
      <c r="R18">
        <f t="shared" si="16"/>
        <v>2.8644290741011422E-2</v>
      </c>
      <c r="S18">
        <f t="shared" si="44"/>
        <v>9.5998129735788872E-6</v>
      </c>
      <c r="T18">
        <f t="shared" si="45"/>
        <v>2.730345868993398E-4</v>
      </c>
      <c r="U18">
        <f t="shared" si="17"/>
        <v>3090</v>
      </c>
      <c r="V18">
        <f t="shared" si="18"/>
        <v>1410.2</v>
      </c>
      <c r="W18">
        <f t="shared" si="19"/>
        <v>0.12</v>
      </c>
      <c r="X18">
        <f t="shared" si="9"/>
        <v>234.03737472085382</v>
      </c>
      <c r="Y18">
        <f t="shared" si="20"/>
        <v>123.18533333333333</v>
      </c>
      <c r="Z18">
        <f t="shared" si="21"/>
        <v>1922.7973333333334</v>
      </c>
      <c r="AA18">
        <f t="shared" si="22"/>
        <v>0</v>
      </c>
      <c r="AB18">
        <f t="shared" si="23"/>
        <v>1930.678440245742</v>
      </c>
      <c r="AC18" s="23">
        <f>IF(B18&gt;$AJ$2,0,HLOOKUP(YEAR(A18),Assumptions!$A$25:$AL$29,4,TRUE)/100)</f>
        <v>8.7159999999999998E-3</v>
      </c>
      <c r="AD18">
        <f t="shared" si="24"/>
        <v>0</v>
      </c>
      <c r="AE18">
        <f t="shared" si="25"/>
        <v>1551.0226432987336</v>
      </c>
      <c r="AF18">
        <f t="shared" si="26"/>
        <v>1490.0308647429595</v>
      </c>
      <c r="AG18">
        <f t="shared" si="27"/>
        <v>1558.1845301433523</v>
      </c>
      <c r="AH18">
        <f t="shared" si="28"/>
        <v>0</v>
      </c>
      <c r="AI18">
        <f t="shared" si="29"/>
        <v>0</v>
      </c>
      <c r="AJ18">
        <f t="shared" si="30"/>
        <v>0</v>
      </c>
      <c r="AK18">
        <f t="shared" si="31"/>
        <v>0.68833551821555405</v>
      </c>
      <c r="AL18">
        <f t="shared" si="32"/>
        <v>19.594055506278636</v>
      </c>
      <c r="AM18">
        <f t="shared" si="10"/>
        <v>0</v>
      </c>
      <c r="AN18">
        <f>IF($S$2=0,0,(SUMPRODUCT($K$2:$R$2,Assumptions!$B$34:$I$34)/$U$2+$J$2/$U$2*Assumptions!$A$34*G18)*K18*O17)</f>
        <v>19.545634371090706</v>
      </c>
      <c r="AO18">
        <f t="shared" si="33"/>
        <v>0</v>
      </c>
      <c r="AP18">
        <f t="shared" si="34"/>
        <v>0</v>
      </c>
      <c r="AQ18">
        <f>IF(B18&gt;$AJ$2,0,AQ17*(1+Assumptions!$B$43)^(1/12))</f>
        <v>1.0058212375993045</v>
      </c>
      <c r="AR18" s="27">
        <f>IF(B18&gt;$AJ$2,0,(O17+R17)*Assumptions!$B$39/12*AQ17+AV18*Assumptions!$B$41/12)</f>
        <v>11.504452575026896</v>
      </c>
      <c r="AS18">
        <f t="shared" si="35"/>
        <v>111.96105637843345</v>
      </c>
      <c r="AT18" s="28">
        <f t="shared" si="36"/>
        <v>1764.4188851195795</v>
      </c>
      <c r="AU18">
        <f t="shared" si="37"/>
        <v>13.582142658372156</v>
      </c>
      <c r="AV18" s="28">
        <f t="shared" si="38"/>
        <v>1776.4225103855758</v>
      </c>
      <c r="AW18" s="28">
        <f t="shared" si="39"/>
        <v>1886.9943761529696</v>
      </c>
      <c r="AX18" s="23">
        <f>HLOOKUP(YEAR(A18),Assumptions!$A$25:$AL$29,2,TRUE)/100</f>
        <v>1.4716E-2</v>
      </c>
      <c r="AY18" s="29">
        <f>1/(1+HLOOKUP(YEAR(A18),Assumptions!$A$18:$AL$20,3,TRUE))^(1/12)</f>
        <v>0.99868284646645789</v>
      </c>
      <c r="AZ18" s="26">
        <f t="shared" si="40"/>
        <v>-5271.9118346482928</v>
      </c>
      <c r="BA18">
        <f t="shared" si="41"/>
        <v>39.828025395584895</v>
      </c>
      <c r="BB18">
        <f t="shared" si="42"/>
        <v>1765.1389889079205</v>
      </c>
      <c r="BC18">
        <f t="shared" si="43"/>
        <v>0</v>
      </c>
    </row>
    <row r="19" spans="1:55" x14ac:dyDescent="0.2">
      <c r="A19" s="3">
        <f t="shared" si="11"/>
        <v>43343</v>
      </c>
      <c r="B19">
        <f t="shared" si="2"/>
        <v>21</v>
      </c>
      <c r="C19">
        <f t="shared" si="3"/>
        <v>1.6666666666666665</v>
      </c>
      <c r="D19">
        <f t="shared" si="4"/>
        <v>0</v>
      </c>
      <c r="E19">
        <f t="shared" si="5"/>
        <v>57</v>
      </c>
      <c r="F19">
        <f>IF(C19&gt;=$T$2,0,VLOOKUP($E19,'Mortality Table'!$A$3:$C$128,2+AF$2,FALSE))</f>
        <v>4.6439000000000003E-3</v>
      </c>
      <c r="G19">
        <f>F19*Assumptions!$B$1</f>
        <v>4.6439000000000003E-3</v>
      </c>
      <c r="H19">
        <f t="shared" si="12"/>
        <v>3.8781781284513706E-4</v>
      </c>
      <c r="I19">
        <f t="shared" si="13"/>
        <v>3.4500973258239575E-4</v>
      </c>
      <c r="J19">
        <f>IF(B19&gt;$AJ$2,0,HLOOKUP(C19,Assumptions!$A$6:$J$7,2,TRUE))</f>
        <v>0.124</v>
      </c>
      <c r="K19" s="4">
        <f t="shared" si="0"/>
        <v>1</v>
      </c>
      <c r="L19" s="4">
        <f t="shared" si="14"/>
        <v>8.3333333333333329E-2</v>
      </c>
      <c r="M19" s="4">
        <f t="shared" si="6"/>
        <v>1.097179824088057E-2</v>
      </c>
      <c r="N19">
        <f t="shared" si="15"/>
        <v>9.8126484412922651E-3</v>
      </c>
      <c r="O19" s="21">
        <f t="shared" si="7"/>
        <v>0.88039448346202298</v>
      </c>
      <c r="P19">
        <f>IF(B19&gt;$AJ$2,0,HLOOKUP(C19,Assumptions!$A$12:$J$13,2,TRUE))</f>
        <v>5.2600000000000001E-2</v>
      </c>
      <c r="Q19">
        <f t="shared" si="8"/>
        <v>3.9732000428778468E-3</v>
      </c>
      <c r="R19">
        <f t="shared" si="16"/>
        <v>3.2292224522081386E-2</v>
      </c>
      <c r="S19">
        <f t="shared" si="44"/>
        <v>1.1047824615032065E-5</v>
      </c>
      <c r="T19">
        <f t="shared" si="45"/>
        <v>3.1421843719285354E-4</v>
      </c>
      <c r="U19">
        <f t="shared" si="17"/>
        <v>3090</v>
      </c>
      <c r="V19">
        <f t="shared" si="18"/>
        <v>1410.2</v>
      </c>
      <c r="W19">
        <f t="shared" si="19"/>
        <v>0.12</v>
      </c>
      <c r="X19">
        <f t="shared" si="9"/>
        <v>230.34027548228468</v>
      </c>
      <c r="Y19">
        <f t="shared" si="20"/>
        <v>123.18533333333333</v>
      </c>
      <c r="Z19">
        <f t="shared" si="21"/>
        <v>2045.9826666666668</v>
      </c>
      <c r="AA19">
        <f t="shared" si="22"/>
        <v>0</v>
      </c>
      <c r="AB19">
        <f t="shared" si="23"/>
        <v>2055.3496368247061</v>
      </c>
      <c r="AC19" s="23">
        <f>IF(B19&gt;$AJ$2,0,HLOOKUP(YEAR(A19),Assumptions!$A$25:$AL$29,4,TRUE)/100)</f>
        <v>8.7159999999999998E-3</v>
      </c>
      <c r="AD19">
        <f t="shared" si="24"/>
        <v>0</v>
      </c>
      <c r="AE19">
        <f t="shared" si="25"/>
        <v>1611.921984089689</v>
      </c>
      <c r="AF19">
        <f t="shared" si="26"/>
        <v>1551.0226432987336</v>
      </c>
      <c r="AG19">
        <f t="shared" si="27"/>
        <v>1620.3437496834097</v>
      </c>
      <c r="AH19">
        <f t="shared" si="28"/>
        <v>0</v>
      </c>
      <c r="AI19">
        <f t="shared" si="29"/>
        <v>0</v>
      </c>
      <c r="AJ19">
        <f t="shared" si="30"/>
        <v>0</v>
      </c>
      <c r="AK19">
        <f t="shared" si="31"/>
        <v>0.72301935883199153</v>
      </c>
      <c r="AL19">
        <f t="shared" si="32"/>
        <v>20.583004231695124</v>
      </c>
      <c r="AM19">
        <f t="shared" si="10"/>
        <v>0</v>
      </c>
      <c r="AN19">
        <f>IF($S$2=0,0,(SUMPRODUCT($K$2:$R$2,Assumptions!$B$34:$I$34)/$U$2+$J$2/$U$2*Assumptions!$A$34*G19)*K19*O18)</f>
        <v>19.236871080454328</v>
      </c>
      <c r="AO19">
        <f t="shared" si="33"/>
        <v>0</v>
      </c>
      <c r="AP19">
        <f t="shared" si="34"/>
        <v>0</v>
      </c>
      <c r="AQ19">
        <f>IF(B19&gt;$AJ$2,0,AQ18*(1+Assumptions!$B$43)^(1/12))</f>
        <v>1.006655604652112</v>
      </c>
      <c r="AR19" s="27">
        <f>IF(B19&gt;$AJ$2,0,(O18+R18)*Assumptions!$B$39/12*AQ18+AV19*Assumptions!$B$41/12)</f>
        <v>11.408281421763666</v>
      </c>
      <c r="AS19">
        <f t="shared" si="35"/>
        <v>110.19240238981385</v>
      </c>
      <c r="AT19" s="28">
        <f t="shared" si="36"/>
        <v>1853.3243996145557</v>
      </c>
      <c r="AU19">
        <f t="shared" si="37"/>
        <v>15.991251195527608</v>
      </c>
      <c r="AV19" s="28">
        <f t="shared" si="38"/>
        <v>1868.956559087311</v>
      </c>
      <c r="AW19" s="28">
        <f t="shared" si="39"/>
        <v>1977.6961507580181</v>
      </c>
      <c r="AX19" s="23">
        <f>HLOOKUP(YEAR(A19),Assumptions!$A$25:$AL$29,2,TRUE)/100</f>
        <v>1.4716E-2</v>
      </c>
      <c r="AY19" s="29">
        <f>1/(1+HLOOKUP(YEAR(A19),Assumptions!$A$18:$AL$20,3,TRUE))^(1/12)</f>
        <v>0.99868284646645789</v>
      </c>
      <c r="AZ19" s="26">
        <f t="shared" si="40"/>
        <v>-5100.4758108283386</v>
      </c>
      <c r="BA19">
        <f t="shared" si="41"/>
        <v>40.54289467098144</v>
      </c>
      <c r="BB19">
        <f t="shared" si="42"/>
        <v>1855.374416428939</v>
      </c>
      <c r="BC19">
        <f t="shared" si="43"/>
        <v>0</v>
      </c>
    </row>
    <row r="20" spans="1:55" x14ac:dyDescent="0.2">
      <c r="A20" s="3">
        <f t="shared" si="11"/>
        <v>43373</v>
      </c>
      <c r="B20">
        <f t="shared" si="2"/>
        <v>22</v>
      </c>
      <c r="C20">
        <f t="shared" si="3"/>
        <v>1.75</v>
      </c>
      <c r="D20">
        <f t="shared" si="4"/>
        <v>0</v>
      </c>
      <c r="E20">
        <f t="shared" si="5"/>
        <v>57</v>
      </c>
      <c r="F20">
        <f>IF(C20&gt;=$T$2,0,VLOOKUP($E20,'Mortality Table'!$A$3:$C$128,2+AF$2,FALSE))</f>
        <v>4.6439000000000003E-3</v>
      </c>
      <c r="G20">
        <f>F20*Assumptions!$B$1</f>
        <v>4.6439000000000003E-3</v>
      </c>
      <c r="H20">
        <f t="shared" si="12"/>
        <v>3.8781781284513706E-4</v>
      </c>
      <c r="I20">
        <f t="shared" si="13"/>
        <v>3.395595978714305E-4</v>
      </c>
      <c r="J20">
        <f>IF(B20&gt;$AJ$2,0,HLOOKUP(C20,Assumptions!$A$6:$J$7,2,TRUE))</f>
        <v>0.124</v>
      </c>
      <c r="K20" s="4">
        <f t="shared" si="0"/>
        <v>1</v>
      </c>
      <c r="L20" s="4">
        <f t="shared" si="14"/>
        <v>8.3333333333333329E-2</v>
      </c>
      <c r="M20" s="4">
        <f t="shared" si="6"/>
        <v>1.097179824088057E-2</v>
      </c>
      <c r="N20">
        <f t="shared" si="15"/>
        <v>9.6576375797838461E-3</v>
      </c>
      <c r="O20" s="21">
        <f t="shared" si="7"/>
        <v>0.86648685106642742</v>
      </c>
      <c r="P20">
        <f>IF(B20&gt;$AJ$2,0,HLOOKUP(C20,Assumptions!$A$12:$J$13,2,TRUE))</f>
        <v>5.2600000000000001E-2</v>
      </c>
      <c r="Q20">
        <f t="shared" si="8"/>
        <v>3.9104352179402616E-3</v>
      </c>
      <c r="R20">
        <f t="shared" si="16"/>
        <v>3.5835969873244111E-2</v>
      </c>
      <c r="S20">
        <f t="shared" si="44"/>
        <v>1.2454797229047948E-5</v>
      </c>
      <c r="T20">
        <f t="shared" si="45"/>
        <v>3.5423506954848318E-4</v>
      </c>
      <c r="U20">
        <f t="shared" si="17"/>
        <v>3090</v>
      </c>
      <c r="V20">
        <f t="shared" si="18"/>
        <v>1410.2</v>
      </c>
      <c r="W20">
        <f t="shared" si="19"/>
        <v>0.12</v>
      </c>
      <c r="X20">
        <f t="shared" si="9"/>
        <v>226.70157949147091</v>
      </c>
      <c r="Y20">
        <f t="shared" si="20"/>
        <v>123.18533333333333</v>
      </c>
      <c r="Z20">
        <f t="shared" si="21"/>
        <v>2169.1680000000001</v>
      </c>
      <c r="AA20">
        <f t="shared" si="22"/>
        <v>0</v>
      </c>
      <c r="AB20">
        <f t="shared" si="23"/>
        <v>2180.1110265075986</v>
      </c>
      <c r="AC20" s="23">
        <f>IF(B20&gt;$AJ$2,0,HLOOKUP(YEAR(A20),Assumptions!$A$25:$AL$29,4,TRUE)/100)</f>
        <v>8.7159999999999998E-3</v>
      </c>
      <c r="AD20">
        <f t="shared" si="24"/>
        <v>0</v>
      </c>
      <c r="AE20">
        <f t="shared" si="25"/>
        <v>1672.7288899270422</v>
      </c>
      <c r="AF20">
        <f t="shared" si="26"/>
        <v>1611.921984089689</v>
      </c>
      <c r="AG20">
        <f t="shared" si="27"/>
        <v>1682.4700959914035</v>
      </c>
      <c r="AH20">
        <f t="shared" si="28"/>
        <v>0</v>
      </c>
      <c r="AI20">
        <f t="shared" si="29"/>
        <v>0</v>
      </c>
      <c r="AJ20">
        <f t="shared" si="30"/>
        <v>0</v>
      </c>
      <c r="AK20">
        <f t="shared" si="31"/>
        <v>0.75663797525645693</v>
      </c>
      <c r="AL20">
        <f t="shared" si="32"/>
        <v>21.54157762832363</v>
      </c>
      <c r="AM20">
        <f t="shared" si="10"/>
        <v>0</v>
      </c>
      <c r="AN20">
        <f>IF($S$2=0,0,(SUMPRODUCT($K$2:$R$2,Assumptions!$B$34:$I$34)/$U$2+$J$2/$U$2*Assumptions!$A$34*G20)*K20*O19)</f>
        <v>18.932985337808187</v>
      </c>
      <c r="AO20">
        <f t="shared" si="33"/>
        <v>0</v>
      </c>
      <c r="AP20">
        <f t="shared" si="34"/>
        <v>0</v>
      </c>
      <c r="AQ20">
        <f>IF(B20&gt;$AJ$2,0,AQ19*(1+Assumptions!$B$43)^(1/12))</f>
        <v>1.0074906638441912</v>
      </c>
      <c r="AR20" s="27">
        <f>IF(B20&gt;$AJ$2,0,(O19+R19)*Assumptions!$B$39/12*AQ19+AV20*Assumptions!$B$41/12)</f>
        <v>11.312745143134627</v>
      </c>
      <c r="AS20">
        <f t="shared" si="35"/>
        <v>108.45168791009712</v>
      </c>
      <c r="AT20" s="28">
        <f t="shared" si="36"/>
        <v>1939.499411859591</v>
      </c>
      <c r="AU20">
        <f t="shared" si="37"/>
        <v>18.507647738102051</v>
      </c>
      <c r="AV20" s="28">
        <f t="shared" si="38"/>
        <v>1958.8343533823722</v>
      </c>
      <c r="AW20" s="28">
        <f t="shared" si="39"/>
        <v>2065.7714998206116</v>
      </c>
      <c r="AX20" s="23">
        <f>HLOOKUP(YEAR(A20),Assumptions!$A$25:$AL$29,2,TRUE)/100</f>
        <v>1.4716E-2</v>
      </c>
      <c r="AY20" s="29">
        <f>1/(1+HLOOKUP(YEAR(A20),Assumptions!$A$18:$AL$20,3,TRUE))^(1/12)</f>
        <v>0.99868284646645789</v>
      </c>
      <c r="AZ20" s="26">
        <f t="shared" si="40"/>
        <v>-4933.0451476109247</v>
      </c>
      <c r="BA20">
        <f t="shared" si="41"/>
        <v>41.231200941388273</v>
      </c>
      <c r="BB20">
        <f t="shared" si="42"/>
        <v>1942.8431021868446</v>
      </c>
      <c r="BC20">
        <f t="shared" si="43"/>
        <v>0</v>
      </c>
    </row>
    <row r="21" spans="1:55" x14ac:dyDescent="0.2">
      <c r="A21" s="3">
        <f t="shared" si="11"/>
        <v>43404</v>
      </c>
      <c r="B21">
        <f t="shared" si="2"/>
        <v>23</v>
      </c>
      <c r="C21">
        <f t="shared" si="3"/>
        <v>1.8333333333333335</v>
      </c>
      <c r="D21">
        <f t="shared" si="4"/>
        <v>0</v>
      </c>
      <c r="E21">
        <f t="shared" si="5"/>
        <v>57</v>
      </c>
      <c r="F21">
        <f>IF(C21&gt;=$T$2,0,VLOOKUP($E21,'Mortality Table'!$A$3:$C$128,2+AF$2,FALSE))</f>
        <v>4.6439000000000003E-3</v>
      </c>
      <c r="G21">
        <f>F21*Assumptions!$B$1</f>
        <v>4.6439000000000003E-3</v>
      </c>
      <c r="H21">
        <f t="shared" si="12"/>
        <v>3.8781781284513706E-4</v>
      </c>
      <c r="I21">
        <f t="shared" si="13"/>
        <v>3.3419555919069995E-4</v>
      </c>
      <c r="J21">
        <f>IF(B21&gt;$AJ$2,0,HLOOKUP(C21,Assumptions!$A$6:$J$7,2,TRUE))</f>
        <v>0.124</v>
      </c>
      <c r="K21" s="4">
        <f t="shared" si="0"/>
        <v>1</v>
      </c>
      <c r="L21" s="4">
        <f t="shared" si="14"/>
        <v>8.3333333333333329E-2</v>
      </c>
      <c r="M21" s="4">
        <f t="shared" si="6"/>
        <v>1.097179824088057E-2</v>
      </c>
      <c r="N21">
        <f t="shared" si="15"/>
        <v>9.5050754320278215E-3</v>
      </c>
      <c r="O21" s="21">
        <f t="shared" si="7"/>
        <v>0.85279891818336229</v>
      </c>
      <c r="P21">
        <f>IF(B21&gt;$AJ$2,0,HLOOKUP(C21,Assumptions!$A$12:$J$13,2,TRUE))</f>
        <v>5.2600000000000001E-2</v>
      </c>
      <c r="Q21">
        <f t="shared" si="8"/>
        <v>3.8486618918466644E-3</v>
      </c>
      <c r="R21">
        <f t="shared" si="16"/>
        <v>3.9277701390576687E-2</v>
      </c>
      <c r="S21">
        <f t="shared" si="44"/>
        <v>1.3821585378001032E-5</v>
      </c>
      <c r="T21">
        <f t="shared" si="45"/>
        <v>3.9310878913608415E-4</v>
      </c>
      <c r="U21">
        <f t="shared" si="17"/>
        <v>3090</v>
      </c>
      <c r="V21">
        <f t="shared" si="18"/>
        <v>1410.2</v>
      </c>
      <c r="W21">
        <f t="shared" si="19"/>
        <v>0.12</v>
      </c>
      <c r="X21">
        <f t="shared" si="9"/>
        <v>223.12036414960505</v>
      </c>
      <c r="Y21">
        <f t="shared" si="20"/>
        <v>123.18533333333333</v>
      </c>
      <c r="Z21">
        <f t="shared" si="21"/>
        <v>2292.3533333333335</v>
      </c>
      <c r="AA21">
        <f t="shared" si="22"/>
        <v>0</v>
      </c>
      <c r="AB21">
        <f t="shared" si="23"/>
        <v>2304.962674544423</v>
      </c>
      <c r="AC21" s="23">
        <f>IF(B21&gt;$AJ$2,0,HLOOKUP(YEAR(A21),Assumptions!$A$25:$AL$29,4,TRUE)/100)</f>
        <v>8.7159999999999998E-3</v>
      </c>
      <c r="AD21">
        <f t="shared" si="24"/>
        <v>0</v>
      </c>
      <c r="AE21">
        <f t="shared" si="25"/>
        <v>1733.4433639967144</v>
      </c>
      <c r="AF21">
        <f t="shared" si="26"/>
        <v>1672.7288899270422</v>
      </c>
      <c r="AG21">
        <f t="shared" si="27"/>
        <v>1744.563519799598</v>
      </c>
      <c r="AH21">
        <f t="shared" si="28"/>
        <v>0</v>
      </c>
      <c r="AI21">
        <f t="shared" si="29"/>
        <v>0</v>
      </c>
      <c r="AJ21">
        <f t="shared" si="30"/>
        <v>0</v>
      </c>
      <c r="AK21">
        <f t="shared" si="31"/>
        <v>0.78921406926237392</v>
      </c>
      <c r="AL21">
        <f t="shared" si="32"/>
        <v>22.470423172050481</v>
      </c>
      <c r="AM21">
        <f t="shared" si="10"/>
        <v>0</v>
      </c>
      <c r="AN21">
        <f>IF($S$2=0,0,(SUMPRODUCT($K$2:$R$2,Assumptions!$B$34:$I$34)/$U$2+$J$2/$U$2*Assumptions!$A$34*G21)*K21*O20)</f>
        <v>18.633900092300973</v>
      </c>
      <c r="AO21">
        <f t="shared" si="33"/>
        <v>0</v>
      </c>
      <c r="AP21">
        <f t="shared" si="34"/>
        <v>0</v>
      </c>
      <c r="AQ21">
        <f>IF(B21&gt;$AJ$2,0,AQ20*(1+Assumptions!$B$43)^(1/12))</f>
        <v>1.0083264157496978</v>
      </c>
      <c r="AR21" s="27">
        <f>IF(B21&gt;$AJ$2,0,(O20+R20)*Assumptions!$B$39/12*AQ20+AV21*Assumptions!$B$41/12)</f>
        <v>11.217843295125229</v>
      </c>
      <c r="AS21">
        <f t="shared" si="35"/>
        <v>106.73847157756822</v>
      </c>
      <c r="AT21" s="28">
        <f t="shared" si="36"/>
        <v>2023.0021135892309</v>
      </c>
      <c r="AU21">
        <f t="shared" si="37"/>
        <v>21.128200245798162</v>
      </c>
      <c r="AV21" s="28">
        <f t="shared" si="38"/>
        <v>2046.1116310829602</v>
      </c>
      <c r="AW21" s="28">
        <f t="shared" si="39"/>
        <v>2151.2756803598722</v>
      </c>
      <c r="AX21" s="23">
        <f>HLOOKUP(YEAR(A21),Assumptions!$A$25:$AL$29,2,TRUE)/100</f>
        <v>1.4716E-2</v>
      </c>
      <c r="AY21" s="29">
        <f>1/(1+HLOOKUP(YEAR(A21),Assumptions!$A$18:$AL$20,3,TRUE))^(1/12)</f>
        <v>0.99868284646645789</v>
      </c>
      <c r="AZ21" s="26">
        <f t="shared" si="40"/>
        <v>-4769.5423115324502</v>
      </c>
      <c r="BA21">
        <f t="shared" si="41"/>
        <v>41.893537333613828</v>
      </c>
      <c r="BB21">
        <f t="shared" si="42"/>
        <v>2027.6039833448581</v>
      </c>
      <c r="BC21">
        <f t="shared" si="43"/>
        <v>0</v>
      </c>
    </row>
    <row r="22" spans="1:55" x14ac:dyDescent="0.2">
      <c r="A22" s="3">
        <f t="shared" si="11"/>
        <v>43434</v>
      </c>
      <c r="B22">
        <f t="shared" si="2"/>
        <v>24</v>
      </c>
      <c r="C22">
        <f t="shared" si="3"/>
        <v>1.9166666666666665</v>
      </c>
      <c r="D22">
        <f t="shared" si="4"/>
        <v>0</v>
      </c>
      <c r="E22">
        <f t="shared" si="5"/>
        <v>57</v>
      </c>
      <c r="F22">
        <f>IF(C22&gt;=$T$2,0,VLOOKUP($E22,'Mortality Table'!$A$3:$C$128,2+AF$2,FALSE))</f>
        <v>4.6439000000000003E-3</v>
      </c>
      <c r="G22">
        <f>F22*Assumptions!$B$1</f>
        <v>4.6439000000000003E-3</v>
      </c>
      <c r="H22">
        <f t="shared" si="12"/>
        <v>3.8781781284513706E-4</v>
      </c>
      <c r="I22">
        <f t="shared" si="13"/>
        <v>3.289162564772303E-4</v>
      </c>
      <c r="J22">
        <f>IF(B22&gt;$AJ$2,0,HLOOKUP(C22,Assumptions!$A$6:$J$7,2,TRUE))</f>
        <v>0.124</v>
      </c>
      <c r="K22" s="4">
        <f t="shared" si="0"/>
        <v>1</v>
      </c>
      <c r="L22" s="4">
        <f t="shared" si="14"/>
        <v>8.3333333333333329E-2</v>
      </c>
      <c r="M22" s="4">
        <f t="shared" si="6"/>
        <v>1.097179824088057E-2</v>
      </c>
      <c r="N22">
        <f t="shared" si="15"/>
        <v>9.3549233155797284E-3</v>
      </c>
      <c r="O22" s="21">
        <f t="shared" si="7"/>
        <v>0.83932721420946133</v>
      </c>
      <c r="P22">
        <f>IF(B22&gt;$AJ$2,0,HLOOKUP(C22,Assumptions!$A$12:$J$13,2,TRUE))</f>
        <v>5.2600000000000001E-2</v>
      </c>
      <c r="Q22">
        <f t="shared" si="8"/>
        <v>3.7878644018439346E-3</v>
      </c>
      <c r="R22">
        <f t="shared" si="16"/>
        <v>4.26195533140796E-2</v>
      </c>
      <c r="S22">
        <f t="shared" si="44"/>
        <v>1.5149027782468676E-5</v>
      </c>
      <c r="T22">
        <f t="shared" si="45"/>
        <v>4.3086345055855246E-4</v>
      </c>
      <c r="U22">
        <f t="shared" si="17"/>
        <v>3090</v>
      </c>
      <c r="V22">
        <f t="shared" si="18"/>
        <v>1410.2</v>
      </c>
      <c r="W22">
        <f t="shared" si="19"/>
        <v>0.12</v>
      </c>
      <c r="X22">
        <f t="shared" si="9"/>
        <v>219.59572143221578</v>
      </c>
      <c r="Y22">
        <f t="shared" si="20"/>
        <v>123.18533333333333</v>
      </c>
      <c r="Z22">
        <f t="shared" si="21"/>
        <v>2415.5386666666668</v>
      </c>
      <c r="AA22">
        <f t="shared" si="22"/>
        <v>0</v>
      </c>
      <c r="AB22">
        <f t="shared" si="23"/>
        <v>2429.9046462323877</v>
      </c>
      <c r="AC22" s="23">
        <f>IF(B22&gt;$AJ$2,0,HLOOKUP(YEAR(A22),Assumptions!$A$25:$AL$29,4,TRUE)/100)</f>
        <v>8.7159999999999998E-3</v>
      </c>
      <c r="AD22">
        <f t="shared" si="24"/>
        <v>0</v>
      </c>
      <c r="AE22">
        <f t="shared" si="25"/>
        <v>1794.0654098592865</v>
      </c>
      <c r="AF22">
        <f t="shared" si="26"/>
        <v>1733.4433639967144</v>
      </c>
      <c r="AG22">
        <f t="shared" si="27"/>
        <v>1806.6239721100669</v>
      </c>
      <c r="AH22">
        <f t="shared" si="28"/>
        <v>0</v>
      </c>
      <c r="AI22">
        <f t="shared" si="29"/>
        <v>0</v>
      </c>
      <c r="AJ22">
        <f t="shared" si="30"/>
        <v>0</v>
      </c>
      <c r="AK22">
        <f t="shared" si="31"/>
        <v>0.82076991729652249</v>
      </c>
      <c r="AL22">
        <f t="shared" si="32"/>
        <v>23.370176205504087</v>
      </c>
      <c r="AM22">
        <f t="shared" si="10"/>
        <v>0</v>
      </c>
      <c r="AN22">
        <f>IF($S$2=0,0,(SUMPRODUCT($K$2:$R$2,Assumptions!$B$34:$I$34)/$U$2+$J$2/$U$2*Assumptions!$A$34*G22)*K22*O21)</f>
        <v>18.339539510257239</v>
      </c>
      <c r="AO22">
        <f t="shared" si="33"/>
        <v>0</v>
      </c>
      <c r="AP22">
        <f t="shared" si="34"/>
        <v>0</v>
      </c>
      <c r="AQ22">
        <f>IF(B22&gt;$AJ$2,0,AQ21*(1+Assumptions!$B$43)^(1/12))</f>
        <v>1.0091628609432644</v>
      </c>
      <c r="AR22" s="27">
        <f>IF(B22&gt;$AJ$2,0,(O21+R21)*Assumptions!$B$39/12*AQ21+AV22*Assumptions!$B$41/12)</f>
        <v>11.123575337269664</v>
      </c>
      <c r="AS22">
        <f t="shared" si="35"/>
        <v>105.05231900272355</v>
      </c>
      <c r="AT22" s="28">
        <f t="shared" si="36"/>
        <v>2103.8896062930139</v>
      </c>
      <c r="AU22">
        <f t="shared" si="37"/>
        <v>23.849842735606295</v>
      </c>
      <c r="AV22" s="28">
        <f t="shared" si="38"/>
        <v>2130.8430933274958</v>
      </c>
      <c r="AW22" s="28">
        <f t="shared" si="39"/>
        <v>2234.2629204197183</v>
      </c>
      <c r="AX22" s="23">
        <f>HLOOKUP(YEAR(A22),Assumptions!$A$25:$AL$29,2,TRUE)/100</f>
        <v>1.4716E-2</v>
      </c>
      <c r="AY22" s="29">
        <f>1/(1+HLOOKUP(YEAR(A22),Assumptions!$A$18:$AL$20,3,TRUE))^(1/12)</f>
        <v>0.99868284646645789</v>
      </c>
      <c r="AZ22" s="26">
        <f t="shared" si="40"/>
        <v>-4609.8911561405557</v>
      </c>
      <c r="BA22">
        <f t="shared" si="41"/>
        <v>42.53048563305785</v>
      </c>
      <c r="BB22">
        <f t="shared" si="42"/>
        <v>2109.7148930816975</v>
      </c>
      <c r="BC22">
        <f t="shared" si="43"/>
        <v>0</v>
      </c>
    </row>
    <row r="23" spans="1:55" x14ac:dyDescent="0.2">
      <c r="A23" s="3">
        <f t="shared" si="11"/>
        <v>43465</v>
      </c>
      <c r="B23">
        <f t="shared" si="2"/>
        <v>25</v>
      </c>
      <c r="C23">
        <f t="shared" si="3"/>
        <v>2</v>
      </c>
      <c r="D23">
        <f t="shared" si="4"/>
        <v>1</v>
      </c>
      <c r="E23">
        <f t="shared" si="5"/>
        <v>58</v>
      </c>
      <c r="F23">
        <f>IF(C23&gt;=$T$2,0,VLOOKUP($E23,'Mortality Table'!$A$3:$C$128,2+AF$2,FALSE))</f>
        <v>5.0921999999999999E-3</v>
      </c>
      <c r="G23">
        <f>F23*Assumptions!$B$1</f>
        <v>5.0921999999999999E-3</v>
      </c>
      <c r="H23">
        <f t="shared" si="12"/>
        <v>4.2534363520696505E-4</v>
      </c>
      <c r="I23">
        <f t="shared" si="13"/>
        <v>3.5596911782018669E-4</v>
      </c>
      <c r="J23">
        <f>IF(B23&gt;$AJ$2,0,HLOOKUP(C23,Assumptions!$A$6:$J$7,2,TRUE))</f>
        <v>6.7299999999999999E-2</v>
      </c>
      <c r="K23" s="4">
        <f t="shared" si="0"/>
        <v>1</v>
      </c>
      <c r="L23" s="4">
        <f t="shared" si="14"/>
        <v>8.3333333333333329E-2</v>
      </c>
      <c r="M23" s="4">
        <f t="shared" si="6"/>
        <v>5.7891506828096073E-3</v>
      </c>
      <c r="N23">
        <f t="shared" si="15"/>
        <v>4.8579583446415886E-3</v>
      </c>
      <c r="O23" s="21">
        <f t="shared" si="7"/>
        <v>0.82995573396624078</v>
      </c>
      <c r="P23">
        <f>IF(B23&gt;$AJ$2,0,HLOOKUP(C23,Assumptions!$A$12:$J$13,2,TRUE))</f>
        <v>5.8200000000000002E-2</v>
      </c>
      <c r="Q23">
        <f t="shared" si="8"/>
        <v>4.1575527807588197E-3</v>
      </c>
      <c r="R23">
        <f t="shared" si="16"/>
        <v>4.6512352068399009E-2</v>
      </c>
      <c r="S23">
        <f t="shared" si="44"/>
        <v>1.8075483003839804E-5</v>
      </c>
      <c r="T23">
        <f t="shared" si="45"/>
        <v>2.466785434355765E-4</v>
      </c>
      <c r="U23">
        <f t="shared" si="17"/>
        <v>3182.7000000000003</v>
      </c>
      <c r="V23">
        <f t="shared" si="18"/>
        <v>1410.2</v>
      </c>
      <c r="W23">
        <f t="shared" si="19"/>
        <v>0.12</v>
      </c>
      <c r="X23">
        <f t="shared" si="9"/>
        <v>222.61056038870439</v>
      </c>
      <c r="Y23">
        <f t="shared" si="20"/>
        <v>129.98333333333335</v>
      </c>
      <c r="Z23">
        <f t="shared" si="21"/>
        <v>2545.5219999999999</v>
      </c>
      <c r="AA23">
        <f t="shared" si="22"/>
        <v>0</v>
      </c>
      <c r="AB23">
        <f t="shared" si="23"/>
        <v>2561.7399249141413</v>
      </c>
      <c r="AC23" s="23">
        <f>IF(B23&gt;$AJ$2,0,HLOOKUP(YEAR(A23),Assumptions!$A$25:$AL$29,4,TRUE)/100)</f>
        <v>8.7159999999999998E-3</v>
      </c>
      <c r="AD23">
        <f t="shared" si="24"/>
        <v>0</v>
      </c>
      <c r="AE23">
        <f t="shared" si="25"/>
        <v>1861.2351034358383</v>
      </c>
      <c r="AF23">
        <f t="shared" si="26"/>
        <v>1794.0654098592865</v>
      </c>
      <c r="AG23">
        <f t="shared" si="27"/>
        <v>1875.3109322776074</v>
      </c>
      <c r="AH23">
        <f t="shared" si="28"/>
        <v>0</v>
      </c>
      <c r="AI23">
        <f t="shared" si="29"/>
        <v>0</v>
      </c>
      <c r="AJ23">
        <f t="shared" si="30"/>
        <v>0</v>
      </c>
      <c r="AK23">
        <f t="shared" si="31"/>
        <v>0.93855581955556566</v>
      </c>
      <c r="AL23">
        <f t="shared" si="32"/>
        <v>12.825166605675463</v>
      </c>
      <c r="AM23">
        <f t="shared" si="10"/>
        <v>0</v>
      </c>
      <c r="AN23">
        <f>IF($S$2=0,0,(SUMPRODUCT($K$2:$R$2,Assumptions!$B$34:$I$34)/$U$2+$J$2/$U$2*Assumptions!$A$34*G23)*K23*O22)</f>
        <v>18.066921038421274</v>
      </c>
      <c r="AO23">
        <f t="shared" si="33"/>
        <v>0</v>
      </c>
      <c r="AP23">
        <f t="shared" si="34"/>
        <v>0</v>
      </c>
      <c r="AQ23">
        <f>IF(B23&gt;$AJ$2,0,AQ22*(1+Assumptions!$B$43)^(1/12))</f>
        <v>1.0099999999999993</v>
      </c>
      <c r="AR23" s="27">
        <f>IF(B23&gt;$AJ$2,0,(O22+R22)*Assumptions!$B$39/12*AQ22+AV23*Assumptions!$B$41/12)</f>
        <v>11.031220582515397</v>
      </c>
      <c r="AS23">
        <f t="shared" si="35"/>
        <v>109.09854906032649</v>
      </c>
      <c r="AT23" s="28">
        <f t="shared" si="36"/>
        <v>2213.3558619325522</v>
      </c>
      <c r="AU23">
        <f t="shared" si="37"/>
        <v>0</v>
      </c>
      <c r="AV23" s="28">
        <f t="shared" si="38"/>
        <v>2218.7710770505255</v>
      </c>
      <c r="AW23" s="28">
        <f t="shared" si="39"/>
        <v>2321.2518677963881</v>
      </c>
      <c r="AX23" s="23">
        <f>HLOOKUP(YEAR(A23),Assumptions!$A$25:$AL$29,2,TRUE)/100</f>
        <v>1.4716E-2</v>
      </c>
      <c r="AY23" s="29">
        <f>1/(1+HLOOKUP(YEAR(A23),Assumptions!$A$18:$AL$20,3,TRUE))^(1/12)</f>
        <v>0.99868284646645789</v>
      </c>
      <c r="AZ23" s="26">
        <f t="shared" si="40"/>
        <v>-4436.2224024415109</v>
      </c>
      <c r="BA23">
        <f t="shared" si="41"/>
        <v>31.830643463652301</v>
      </c>
      <c r="BB23">
        <f t="shared" si="42"/>
        <v>2194.9212343149193</v>
      </c>
      <c r="BC23">
        <f t="shared" si="43"/>
        <v>0</v>
      </c>
    </row>
    <row r="24" spans="1:55" x14ac:dyDescent="0.2">
      <c r="A24" s="3">
        <f t="shared" si="11"/>
        <v>43496</v>
      </c>
      <c r="B24">
        <f t="shared" si="2"/>
        <v>26</v>
      </c>
      <c r="C24">
        <f t="shared" si="3"/>
        <v>2.0833333333333335</v>
      </c>
      <c r="D24">
        <f t="shared" si="4"/>
        <v>0</v>
      </c>
      <c r="E24">
        <f t="shared" si="5"/>
        <v>58</v>
      </c>
      <c r="F24">
        <f>IF(C24&gt;=$T$2,0,VLOOKUP($E24,'Mortality Table'!$A$3:$C$128,2+AF$2,FALSE))</f>
        <v>5.0921999999999999E-3</v>
      </c>
      <c r="G24">
        <f>F24*Assumptions!$B$1</f>
        <v>5.0921999999999999E-3</v>
      </c>
      <c r="H24">
        <f t="shared" si="12"/>
        <v>4.2534363520696505E-4</v>
      </c>
      <c r="I24">
        <f t="shared" si="13"/>
        <v>3.5199455641151062E-4</v>
      </c>
      <c r="J24">
        <f>IF(B24&gt;$AJ$2,0,HLOOKUP(C24,Assumptions!$A$6:$J$7,2,TRUE))</f>
        <v>6.7299999999999999E-2</v>
      </c>
      <c r="K24" s="4">
        <f t="shared" si="0"/>
        <v>1</v>
      </c>
      <c r="L24" s="4">
        <f t="shared" si="14"/>
        <v>8.3333333333333329E-2</v>
      </c>
      <c r="M24" s="4">
        <f t="shared" si="6"/>
        <v>5.7891506828096073E-3</v>
      </c>
      <c r="N24">
        <f t="shared" si="15"/>
        <v>4.8037169714578573E-3</v>
      </c>
      <c r="O24" s="21">
        <f t="shared" si="7"/>
        <v>0.82068889067564388</v>
      </c>
      <c r="P24">
        <f>IF(B24&gt;$AJ$2,0,HLOOKUP(C24,Assumptions!$A$12:$J$13,2,TRUE))</f>
        <v>5.8200000000000002E-2</v>
      </c>
      <c r="Q24">
        <f t="shared" si="8"/>
        <v>4.1111317627274598E-3</v>
      </c>
      <c r="R24">
        <f t="shared" si="16"/>
        <v>5.0334547614490709E-2</v>
      </c>
      <c r="S24">
        <f t="shared" si="44"/>
        <v>1.9726467405354496E-5</v>
      </c>
      <c r="T24">
        <f t="shared" si="45"/>
        <v>2.6920974923040842E-4</v>
      </c>
      <c r="U24">
        <f t="shared" si="17"/>
        <v>3182.7000000000003</v>
      </c>
      <c r="V24">
        <f t="shared" si="18"/>
        <v>1410.2</v>
      </c>
      <c r="W24">
        <f t="shared" si="19"/>
        <v>0.12</v>
      </c>
      <c r="X24">
        <f t="shared" si="9"/>
        <v>220.12500954119622</v>
      </c>
      <c r="Y24">
        <f t="shared" si="20"/>
        <v>129.98333333333335</v>
      </c>
      <c r="Z24">
        <f t="shared" si="21"/>
        <v>2675.5053333333335</v>
      </c>
      <c r="AA24">
        <f t="shared" si="22"/>
        <v>16.217924914141349</v>
      </c>
      <c r="AB24">
        <f t="shared" si="23"/>
        <v>2693.5388045825234</v>
      </c>
      <c r="AC24" s="23">
        <f>IF(B24&gt;$AJ$2,0,HLOOKUP(YEAR(A24),Assumptions!$A$25:$AL$29,4,TRUE)/100)</f>
        <v>8.1239999999999993E-3</v>
      </c>
      <c r="AD24">
        <f t="shared" si="24"/>
        <v>16.217924914141349</v>
      </c>
      <c r="AE24">
        <f t="shared" si="25"/>
        <v>1927.7415560459588</v>
      </c>
      <c r="AF24">
        <f t="shared" si="26"/>
        <v>1861.2351034358383</v>
      </c>
      <c r="AG24">
        <f t="shared" si="27"/>
        <v>1943.3022017177937</v>
      </c>
      <c r="AH24">
        <f t="shared" si="28"/>
        <v>14.250786989190924</v>
      </c>
      <c r="AI24">
        <f t="shared" si="29"/>
        <v>14.07582884176918</v>
      </c>
      <c r="AJ24">
        <f t="shared" si="30"/>
        <v>14.07582884176918</v>
      </c>
      <c r="AK24">
        <f t="shared" si="31"/>
        <v>0.98446519424984513</v>
      </c>
      <c r="AL24">
        <f t="shared" si="32"/>
        <v>13.453079969787101</v>
      </c>
      <c r="AM24">
        <f t="shared" si="10"/>
        <v>0</v>
      </c>
      <c r="AN24">
        <f>IF($S$2=0,0,(SUMPRODUCT($K$2:$R$2,Assumptions!$B$34:$I$34)/$U$2+$J$2/$U$2*Assumptions!$A$34*G24)*K24*O23)</f>
        <v>17.865195429265537</v>
      </c>
      <c r="AO24">
        <f t="shared" si="33"/>
        <v>0</v>
      </c>
      <c r="AP24">
        <f t="shared" si="34"/>
        <v>0</v>
      </c>
      <c r="AQ24">
        <f>IF(B24&gt;$AJ$2,0,AQ23*(1+Assumptions!$B$43)^(1/12))</f>
        <v>1.0108378334954891</v>
      </c>
      <c r="AR24" s="27">
        <f>IF(B24&gt;$AJ$2,0,(O23+R23)*Assumptions!$B$39/12*AQ23+AV24*Assumptions!$B$41/12)</f>
        <v>10.993512901105078</v>
      </c>
      <c r="AS24">
        <f t="shared" si="35"/>
        <v>107.88041282004521</v>
      </c>
      <c r="AT24" s="28">
        <f t="shared" si="36"/>
        <v>2306.816680874429</v>
      </c>
      <c r="AU24">
        <f t="shared" si="37"/>
        <v>2.8120823691370314</v>
      </c>
      <c r="AV24" s="28">
        <f t="shared" si="38"/>
        <v>2303.3710793233322</v>
      </c>
      <c r="AW24" s="28">
        <f t="shared" si="39"/>
        <v>2404.6221631433777</v>
      </c>
      <c r="AX24" s="23">
        <f>HLOOKUP(YEAR(A24),Assumptions!$A$25:$AL$29,2,TRUE)/100</f>
        <v>1.4124000000000001E-2</v>
      </c>
      <c r="AY24" s="29">
        <f>1/(1+HLOOKUP(YEAR(A24),Assumptions!$A$18:$AL$20,3,TRUE))^(1/12)</f>
        <v>0.99878334319559714</v>
      </c>
      <c r="AZ24" s="26">
        <f t="shared" si="40"/>
        <v>-4264.7975813006706</v>
      </c>
      <c r="BA24">
        <f t="shared" si="41"/>
        <v>32.302740593302481</v>
      </c>
      <c r="BB24">
        <f t="shared" si="42"/>
        <v>2303.3710793233322</v>
      </c>
      <c r="BC24">
        <f t="shared" si="43"/>
        <v>0</v>
      </c>
    </row>
    <row r="25" spans="1:55" x14ac:dyDescent="0.2">
      <c r="A25" s="3">
        <f t="shared" si="11"/>
        <v>43524</v>
      </c>
      <c r="B25">
        <f t="shared" si="2"/>
        <v>27</v>
      </c>
      <c r="C25">
        <f t="shared" si="3"/>
        <v>2.1666666666666665</v>
      </c>
      <c r="D25">
        <f t="shared" si="4"/>
        <v>0</v>
      </c>
      <c r="E25">
        <f t="shared" si="5"/>
        <v>58</v>
      </c>
      <c r="F25">
        <f>IF(C25&gt;=$T$2,0,VLOOKUP($E25,'Mortality Table'!$A$3:$C$128,2+AF$2,FALSE))</f>
        <v>5.0921999999999999E-3</v>
      </c>
      <c r="G25">
        <f>F25*Assumptions!$B$1</f>
        <v>5.0921999999999999E-3</v>
      </c>
      <c r="H25">
        <f t="shared" si="12"/>
        <v>4.2534363520696505E-4</v>
      </c>
      <c r="I25">
        <f t="shared" si="13"/>
        <v>3.4806437283675467E-4</v>
      </c>
      <c r="J25">
        <f>IF(B25&gt;$AJ$2,0,HLOOKUP(C25,Assumptions!$A$6:$J$7,2,TRUE))</f>
        <v>6.7299999999999999E-2</v>
      </c>
      <c r="K25" s="4">
        <f t="shared" si="0"/>
        <v>1</v>
      </c>
      <c r="L25" s="4">
        <f t="shared" si="14"/>
        <v>8.3333333333333329E-2</v>
      </c>
      <c r="M25" s="4">
        <f t="shared" si="6"/>
        <v>5.7891506828096073E-3</v>
      </c>
      <c r="N25">
        <f t="shared" si="15"/>
        <v>4.7500812285319674E-3</v>
      </c>
      <c r="O25" s="21">
        <f t="shared" si="7"/>
        <v>0.81152551601723799</v>
      </c>
      <c r="P25">
        <f>IF(B25&gt;$AJ$2,0,HLOOKUP(C25,Assumptions!$A$12:$J$13,2,TRUE))</f>
        <v>5.8200000000000002E-2</v>
      </c>
      <c r="Q25">
        <f t="shared" si="8"/>
        <v>4.0652290570372066E-3</v>
      </c>
      <c r="R25">
        <f t="shared" si="16"/>
        <v>5.4087096854080349E-2</v>
      </c>
      <c r="S25">
        <f t="shared" si="44"/>
        <v>2.1347508107531663E-5</v>
      </c>
      <c r="T25">
        <f t="shared" si="45"/>
        <v>2.9133230934002771E-4</v>
      </c>
      <c r="U25">
        <f t="shared" si="17"/>
        <v>3182.7000000000003</v>
      </c>
      <c r="V25">
        <f t="shared" si="18"/>
        <v>1410.2</v>
      </c>
      <c r="W25">
        <f t="shared" si="19"/>
        <v>0.12</v>
      </c>
      <c r="X25">
        <f t="shared" si="9"/>
        <v>217.66721102944766</v>
      </c>
      <c r="Y25">
        <f t="shared" si="20"/>
        <v>129.98333333333335</v>
      </c>
      <c r="Z25">
        <f t="shared" si="21"/>
        <v>2805.4886666666671</v>
      </c>
      <c r="AA25">
        <f t="shared" si="22"/>
        <v>0</v>
      </c>
      <c r="AB25">
        <f t="shared" si="23"/>
        <v>2825.4265815668582</v>
      </c>
      <c r="AC25" s="23">
        <f>IF(B25&gt;$AJ$2,0,HLOOKUP(YEAR(A25),Assumptions!$A$25:$AL$29,4,TRUE)/100)</f>
        <v>8.1239999999999993E-3</v>
      </c>
      <c r="AD25">
        <f t="shared" si="24"/>
        <v>16.217924914141349</v>
      </c>
      <c r="AE25">
        <f t="shared" si="25"/>
        <v>1993.7137243886668</v>
      </c>
      <c r="AF25">
        <f t="shared" si="26"/>
        <v>1927.7415560459588</v>
      </c>
      <c r="AG25">
        <f t="shared" si="27"/>
        <v>2010.815594836007</v>
      </c>
      <c r="AH25">
        <f t="shared" si="28"/>
        <v>14.398638634349155</v>
      </c>
      <c r="AI25">
        <f t="shared" si="29"/>
        <v>14.250786989190924</v>
      </c>
      <c r="AJ25">
        <f t="shared" si="30"/>
        <v>0</v>
      </c>
      <c r="AK25">
        <f t="shared" si="31"/>
        <v>1.0235922324156179</v>
      </c>
      <c r="AL25">
        <f t="shared" si="32"/>
        <v>13.988363525226672</v>
      </c>
      <c r="AM25">
        <f t="shared" si="10"/>
        <v>0</v>
      </c>
      <c r="AN25">
        <f>IF($S$2=0,0,(SUMPRODUCT($K$2:$R$2,Assumptions!$B$34:$I$34)/$U$2+$J$2/$U$2*Assumptions!$A$34*G25)*K25*O24)</f>
        <v>17.66572218072524</v>
      </c>
      <c r="AO25">
        <f t="shared" si="33"/>
        <v>0</v>
      </c>
      <c r="AP25">
        <f t="shared" si="34"/>
        <v>0</v>
      </c>
      <c r="AQ25">
        <f>IF(B25&gt;$AJ$2,0,AQ24*(1+Assumptions!$B$43)^(1/12))</f>
        <v>1.0116763620057967</v>
      </c>
      <c r="AR25" s="27">
        <f>IF(B25&gt;$AJ$2,0,(O24+R24)*Assumptions!$B$39/12*AQ24+AV25*Assumptions!$B$41/12)</f>
        <v>10.958511192580461</v>
      </c>
      <c r="AS25">
        <f t="shared" si="35"/>
        <v>106.67587763965579</v>
      </c>
      <c r="AT25" s="28">
        <f t="shared" si="36"/>
        <v>2398.4998656545595</v>
      </c>
      <c r="AU25">
        <f t="shared" si="37"/>
        <v>5.7341508988805296</v>
      </c>
      <c r="AV25" s="28">
        <f t="shared" si="38"/>
        <v>2398.6389187024965</v>
      </c>
      <c r="AW25" s="28">
        <f t="shared" si="39"/>
        <v>2498.6717408997079</v>
      </c>
      <c r="AX25" s="23">
        <f>HLOOKUP(YEAR(A25),Assumptions!$A$25:$AL$29,2,TRUE)/100</f>
        <v>1.4124000000000001E-2</v>
      </c>
      <c r="AY25" s="29">
        <f>1/(1+HLOOKUP(YEAR(A25),Assumptions!$A$18:$AL$20,3,TRUE))^(1/12)</f>
        <v>0.99878334319559714</v>
      </c>
      <c r="AZ25" s="26">
        <f t="shared" si="40"/>
        <v>-4095.96167507169</v>
      </c>
      <c r="BA25">
        <f t="shared" si="41"/>
        <v>32.67767793836753</v>
      </c>
      <c r="BB25">
        <f t="shared" si="42"/>
        <v>2395.8268363333596</v>
      </c>
      <c r="BC25">
        <f t="shared" si="43"/>
        <v>0</v>
      </c>
    </row>
    <row r="26" spans="1:55" x14ac:dyDescent="0.2">
      <c r="A26" s="3">
        <f t="shared" si="11"/>
        <v>43555</v>
      </c>
      <c r="B26">
        <f t="shared" si="2"/>
        <v>28</v>
      </c>
      <c r="C26">
        <f t="shared" si="3"/>
        <v>2.25</v>
      </c>
      <c r="D26">
        <f t="shared" si="4"/>
        <v>0</v>
      </c>
      <c r="E26">
        <f t="shared" si="5"/>
        <v>58</v>
      </c>
      <c r="F26">
        <f>IF(C26&gt;=$T$2,0,VLOOKUP($E26,'Mortality Table'!$A$3:$C$128,2+AF$2,FALSE))</f>
        <v>5.0921999999999999E-3</v>
      </c>
      <c r="G26">
        <f>F26*Assumptions!$B$1</f>
        <v>5.0921999999999999E-3</v>
      </c>
      <c r="H26">
        <f t="shared" si="12"/>
        <v>4.2534363520696505E-4</v>
      </c>
      <c r="I26">
        <f t="shared" si="13"/>
        <v>3.4417807159668246E-4</v>
      </c>
      <c r="J26">
        <f>IF(B26&gt;$AJ$2,0,HLOOKUP(C26,Assumptions!$A$6:$J$7,2,TRUE))</f>
        <v>6.7299999999999999E-2</v>
      </c>
      <c r="K26" s="4">
        <f t="shared" si="0"/>
        <v>1</v>
      </c>
      <c r="L26" s="4">
        <f t="shared" si="14"/>
        <v>8.3333333333333329E-2</v>
      </c>
      <c r="M26" s="4">
        <f t="shared" si="6"/>
        <v>5.7891506828096073E-3</v>
      </c>
      <c r="N26">
        <f t="shared" si="15"/>
        <v>4.6970443537193152E-3</v>
      </c>
      <c r="O26" s="21">
        <f t="shared" si="7"/>
        <v>0.80246445471543326</v>
      </c>
      <c r="P26">
        <f>IF(B26&gt;$AJ$2,0,HLOOKUP(C26,Assumptions!$A$12:$J$13,2,TRUE))</f>
        <v>5.8200000000000002E-2</v>
      </c>
      <c r="Q26">
        <f t="shared" si="8"/>
        <v>4.0198388764887622E-3</v>
      </c>
      <c r="R26">
        <f t="shared" si="16"/>
        <v>5.7770944957390227E-2</v>
      </c>
      <c r="S26">
        <f t="shared" si="44"/>
        <v>2.2939010944302754E-5</v>
      </c>
      <c r="T26">
        <f t="shared" si="45"/>
        <v>3.1305176223458563E-4</v>
      </c>
      <c r="U26">
        <f t="shared" si="17"/>
        <v>3182.7000000000003</v>
      </c>
      <c r="V26">
        <f t="shared" si="18"/>
        <v>1410.2</v>
      </c>
      <c r="W26">
        <f t="shared" si="19"/>
        <v>0.12</v>
      </c>
      <c r="X26">
        <f t="shared" si="9"/>
        <v>215.23685498567195</v>
      </c>
      <c r="Y26">
        <f t="shared" si="20"/>
        <v>129.98333333333335</v>
      </c>
      <c r="Z26">
        <f t="shared" si="21"/>
        <v>2935.4720000000007</v>
      </c>
      <c r="AA26">
        <f t="shared" si="22"/>
        <v>0</v>
      </c>
      <c r="AB26">
        <f t="shared" si="23"/>
        <v>2957.4033158276916</v>
      </c>
      <c r="AC26" s="23">
        <f>IF(B26&gt;$AJ$2,0,HLOOKUP(YEAR(A26),Assumptions!$A$25:$AL$29,4,TRUE)/100)</f>
        <v>8.1239999999999993E-3</v>
      </c>
      <c r="AD26">
        <f t="shared" si="24"/>
        <v>16.217924914141349</v>
      </c>
      <c r="AE26">
        <f t="shared" si="25"/>
        <v>2059.2434908023833</v>
      </c>
      <c r="AF26">
        <f t="shared" si="26"/>
        <v>1993.7137243886668</v>
      </c>
      <c r="AG26">
        <f t="shared" si="27"/>
        <v>2077.943311773508</v>
      </c>
      <c r="AH26">
        <f t="shared" si="28"/>
        <v>14.525228873099193</v>
      </c>
      <c r="AI26">
        <f t="shared" si="29"/>
        <v>14.398638634349155</v>
      </c>
      <c r="AJ26">
        <f t="shared" si="30"/>
        <v>0</v>
      </c>
      <c r="AK26">
        <f t="shared" si="31"/>
        <v>1.0619710577810806</v>
      </c>
      <c r="AL26">
        <f t="shared" si="32"/>
        <v>14.51341544790953</v>
      </c>
      <c r="AM26">
        <f t="shared" si="10"/>
        <v>0</v>
      </c>
      <c r="AN26">
        <f>IF($S$2=0,0,(SUMPRODUCT($K$2:$R$2,Assumptions!$B$34:$I$34)/$U$2+$J$2/$U$2*Assumptions!$A$34*G26)*K26*O25)</f>
        <v>17.46847614414245</v>
      </c>
      <c r="AO26">
        <f t="shared" si="33"/>
        <v>0</v>
      </c>
      <c r="AP26">
        <f t="shared" si="34"/>
        <v>0</v>
      </c>
      <c r="AQ26">
        <f>IF(B26&gt;$AJ$2,0,AQ25*(1+Assumptions!$B$43)^(1/12))</f>
        <v>1.0125155861074635</v>
      </c>
      <c r="AR26" s="27">
        <f>IF(B26&gt;$AJ$2,0,(O25+R25)*Assumptions!$B$39/12*AQ25+AV26*Assumptions!$B$41/12)</f>
        <v>10.923440850684093</v>
      </c>
      <c r="AS26">
        <f t="shared" si="35"/>
        <v>105.484791656974</v>
      </c>
      <c r="AT26" s="28">
        <f t="shared" si="36"/>
        <v>2488.4298246439948</v>
      </c>
      <c r="AU26">
        <f t="shared" si="37"/>
        <v>8.7642849285823683</v>
      </c>
      <c r="AV26" s="28">
        <f t="shared" si="38"/>
        <v>2492.2503320662713</v>
      </c>
      <c r="AW26" s="28">
        <f t="shared" si="39"/>
        <v>2591.0789545442854</v>
      </c>
      <c r="AX26" s="23">
        <f>HLOOKUP(YEAR(A26),Assumptions!$A$25:$AL$29,2,TRUE)/100</f>
        <v>1.4124000000000001E-2</v>
      </c>
      <c r="AY26" s="29">
        <f>1/(1+HLOOKUP(YEAR(A26),Assumptions!$A$18:$AL$20,3,TRUE))^(1/12)</f>
        <v>0.99878334319559714</v>
      </c>
      <c r="AZ26" s="26">
        <f t="shared" si="40"/>
        <v>-3929.6815736774879</v>
      </c>
      <c r="BA26">
        <f t="shared" si="41"/>
        <v>33.043862649833059</v>
      </c>
      <c r="BB26">
        <f t="shared" si="42"/>
        <v>2486.5161811673906</v>
      </c>
      <c r="BC26">
        <f t="shared" si="43"/>
        <v>0</v>
      </c>
    </row>
    <row r="27" spans="1:55" x14ac:dyDescent="0.2">
      <c r="A27" s="3">
        <f t="shared" si="11"/>
        <v>43585</v>
      </c>
      <c r="B27">
        <f t="shared" si="2"/>
        <v>29</v>
      </c>
      <c r="C27">
        <f t="shared" si="3"/>
        <v>2.3333333333333335</v>
      </c>
      <c r="D27">
        <f t="shared" si="4"/>
        <v>0</v>
      </c>
      <c r="E27">
        <f t="shared" si="5"/>
        <v>58</v>
      </c>
      <c r="F27">
        <f>IF(C27&gt;=$T$2,0,VLOOKUP($E27,'Mortality Table'!$A$3:$C$128,2+AF$2,FALSE))</f>
        <v>5.0921999999999999E-3</v>
      </c>
      <c r="G27">
        <f>F27*Assumptions!$B$1</f>
        <v>5.0921999999999999E-3</v>
      </c>
      <c r="H27">
        <f t="shared" si="12"/>
        <v>4.2534363520696505E-4</v>
      </c>
      <c r="I27">
        <f t="shared" si="13"/>
        <v>3.4033516272453772E-4</v>
      </c>
      <c r="J27">
        <f>IF(B27&gt;$AJ$2,0,HLOOKUP(C27,Assumptions!$A$6:$J$7,2,TRUE))</f>
        <v>6.7299999999999999E-2</v>
      </c>
      <c r="K27" s="4">
        <f t="shared" si="0"/>
        <v>1</v>
      </c>
      <c r="L27" s="4">
        <f t="shared" si="14"/>
        <v>8.3333333333333329E-2</v>
      </c>
      <c r="M27" s="4">
        <f t="shared" si="6"/>
        <v>5.7891506828096073E-3</v>
      </c>
      <c r="N27">
        <f t="shared" si="15"/>
        <v>4.6445996603777908E-3</v>
      </c>
      <c r="O27" s="21">
        <f t="shared" si="7"/>
        <v>0.79350456439383132</v>
      </c>
      <c r="P27">
        <f>IF(B27&gt;$AJ$2,0,HLOOKUP(C27,Assumptions!$A$12:$J$13,2,TRUE))</f>
        <v>5.8200000000000002E-2</v>
      </c>
      <c r="Q27">
        <f t="shared" si="8"/>
        <v>3.974955498499611E-3</v>
      </c>
      <c r="R27">
        <f t="shared" si="16"/>
        <v>6.1387025500632478E-2</v>
      </c>
      <c r="S27">
        <f t="shared" si="44"/>
        <v>2.4501376774122648E-5</v>
      </c>
      <c r="T27">
        <f t="shared" si="45"/>
        <v>3.3437357848323669E-4</v>
      </c>
      <c r="U27">
        <f t="shared" si="17"/>
        <v>3182.7000000000003</v>
      </c>
      <c r="V27">
        <f t="shared" si="18"/>
        <v>1410.2</v>
      </c>
      <c r="W27">
        <f t="shared" si="19"/>
        <v>0.12</v>
      </c>
      <c r="X27">
        <f t="shared" si="9"/>
        <v>212.8336350019008</v>
      </c>
      <c r="Y27">
        <f t="shared" si="20"/>
        <v>129.98333333333335</v>
      </c>
      <c r="Z27">
        <f t="shared" si="21"/>
        <v>3065.4553333333342</v>
      </c>
      <c r="AA27">
        <f t="shared" si="22"/>
        <v>0</v>
      </c>
      <c r="AB27">
        <f t="shared" si="23"/>
        <v>3089.469067366013</v>
      </c>
      <c r="AC27" s="23">
        <f>IF(B27&gt;$AJ$2,0,HLOOKUP(YEAR(A27),Assumptions!$A$25:$AL$29,4,TRUE)/100)</f>
        <v>8.1239999999999993E-3</v>
      </c>
      <c r="AD27">
        <f t="shared" si="24"/>
        <v>16.217924914141349</v>
      </c>
      <c r="AE27">
        <f t="shared" si="25"/>
        <v>2124.3980941327341</v>
      </c>
      <c r="AF27">
        <f t="shared" si="26"/>
        <v>2059.2434908023833</v>
      </c>
      <c r="AG27">
        <f t="shared" si="27"/>
        <v>2144.7528060175414</v>
      </c>
      <c r="AH27">
        <f t="shared" si="28"/>
        <v>14.634834956481743</v>
      </c>
      <c r="AI27">
        <f t="shared" si="29"/>
        <v>14.525228873099193</v>
      </c>
      <c r="AJ27">
        <f t="shared" si="30"/>
        <v>0</v>
      </c>
      <c r="AK27">
        <f t="shared" si="31"/>
        <v>1.0996119585526698</v>
      </c>
      <c r="AL27">
        <f t="shared" si="32"/>
        <v>15.028374663644586</v>
      </c>
      <c r="AM27">
        <f t="shared" si="10"/>
        <v>0</v>
      </c>
      <c r="AN27">
        <f>IF($S$2=0,0,(SUMPRODUCT($K$2:$R$2,Assumptions!$B$34:$I$34)/$U$2+$J$2/$U$2*Assumptions!$A$34*G27)*K27*O26)</f>
        <v>17.273432451655736</v>
      </c>
      <c r="AO27">
        <f t="shared" si="33"/>
        <v>0</v>
      </c>
      <c r="AP27">
        <f t="shared" si="34"/>
        <v>0</v>
      </c>
      <c r="AQ27">
        <f>IF(B27&gt;$AJ$2,0,AQ26*(1+Assumptions!$B$43)^(1/12))</f>
        <v>1.0133555063775093</v>
      </c>
      <c r="AR27" s="27">
        <f>IF(B27&gt;$AJ$2,0,(O26+R26)*Assumptions!$B$39/12*AQ26+AV27*Assumptions!$B$41/12)</f>
        <v>10.888305268777312</v>
      </c>
      <c r="AS27">
        <f t="shared" si="35"/>
        <v>104.30700470542774</v>
      </c>
      <c r="AT27" s="28">
        <f t="shared" si="36"/>
        <v>2576.6306653544743</v>
      </c>
      <c r="AU27">
        <f t="shared" si="37"/>
        <v>11.900589762604026</v>
      </c>
      <c r="AV27" s="28">
        <f t="shared" si="38"/>
        <v>2584.2276818263495</v>
      </c>
      <c r="AW27" s="28">
        <f t="shared" si="39"/>
        <v>2681.8660068540448</v>
      </c>
      <c r="AX27" s="23">
        <f>HLOOKUP(YEAR(A27),Assumptions!$A$25:$AL$29,2,TRUE)/100</f>
        <v>1.4124000000000001E-2</v>
      </c>
      <c r="AY27" s="29">
        <f>1/(1+HLOOKUP(YEAR(A27),Assumptions!$A$18:$AL$20,3,TRUE))^(1/12)</f>
        <v>0.99878334319559714</v>
      </c>
      <c r="AZ27" s="26">
        <f t="shared" si="40"/>
        <v>-3765.9245608557949</v>
      </c>
      <c r="BA27">
        <f t="shared" si="41"/>
        <v>33.401419073852992</v>
      </c>
      <c r="BB27">
        <f t="shared" si="42"/>
        <v>2575.4633968977669</v>
      </c>
      <c r="BC27">
        <f t="shared" si="43"/>
        <v>0</v>
      </c>
    </row>
    <row r="28" spans="1:55" x14ac:dyDescent="0.2">
      <c r="A28" s="3">
        <f t="shared" si="11"/>
        <v>43616</v>
      </c>
      <c r="B28">
        <f t="shared" si="2"/>
        <v>30</v>
      </c>
      <c r="C28">
        <f t="shared" si="3"/>
        <v>2.4166666666666665</v>
      </c>
      <c r="D28">
        <f t="shared" si="4"/>
        <v>0</v>
      </c>
      <c r="E28">
        <f t="shared" si="5"/>
        <v>58</v>
      </c>
      <c r="F28">
        <f>IF(C28&gt;=$T$2,0,VLOOKUP($E28,'Mortality Table'!$A$3:$C$128,2+AF$2,FALSE))</f>
        <v>5.0921999999999999E-3</v>
      </c>
      <c r="G28">
        <f>F28*Assumptions!$B$1</f>
        <v>5.0921999999999999E-3</v>
      </c>
      <c r="H28">
        <f t="shared" si="12"/>
        <v>4.2534363520696505E-4</v>
      </c>
      <c r="I28">
        <f t="shared" si="13"/>
        <v>3.3653516172427189E-4</v>
      </c>
      <c r="J28">
        <f>IF(B28&gt;$AJ$2,0,HLOOKUP(C28,Assumptions!$A$6:$J$7,2,TRUE))</f>
        <v>6.7299999999999999E-2</v>
      </c>
      <c r="K28" s="4">
        <f t="shared" si="0"/>
        <v>1</v>
      </c>
      <c r="L28" s="4">
        <f t="shared" si="14"/>
        <v>8.3333333333333329E-2</v>
      </c>
      <c r="M28" s="4">
        <f t="shared" si="6"/>
        <v>5.7891506828096073E-3</v>
      </c>
      <c r="N28">
        <f t="shared" si="15"/>
        <v>4.5927405365247696E-3</v>
      </c>
      <c r="O28" s="21">
        <f t="shared" si="7"/>
        <v>0.78464471543119974</v>
      </c>
      <c r="P28">
        <f>IF(B28&gt;$AJ$2,0,HLOOKUP(C28,Assumptions!$A$12:$J$13,2,TRUE))</f>
        <v>5.8200000000000002E-2</v>
      </c>
      <c r="Q28">
        <f t="shared" si="8"/>
        <v>3.9305732643825433E-3</v>
      </c>
      <c r="R28">
        <f t="shared" si="16"/>
        <v>6.493626060192681E-2</v>
      </c>
      <c r="S28">
        <f t="shared" si="44"/>
        <v>2.6035001538282211E-5</v>
      </c>
      <c r="T28">
        <f t="shared" si="45"/>
        <v>3.5530316154993783E-4</v>
      </c>
      <c r="U28">
        <f t="shared" si="17"/>
        <v>3182.7000000000003</v>
      </c>
      <c r="V28">
        <f t="shared" si="18"/>
        <v>1410.2</v>
      </c>
      <c r="W28">
        <f t="shared" si="19"/>
        <v>0.12</v>
      </c>
      <c r="X28">
        <f t="shared" si="9"/>
        <v>210.45724809135393</v>
      </c>
      <c r="Y28">
        <f t="shared" si="20"/>
        <v>129.98333333333335</v>
      </c>
      <c r="Z28">
        <f t="shared" si="21"/>
        <v>3195.4386666666678</v>
      </c>
      <c r="AA28">
        <f t="shared" si="22"/>
        <v>0</v>
      </c>
      <c r="AB28">
        <f t="shared" si="23"/>
        <v>3221.6238962232806</v>
      </c>
      <c r="AC28" s="23">
        <f>IF(B28&gt;$AJ$2,0,HLOOKUP(YEAR(A28),Assumptions!$A$25:$AL$29,4,TRUE)/100)</f>
        <v>8.1239999999999993E-3</v>
      </c>
      <c r="AD28">
        <f t="shared" si="24"/>
        <v>16.217924914141349</v>
      </c>
      <c r="AE28">
        <f t="shared" si="25"/>
        <v>2189.227873372377</v>
      </c>
      <c r="AF28">
        <f t="shared" si="26"/>
        <v>2124.3980941327341</v>
      </c>
      <c r="AG28">
        <f t="shared" si="27"/>
        <v>2211.2945604196361</v>
      </c>
      <c r="AH28">
        <f t="shared" si="28"/>
        <v>14.73065893841434</v>
      </c>
      <c r="AI28">
        <f t="shared" si="29"/>
        <v>14.634834956481743</v>
      </c>
      <c r="AJ28">
        <f t="shared" si="30"/>
        <v>0</v>
      </c>
      <c r="AK28">
        <f t="shared" si="31"/>
        <v>1.1365250960497455</v>
      </c>
      <c r="AL28">
        <f t="shared" si="32"/>
        <v>15.533378852005145</v>
      </c>
      <c r="AM28">
        <f t="shared" si="10"/>
        <v>0</v>
      </c>
      <c r="AN28">
        <f>IF($S$2=0,0,(SUMPRODUCT($K$2:$R$2,Assumptions!$B$34:$I$34)/$U$2+$J$2/$U$2*Assumptions!$A$34*G28)*K28*O27)</f>
        <v>17.080566513064952</v>
      </c>
      <c r="AO28">
        <f t="shared" si="33"/>
        <v>0</v>
      </c>
      <c r="AP28">
        <f t="shared" si="34"/>
        <v>0</v>
      </c>
      <c r="AQ28">
        <f>IF(B28&gt;$AJ$2,0,AQ27*(1+Assumptions!$B$43)^(1/12))</f>
        <v>1.014196123393432</v>
      </c>
      <c r="AR28" s="27">
        <f>IF(B28&gt;$AJ$2,0,(O27+R27)*Assumptions!$B$39/12*AQ27+AV28*Assumptions!$B$41/12)</f>
        <v>10.85310778751095</v>
      </c>
      <c r="AS28">
        <f t="shared" si="35"/>
        <v>103.14236829512485</v>
      </c>
      <c r="AT28" s="28">
        <f t="shared" si="36"/>
        <v>2663.1261979736346</v>
      </c>
      <c r="AU28">
        <f t="shared" si="37"/>
        <v>15.141196352579627</v>
      </c>
      <c r="AV28" s="28">
        <f t="shared" si="38"/>
        <v>2674.593056899138</v>
      </c>
      <c r="AW28" s="28">
        <f t="shared" si="39"/>
        <v>2771.0548289078561</v>
      </c>
      <c r="AX28" s="23">
        <f>HLOOKUP(YEAR(A28),Assumptions!$A$25:$AL$29,2,TRUE)/100</f>
        <v>1.4124000000000001E-2</v>
      </c>
      <c r="AY28" s="29">
        <f>1/(1+HLOOKUP(YEAR(A28),Assumptions!$A$18:$AL$20,3,TRUE))^(1/12)</f>
        <v>0.99878334319559714</v>
      </c>
      <c r="AZ28" s="26">
        <f t="shared" si="40"/>
        <v>-3604.6583100695143</v>
      </c>
      <c r="BA28">
        <f t="shared" si="41"/>
        <v>33.750470461119846</v>
      </c>
      <c r="BB28">
        <f t="shared" si="42"/>
        <v>2662.6924671365341</v>
      </c>
      <c r="BC28">
        <f t="shared" si="43"/>
        <v>0</v>
      </c>
    </row>
    <row r="29" spans="1:55" x14ac:dyDescent="0.2">
      <c r="A29" s="3">
        <f t="shared" si="11"/>
        <v>43646</v>
      </c>
      <c r="B29">
        <f t="shared" si="2"/>
        <v>31</v>
      </c>
      <c r="C29">
        <f t="shared" si="3"/>
        <v>2.5</v>
      </c>
      <c r="D29">
        <f t="shared" si="4"/>
        <v>0</v>
      </c>
      <c r="E29">
        <f t="shared" si="5"/>
        <v>58</v>
      </c>
      <c r="F29">
        <f>IF(C29&gt;=$T$2,0,VLOOKUP($E29,'Mortality Table'!$A$3:$C$128,2+AF$2,FALSE))</f>
        <v>5.0921999999999999E-3</v>
      </c>
      <c r="G29">
        <f>F29*Assumptions!$B$1</f>
        <v>5.0921999999999999E-3</v>
      </c>
      <c r="H29">
        <f t="shared" si="12"/>
        <v>4.2534363520696505E-4</v>
      </c>
      <c r="I29">
        <f t="shared" si="13"/>
        <v>3.3277758950946108E-4</v>
      </c>
      <c r="J29">
        <f>IF(B29&gt;$AJ$2,0,HLOOKUP(C29,Assumptions!$A$6:$J$7,2,TRUE))</f>
        <v>6.7299999999999999E-2</v>
      </c>
      <c r="K29" s="4">
        <f t="shared" si="0"/>
        <v>1</v>
      </c>
      <c r="L29" s="4">
        <f t="shared" si="14"/>
        <v>8.3333333333333329E-2</v>
      </c>
      <c r="M29" s="4">
        <f t="shared" si="6"/>
        <v>5.7891506828096073E-3</v>
      </c>
      <c r="N29">
        <f t="shared" si="15"/>
        <v>4.5414604440035004E-3</v>
      </c>
      <c r="O29" s="21">
        <f t="shared" si="7"/>
        <v>0.77588379081905456</v>
      </c>
      <c r="P29">
        <f>IF(B29&gt;$AJ$2,0,HLOOKUP(C29,Assumptions!$A$12:$J$13,2,TRUE))</f>
        <v>5.8200000000000002E-2</v>
      </c>
      <c r="Q29">
        <f t="shared" si="8"/>
        <v>3.8866865786322357E-3</v>
      </c>
      <c r="R29">
        <f t="shared" si="16"/>
        <v>6.8419561055660355E-2</v>
      </c>
      <c r="S29">
        <f t="shared" si="44"/>
        <v>2.7540276318552695E-5</v>
      </c>
      <c r="T29">
        <f t="shared" si="45"/>
        <v>3.7584584858012954E-4</v>
      </c>
      <c r="U29">
        <f t="shared" si="17"/>
        <v>3182.7000000000003</v>
      </c>
      <c r="V29">
        <f t="shared" si="18"/>
        <v>1410.2</v>
      </c>
      <c r="W29">
        <f t="shared" si="19"/>
        <v>0.12</v>
      </c>
      <c r="X29">
        <f t="shared" si="9"/>
        <v>208.10739465023997</v>
      </c>
      <c r="Y29">
        <f t="shared" si="20"/>
        <v>129.98333333333335</v>
      </c>
      <c r="Z29">
        <f t="shared" si="21"/>
        <v>3325.4220000000014</v>
      </c>
      <c r="AA29">
        <f t="shared" si="22"/>
        <v>0</v>
      </c>
      <c r="AB29">
        <f t="shared" si="23"/>
        <v>3353.8678624814511</v>
      </c>
      <c r="AC29" s="23">
        <f>IF(B29&gt;$AJ$2,0,HLOOKUP(YEAR(A29),Assumptions!$A$25:$AL$29,4,TRUE)/100)</f>
        <v>8.1239999999999993E-3</v>
      </c>
      <c r="AD29">
        <f t="shared" si="24"/>
        <v>16.217924914141349</v>
      </c>
      <c r="AE29">
        <f t="shared" si="25"/>
        <v>2253.7712641008247</v>
      </c>
      <c r="AF29">
        <f t="shared" si="26"/>
        <v>2189.227873372377</v>
      </c>
      <c r="AG29">
        <f t="shared" si="27"/>
        <v>2277.6071045273097</v>
      </c>
      <c r="AH29">
        <f t="shared" si="28"/>
        <v>14.81514554747066</v>
      </c>
      <c r="AI29">
        <f t="shared" si="29"/>
        <v>14.73065893841434</v>
      </c>
      <c r="AJ29">
        <f t="shared" si="30"/>
        <v>0</v>
      </c>
      <c r="AK29">
        <f t="shared" si="31"/>
        <v>1.172720506195976</v>
      </c>
      <c r="AL29">
        <f t="shared" si="32"/>
        <v>16.028564321312018</v>
      </c>
      <c r="AM29">
        <f t="shared" si="10"/>
        <v>0</v>
      </c>
      <c r="AN29">
        <f>IF($S$2=0,0,(SUMPRODUCT($K$2:$R$2,Assumptions!$B$34:$I$34)/$U$2+$J$2/$U$2*Assumptions!$A$34*G29)*K29*O28)</f>
        <v>16.889854012731014</v>
      </c>
      <c r="AO29">
        <f t="shared" si="33"/>
        <v>0</v>
      </c>
      <c r="AP29">
        <f t="shared" si="34"/>
        <v>0</v>
      </c>
      <c r="AQ29">
        <f>IF(B29&gt;$AJ$2,0,AQ28*(1+Assumptions!$B$43)^(1/12))</f>
        <v>1.015037437733209</v>
      </c>
      <c r="AR29" s="27">
        <f>IF(B29&gt;$AJ$2,0,(O28+R28)*Assumptions!$B$39/12*AQ28+AV29*Assumptions!$B$41/12)</f>
        <v>10.817851695498209</v>
      </c>
      <c r="AS29">
        <f t="shared" si="35"/>
        <v>101.99073559413212</v>
      </c>
      <c r="AT29" s="28">
        <f t="shared" si="36"/>
        <v>2747.9399388596589</v>
      </c>
      <c r="AU29">
        <f t="shared" si="37"/>
        <v>18.484260983399814</v>
      </c>
      <c r="AV29" s="28">
        <f t="shared" si="38"/>
        <v>2763.3682759076155</v>
      </c>
      <c r="AW29" s="28">
        <f t="shared" si="39"/>
        <v>2858.6670832682253</v>
      </c>
      <c r="AX29" s="23">
        <f>HLOOKUP(YEAR(A29),Assumptions!$A$25:$AL$29,2,TRUE)/100</f>
        <v>1.4124000000000001E-2</v>
      </c>
      <c r="AY29" s="29">
        <f>1/(1+HLOOKUP(YEAR(A29),Assumptions!$A$18:$AL$20,3,TRUE))^(1/12)</f>
        <v>0.99878334319559714</v>
      </c>
      <c r="AZ29" s="26">
        <f t="shared" si="40"/>
        <v>-3445.8508803243494</v>
      </c>
      <c r="BA29">
        <f t="shared" si="41"/>
        <v>34.091138840239012</v>
      </c>
      <c r="BB29">
        <f t="shared" si="42"/>
        <v>2748.2270795550357</v>
      </c>
      <c r="BC29">
        <f t="shared" si="43"/>
        <v>0</v>
      </c>
    </row>
    <row r="30" spans="1:55" x14ac:dyDescent="0.2">
      <c r="A30" s="3">
        <f t="shared" si="11"/>
        <v>43677</v>
      </c>
      <c r="B30">
        <f t="shared" si="2"/>
        <v>32</v>
      </c>
      <c r="C30">
        <f t="shared" si="3"/>
        <v>2.5833333333333335</v>
      </c>
      <c r="D30">
        <f t="shared" si="4"/>
        <v>0</v>
      </c>
      <c r="E30">
        <f t="shared" si="5"/>
        <v>58</v>
      </c>
      <c r="F30">
        <f>IF(C30&gt;=$T$2,0,VLOOKUP($E30,'Mortality Table'!$A$3:$C$128,2+AF$2,FALSE))</f>
        <v>5.0921999999999999E-3</v>
      </c>
      <c r="G30">
        <f>F30*Assumptions!$B$1</f>
        <v>5.0921999999999999E-3</v>
      </c>
      <c r="H30">
        <f t="shared" si="12"/>
        <v>4.2534363520696505E-4</v>
      </c>
      <c r="I30">
        <f t="shared" si="13"/>
        <v>3.2906197234290483E-4</v>
      </c>
      <c r="J30">
        <f>IF(B30&gt;$AJ$2,0,HLOOKUP(C30,Assumptions!$A$6:$J$7,2,TRUE))</f>
        <v>6.7299999999999999E-2</v>
      </c>
      <c r="K30" s="4">
        <f t="shared" si="0"/>
        <v>1</v>
      </c>
      <c r="L30" s="4">
        <f t="shared" si="14"/>
        <v>8.3333333333333329E-2</v>
      </c>
      <c r="M30" s="4">
        <f t="shared" si="6"/>
        <v>5.7891506828096073E-3</v>
      </c>
      <c r="N30">
        <f t="shared" si="15"/>
        <v>4.4907529176588037E-3</v>
      </c>
      <c r="O30" s="21">
        <f t="shared" si="7"/>
        <v>0.76722068602083304</v>
      </c>
      <c r="P30">
        <f>IF(B30&gt;$AJ$2,0,HLOOKUP(C30,Assumptions!$A$12:$J$13,2,TRUE))</f>
        <v>5.8200000000000002E-2</v>
      </c>
      <c r="Q30">
        <f t="shared" si="8"/>
        <v>3.8432899082197921E-3</v>
      </c>
      <c r="R30">
        <f t="shared" si="16"/>
        <v>7.1837826465307578E-2</v>
      </c>
      <c r="S30">
        <f t="shared" si="44"/>
        <v>2.9017587394169438E-5</v>
      </c>
      <c r="T30">
        <f t="shared" si="45"/>
        <v>3.9600691117839973E-4</v>
      </c>
      <c r="U30">
        <f t="shared" si="17"/>
        <v>3182.7000000000003</v>
      </c>
      <c r="V30">
        <f t="shared" si="18"/>
        <v>1410.2</v>
      </c>
      <c r="W30">
        <f t="shared" si="19"/>
        <v>0.12</v>
      </c>
      <c r="X30">
        <f t="shared" si="9"/>
        <v>205.78377841998378</v>
      </c>
      <c r="Y30">
        <f t="shared" si="20"/>
        <v>129.98333333333335</v>
      </c>
      <c r="Z30">
        <f t="shared" si="21"/>
        <v>3455.405333333335</v>
      </c>
      <c r="AA30">
        <f t="shared" si="22"/>
        <v>0</v>
      </c>
      <c r="AB30">
        <f t="shared" si="23"/>
        <v>3486.201026263007</v>
      </c>
      <c r="AC30" s="23">
        <f>IF(B30&gt;$AJ$2,0,HLOOKUP(YEAR(A30),Assumptions!$A$25:$AL$29,4,TRUE)/100)</f>
        <v>8.1239999999999993E-3</v>
      </c>
      <c r="AD30">
        <f t="shared" si="24"/>
        <v>16.217924914141349</v>
      </c>
      <c r="AE30">
        <f t="shared" si="25"/>
        <v>2318.0581213025062</v>
      </c>
      <c r="AF30">
        <f t="shared" si="26"/>
        <v>2253.7712641008247</v>
      </c>
      <c r="AG30">
        <f t="shared" si="27"/>
        <v>2343.7203512962715</v>
      </c>
      <c r="AH30">
        <f t="shared" si="28"/>
        <v>14.890193583424088</v>
      </c>
      <c r="AI30">
        <f t="shared" si="29"/>
        <v>14.81514554747066</v>
      </c>
      <c r="AJ30">
        <f t="shared" si="30"/>
        <v>0</v>
      </c>
      <c r="AK30">
        <f t="shared" si="31"/>
        <v>1.2082081009936108</v>
      </c>
      <c r="AL30">
        <f t="shared" si="32"/>
        <v>16.514065932103847</v>
      </c>
      <c r="AM30">
        <f t="shared" si="10"/>
        <v>0</v>
      </c>
      <c r="AN30">
        <f>IF($S$2=0,0,(SUMPRODUCT($K$2:$R$2,Assumptions!$B$34:$I$34)/$U$2+$J$2/$U$2*Assumptions!$A$34*G30)*K30*O29)</f>
        <v>16.701270906510313</v>
      </c>
      <c r="AO30">
        <f t="shared" si="33"/>
        <v>0</v>
      </c>
      <c r="AP30">
        <f t="shared" si="34"/>
        <v>0</v>
      </c>
      <c r="AQ30">
        <f>IF(B30&gt;$AJ$2,0,AQ29*(1+Assumptions!$B$43)^(1/12))</f>
        <v>1.015879449975297</v>
      </c>
      <c r="AR30" s="27">
        <f>IF(B30&gt;$AJ$2,0,(O29+R29)*Assumptions!$B$39/12*AQ29+AV30*Assumptions!$B$41/12)</f>
        <v>10.782540229979533</v>
      </c>
      <c r="AS30">
        <f t="shared" si="35"/>
        <v>100.85196140996345</v>
      </c>
      <c r="AT30" s="28">
        <f t="shared" si="36"/>
        <v>2831.0951139958156</v>
      </c>
      <c r="AU30">
        <f t="shared" si="37"/>
        <v>21.927964962873848</v>
      </c>
      <c r="AV30" s="28">
        <f t="shared" si="38"/>
        <v>2850.5748903465123</v>
      </c>
      <c r="AW30" s="28">
        <f t="shared" si="39"/>
        <v>2944.7241671265529</v>
      </c>
      <c r="AX30" s="23">
        <f>HLOOKUP(YEAR(A30),Assumptions!$A$25:$AL$29,2,TRUE)/100</f>
        <v>1.4124000000000001E-2</v>
      </c>
      <c r="AY30" s="29">
        <f>1/(1+HLOOKUP(YEAR(A30),Assumptions!$A$18:$AL$20,3,TRUE))^(1/12)</f>
        <v>0.99878334319559714</v>
      </c>
      <c r="AZ30" s="26">
        <f t="shared" si="40"/>
        <v>-3289.4707119416494</v>
      </c>
      <c r="BA30">
        <f t="shared" si="41"/>
        <v>34.423544939607766</v>
      </c>
      <c r="BB30">
        <f t="shared" si="42"/>
        <v>2832.0906293631124</v>
      </c>
      <c r="BC30">
        <f t="shared" si="43"/>
        <v>0</v>
      </c>
    </row>
    <row r="31" spans="1:55" x14ac:dyDescent="0.2">
      <c r="A31" s="3">
        <f t="shared" si="11"/>
        <v>43708</v>
      </c>
      <c r="B31">
        <f t="shared" si="2"/>
        <v>33</v>
      </c>
      <c r="C31">
        <f t="shared" si="3"/>
        <v>2.6666666666666665</v>
      </c>
      <c r="D31">
        <f t="shared" si="4"/>
        <v>0</v>
      </c>
      <c r="E31">
        <f t="shared" si="5"/>
        <v>58</v>
      </c>
      <c r="F31">
        <f>IF(C31&gt;=$T$2,0,VLOOKUP($E31,'Mortality Table'!$A$3:$C$128,2+AF$2,FALSE))</f>
        <v>5.0921999999999999E-3</v>
      </c>
      <c r="G31">
        <f>F31*Assumptions!$B$1</f>
        <v>5.0921999999999999E-3</v>
      </c>
      <c r="H31">
        <f t="shared" si="12"/>
        <v>4.2534363520696505E-4</v>
      </c>
      <c r="I31">
        <f t="shared" si="13"/>
        <v>3.2538784177689993E-4</v>
      </c>
      <c r="J31">
        <f>IF(B31&gt;$AJ$2,0,HLOOKUP(C31,Assumptions!$A$6:$J$7,2,TRUE))</f>
        <v>6.7299999999999999E-2</v>
      </c>
      <c r="K31" s="4">
        <f t="shared" si="0"/>
        <v>1</v>
      </c>
      <c r="L31" s="4">
        <f t="shared" si="14"/>
        <v>8.3333333333333329E-2</v>
      </c>
      <c r="M31" s="4">
        <f t="shared" si="6"/>
        <v>5.7891506828096073E-3</v>
      </c>
      <c r="N31">
        <f t="shared" si="15"/>
        <v>4.4406115645219783E-3</v>
      </c>
      <c r="O31" s="21">
        <f t="shared" si="7"/>
        <v>0.75865430883263896</v>
      </c>
      <c r="P31">
        <f>IF(B31&gt;$AJ$2,0,HLOOKUP(C31,Assumptions!$A$12:$J$13,2,TRUE))</f>
        <v>5.8200000000000002E-2</v>
      </c>
      <c r="Q31">
        <f t="shared" si="8"/>
        <v>3.8003777818951682E-3</v>
      </c>
      <c r="R31">
        <f t="shared" si="16"/>
        <v>7.5191945374727356E-2</v>
      </c>
      <c r="S31">
        <f t="shared" si="44"/>
        <v>3.0467316298162437E-5</v>
      </c>
      <c r="T31">
        <f t="shared" si="45"/>
        <v>4.1579155617723485E-4</v>
      </c>
      <c r="U31">
        <f t="shared" si="17"/>
        <v>3182.7000000000003</v>
      </c>
      <c r="V31">
        <f t="shared" si="18"/>
        <v>1410.2</v>
      </c>
      <c r="W31">
        <f t="shared" si="19"/>
        <v>0.12</v>
      </c>
      <c r="X31">
        <f t="shared" si="9"/>
        <v>203.48610644987545</v>
      </c>
      <c r="Y31">
        <f t="shared" si="20"/>
        <v>129.98333333333335</v>
      </c>
      <c r="Z31">
        <f t="shared" si="21"/>
        <v>3585.3886666666685</v>
      </c>
      <c r="AA31">
        <f t="shared" si="22"/>
        <v>0</v>
      </c>
      <c r="AB31">
        <f t="shared" si="23"/>
        <v>3618.6234477309804</v>
      </c>
      <c r="AC31" s="23">
        <f>IF(B31&gt;$AJ$2,0,HLOOKUP(YEAR(A31),Assumptions!$A$25:$AL$29,4,TRUE)/100)</f>
        <v>8.1239999999999993E-3</v>
      </c>
      <c r="AD31">
        <f t="shared" si="24"/>
        <v>16.217924914141349</v>
      </c>
      <c r="AE31">
        <f t="shared" si="25"/>
        <v>2382.1119880154406</v>
      </c>
      <c r="AF31">
        <f t="shared" si="26"/>
        <v>2318.0581213025062</v>
      </c>
      <c r="AG31">
        <f t="shared" si="27"/>
        <v>2409.6578752255455</v>
      </c>
      <c r="AH31">
        <f t="shared" si="28"/>
        <v>14.957300247900411</v>
      </c>
      <c r="AI31">
        <f t="shared" si="29"/>
        <v>14.890193583424088</v>
      </c>
      <c r="AJ31">
        <f t="shared" si="30"/>
        <v>0</v>
      </c>
      <c r="AK31">
        <f t="shared" si="31"/>
        <v>1.2429976699808312</v>
      </c>
      <c r="AL31">
        <f t="shared" si="32"/>
        <v>16.990017051064001</v>
      </c>
      <c r="AM31">
        <f t="shared" si="10"/>
        <v>0</v>
      </c>
      <c r="AN31">
        <f>IF($S$2=0,0,(SUMPRODUCT($K$2:$R$2,Assumptions!$B$34:$I$34)/$U$2+$J$2/$U$2*Assumptions!$A$34*G31)*K31*O30)</f>
        <v>16.514793418723318</v>
      </c>
      <c r="AO31">
        <f t="shared" si="33"/>
        <v>0</v>
      </c>
      <c r="AP31">
        <f t="shared" si="34"/>
        <v>0</v>
      </c>
      <c r="AQ31">
        <f>IF(B31&gt;$AJ$2,0,AQ30*(1+Assumptions!$B$43)^(1/12))</f>
        <v>1.0167221606986325</v>
      </c>
      <c r="AR31" s="27">
        <f>IF(B31&gt;$AJ$2,0,(O30+R30)*Assumptions!$B$39/12*AQ30+AV31*Assumptions!$B$41/12)</f>
        <v>10.74717657747958</v>
      </c>
      <c r="AS31">
        <f t="shared" si="35"/>
        <v>99.725902171274626</v>
      </c>
      <c r="AT31" s="28">
        <f t="shared" si="36"/>
        <v>2912.6146624053495</v>
      </c>
      <c r="AU31">
        <f t="shared" si="37"/>
        <v>25.470514315027774</v>
      </c>
      <c r="AV31" s="28">
        <f t="shared" si="38"/>
        <v>2936.2341877112408</v>
      </c>
      <c r="AW31" s="28">
        <f t="shared" si="39"/>
        <v>3029.247215412362</v>
      </c>
      <c r="AX31" s="23">
        <f>HLOOKUP(YEAR(A31),Assumptions!$A$25:$AL$29,2,TRUE)/100</f>
        <v>1.4124000000000001E-2</v>
      </c>
      <c r="AY31" s="29">
        <f>1/(1+HLOOKUP(YEAR(A31),Assumptions!$A$18:$AL$20,3,TRUE))^(1/12)</f>
        <v>0.99878334319559714</v>
      </c>
      <c r="AZ31" s="26">
        <f t="shared" si="40"/>
        <v>-3135.4866223164681</v>
      </c>
      <c r="BA31">
        <f t="shared" si="41"/>
        <v>34.747808139768154</v>
      </c>
      <c r="BB31">
        <f t="shared" si="42"/>
        <v>2914.306222748367</v>
      </c>
      <c r="BC31">
        <f t="shared" si="43"/>
        <v>0</v>
      </c>
    </row>
    <row r="32" spans="1:55" x14ac:dyDescent="0.2">
      <c r="A32" s="3">
        <f t="shared" si="11"/>
        <v>43738</v>
      </c>
      <c r="B32">
        <f t="shared" si="2"/>
        <v>34</v>
      </c>
      <c r="C32">
        <f t="shared" si="3"/>
        <v>2.75</v>
      </c>
      <c r="D32">
        <f t="shared" si="4"/>
        <v>0</v>
      </c>
      <c r="E32">
        <f t="shared" si="5"/>
        <v>58</v>
      </c>
      <c r="F32">
        <f>IF(C32&gt;=$T$2,0,VLOOKUP($E32,'Mortality Table'!$A$3:$C$128,2+AF$2,FALSE))</f>
        <v>5.0921999999999999E-3</v>
      </c>
      <c r="G32">
        <f>F32*Assumptions!$B$1</f>
        <v>5.0921999999999999E-3</v>
      </c>
      <c r="H32">
        <f t="shared" si="12"/>
        <v>4.2534363520696505E-4</v>
      </c>
      <c r="I32">
        <f t="shared" si="13"/>
        <v>3.2175473459418029E-4</v>
      </c>
      <c r="J32">
        <f>IF(B32&gt;$AJ$2,0,HLOOKUP(C32,Assumptions!$A$6:$J$7,2,TRUE))</f>
        <v>6.7299999999999999E-2</v>
      </c>
      <c r="K32" s="4">
        <f t="shared" si="0"/>
        <v>1</v>
      </c>
      <c r="L32" s="4">
        <f t="shared" si="14"/>
        <v>8.3333333333333329E-2</v>
      </c>
      <c r="M32" s="4">
        <f t="shared" si="6"/>
        <v>5.7891506828096073E-3</v>
      </c>
      <c r="N32">
        <f t="shared" si="15"/>
        <v>4.3910300630048008E-3</v>
      </c>
      <c r="O32" s="21">
        <f t="shared" si="7"/>
        <v>0.75018357924554258</v>
      </c>
      <c r="P32">
        <f>IF(B32&gt;$AJ$2,0,HLOOKUP(C32,Assumptions!$A$12:$J$13,2,TRUE))</f>
        <v>5.8200000000000002E-2</v>
      </c>
      <c r="Q32">
        <f t="shared" si="8"/>
        <v>3.757944789497382E-3</v>
      </c>
      <c r="R32">
        <f t="shared" si="16"/>
        <v>7.8482795397954747E-2</v>
      </c>
      <c r="S32">
        <f t="shared" si="44"/>
        <v>3.1889839873041074E-5</v>
      </c>
      <c r="T32">
        <f t="shared" si="45"/>
        <v>4.3520492639695656E-4</v>
      </c>
      <c r="U32">
        <f t="shared" si="17"/>
        <v>3182.7000000000003</v>
      </c>
      <c r="V32">
        <f t="shared" si="18"/>
        <v>1410.2</v>
      </c>
      <c r="W32">
        <f t="shared" si="19"/>
        <v>0.12</v>
      </c>
      <c r="X32">
        <f t="shared" si="9"/>
        <v>201.21408906013667</v>
      </c>
      <c r="Y32">
        <f t="shared" si="20"/>
        <v>129.98333333333335</v>
      </c>
      <c r="Z32">
        <f t="shared" si="21"/>
        <v>3715.3720000000021</v>
      </c>
      <c r="AA32">
        <f t="shared" si="22"/>
        <v>0</v>
      </c>
      <c r="AB32">
        <f t="shared" si="23"/>
        <v>3751.1351870889848</v>
      </c>
      <c r="AC32" s="23">
        <f>IF(B32&gt;$AJ$2,0,HLOOKUP(YEAR(A32),Assumptions!$A$25:$AL$29,4,TRUE)/100)</f>
        <v>8.1239999999999993E-3</v>
      </c>
      <c r="AD32">
        <f t="shared" si="24"/>
        <v>16.217924914141349</v>
      </c>
      <c r="AE32">
        <f t="shared" si="25"/>
        <v>2445.9516803923152</v>
      </c>
      <c r="AF32">
        <f t="shared" si="26"/>
        <v>2382.1119880154406</v>
      </c>
      <c r="AG32">
        <f t="shared" si="27"/>
        <v>2475.4385040467832</v>
      </c>
      <c r="AH32">
        <f t="shared" si="28"/>
        <v>15.017661985425059</v>
      </c>
      <c r="AI32">
        <f t="shared" si="29"/>
        <v>14.957300247900411</v>
      </c>
      <c r="AJ32">
        <f t="shared" si="30"/>
        <v>0</v>
      </c>
      <c r="AK32">
        <f t="shared" si="31"/>
        <v>1.2770988816723698</v>
      </c>
      <c r="AL32">
        <f t="shared" si="32"/>
        <v>17.456549524618502</v>
      </c>
      <c r="AM32">
        <f t="shared" si="10"/>
        <v>0</v>
      </c>
      <c r="AN32">
        <f>IF($S$2=0,0,(SUMPRODUCT($K$2:$R$2,Assumptions!$B$34:$I$34)/$U$2+$J$2/$U$2*Assumptions!$A$34*G32)*K32*O31)</f>
        <v>16.330398039157071</v>
      </c>
      <c r="AO32">
        <f t="shared" si="33"/>
        <v>0</v>
      </c>
      <c r="AP32">
        <f t="shared" si="34"/>
        <v>0</v>
      </c>
      <c r="AQ32">
        <f>IF(B32&gt;$AJ$2,0,AQ31*(1+Assumptions!$B$43)^(1/12))</f>
        <v>1.0175655704826325</v>
      </c>
      <c r="AR32" s="27">
        <f>IF(B32&gt;$AJ$2,0,(O31+R31)*Assumptions!$B$39/12*AQ31+AV32*Assumptions!$B$41/12)</f>
        <v>10.711763874456373</v>
      </c>
      <c r="AS32">
        <f t="shared" si="35"/>
        <v>98.612415909762532</v>
      </c>
      <c r="AT32" s="28">
        <f t="shared" si="36"/>
        <v>2992.5212395271692</v>
      </c>
      <c r="AU32">
        <f t="shared" si="37"/>
        <v>29.110139476997034</v>
      </c>
      <c r="AV32" s="28">
        <f t="shared" si="38"/>
        <v>3020.3671945909828</v>
      </c>
      <c r="AW32" s="28">
        <f t="shared" si="39"/>
        <v>3112.2571038669007</v>
      </c>
      <c r="AX32" s="23">
        <f>HLOOKUP(YEAR(A32),Assumptions!$A$25:$AL$29,2,TRUE)/100</f>
        <v>1.4124000000000001E-2</v>
      </c>
      <c r="AY32" s="29">
        <f>1/(1+HLOOKUP(YEAR(A32),Assumptions!$A$18:$AL$20,3,TRUE))^(1/12)</f>
        <v>0.99878334319559714</v>
      </c>
      <c r="AZ32" s="26">
        <f t="shared" si="40"/>
        <v>-2983.8678016800818</v>
      </c>
      <c r="BA32">
        <f t="shared" si="41"/>
        <v>35.064046445447943</v>
      </c>
      <c r="BB32">
        <f t="shared" si="42"/>
        <v>2994.8966802759551</v>
      </c>
      <c r="BC32">
        <f t="shared" si="43"/>
        <v>0</v>
      </c>
    </row>
    <row r="33" spans="1:55" x14ac:dyDescent="0.2">
      <c r="A33" s="3">
        <f t="shared" si="11"/>
        <v>43769</v>
      </c>
      <c r="B33">
        <f t="shared" si="2"/>
        <v>35</v>
      </c>
      <c r="C33">
        <f t="shared" ref="C33:C96" si="46">(B33+11)/12-1</f>
        <v>2.8333333333333335</v>
      </c>
      <c r="D33">
        <f t="shared" ref="D33:D96" si="47">IF(C33-INT(C33)=0,1,0)</f>
        <v>0</v>
      </c>
      <c r="E33">
        <f t="shared" si="5"/>
        <v>58</v>
      </c>
      <c r="F33">
        <f>IF(C33&gt;=$T$2,0,VLOOKUP($E33,'Mortality Table'!$A$3:$C$128,2+AF$2,FALSE))</f>
        <v>5.0921999999999999E-3</v>
      </c>
      <c r="G33">
        <f>F33*Assumptions!$B$1</f>
        <v>5.0921999999999999E-3</v>
      </c>
      <c r="H33">
        <f t="shared" si="12"/>
        <v>4.2534363520696505E-4</v>
      </c>
      <c r="I33">
        <f t="shared" si="13"/>
        <v>3.1816219274951717E-4</v>
      </c>
      <c r="J33">
        <f>IF(B33&gt;$AJ$2,0,HLOOKUP(C33,Assumptions!$A$6:$J$7,2,TRUE))</f>
        <v>6.7299999999999999E-2</v>
      </c>
      <c r="K33" s="4">
        <f t="shared" si="0"/>
        <v>1</v>
      </c>
      <c r="L33" s="4">
        <f t="shared" si="14"/>
        <v>8.3333333333333329E-2</v>
      </c>
      <c r="M33" s="4">
        <f t="shared" si="6"/>
        <v>5.7891506828096073E-3</v>
      </c>
      <c r="N33">
        <f t="shared" si="15"/>
        <v>4.3420021621025338E-3</v>
      </c>
      <c r="O33" s="21">
        <f t="shared" si="7"/>
        <v>0.74180742930941812</v>
      </c>
      <c r="P33">
        <f>IF(B33&gt;$AJ$2,0,HLOOKUP(C33,Assumptions!$A$12:$J$13,2,TRUE))</f>
        <v>5.8200000000000002E-2</v>
      </c>
      <c r="Q33">
        <f t="shared" si="8"/>
        <v>3.7159855812724241E-3</v>
      </c>
      <c r="R33">
        <f t="shared" si="16"/>
        <v>8.1711243347504375E-2</v>
      </c>
      <c r="S33">
        <f t="shared" si="44"/>
        <v>3.3285530325840395E-5</v>
      </c>
      <c r="T33">
        <f t="shared" si="45"/>
        <v>4.5425210139694627E-4</v>
      </c>
      <c r="U33">
        <f t="shared" si="17"/>
        <v>3182.7000000000003</v>
      </c>
      <c r="V33">
        <f t="shared" si="18"/>
        <v>1410.2</v>
      </c>
      <c r="W33">
        <f t="shared" si="19"/>
        <v>0.12</v>
      </c>
      <c r="X33">
        <f t="shared" si="9"/>
        <v>198.96743980539904</v>
      </c>
      <c r="Y33">
        <f t="shared" si="20"/>
        <v>129.98333333333335</v>
      </c>
      <c r="Z33">
        <f t="shared" si="21"/>
        <v>3845.3553333333357</v>
      </c>
      <c r="AA33">
        <f t="shared" si="22"/>
        <v>0</v>
      </c>
      <c r="AB33">
        <f t="shared" si="23"/>
        <v>3883.7363045812408</v>
      </c>
      <c r="AC33" s="23">
        <f>IF(B33&gt;$AJ$2,0,HLOOKUP(YEAR(A33),Assumptions!$A$25:$AL$29,4,TRUE)/100)</f>
        <v>8.1239999999999993E-3</v>
      </c>
      <c r="AD33">
        <f t="shared" si="24"/>
        <v>16.217924914141349</v>
      </c>
      <c r="AE33">
        <f t="shared" si="25"/>
        <v>2509.5924179906083</v>
      </c>
      <c r="AF33">
        <f t="shared" si="26"/>
        <v>2445.9516803923152</v>
      </c>
      <c r="AG33">
        <f t="shared" si="27"/>
        <v>2541.0774537411407</v>
      </c>
      <c r="AH33">
        <f t="shared" si="28"/>
        <v>15.072246392100617</v>
      </c>
      <c r="AI33">
        <f t="shared" si="29"/>
        <v>15.017661985425059</v>
      </c>
      <c r="AJ33">
        <f t="shared" si="30"/>
        <v>0</v>
      </c>
      <c r="AK33">
        <f t="shared" si="31"/>
        <v>1.3105212849835925</v>
      </c>
      <c r="AL33">
        <f t="shared" si="32"/>
        <v>17.913793665546333</v>
      </c>
      <c r="AM33">
        <f t="shared" si="10"/>
        <v>0</v>
      </c>
      <c r="AN33">
        <f>IF($S$2=0,0,(SUMPRODUCT($K$2:$R$2,Assumptions!$B$34:$I$34)/$U$2+$J$2/$U$2*Assumptions!$A$34*G33)*K33*O32)</f>
        <v>16.148061520101113</v>
      </c>
      <c r="AO33">
        <f t="shared" si="33"/>
        <v>0</v>
      </c>
      <c r="AP33">
        <f t="shared" si="34"/>
        <v>0</v>
      </c>
      <c r="AQ33">
        <f>IF(B33&gt;$AJ$2,0,AQ32*(1+Assumptions!$B$43)^(1/12))</f>
        <v>1.0184096799071942</v>
      </c>
      <c r="AR33" s="27">
        <f>IF(B33&gt;$AJ$2,0,(O32+R32)*Assumptions!$B$39/12*AQ32+AV33*Assumptions!$B$41/12)</f>
        <v>10.676305207942734</v>
      </c>
      <c r="AS33">
        <f t="shared" si="35"/>
        <v>97.511362242266458</v>
      </c>
      <c r="AT33" s="28">
        <f t="shared" si="36"/>
        <v>3070.8372205527758</v>
      </c>
      <c r="AU33">
        <f t="shared" si="37"/>
        <v>32.845094999472281</v>
      </c>
      <c r="AV33" s="28">
        <f t="shared" si="38"/>
        <v>3102.9946797263315</v>
      </c>
      <c r="AW33" s="28">
        <f t="shared" si="39"/>
        <v>3193.7744520815213</v>
      </c>
      <c r="AX33" s="23">
        <f>HLOOKUP(YEAR(A33),Assumptions!$A$25:$AL$29,2,TRUE)/100</f>
        <v>1.4124000000000001E-2</v>
      </c>
      <c r="AY33" s="29">
        <f>1/(1+HLOOKUP(YEAR(A33),Assumptions!$A$18:$AL$20,3,TRUE))^(1/12)</f>
        <v>0.99878334319559714</v>
      </c>
      <c r="AZ33" s="26">
        <f t="shared" si="40"/>
        <v>-2834.5838088795758</v>
      </c>
      <c r="BA33">
        <f t="shared" si="41"/>
        <v>35.372376470631039</v>
      </c>
      <c r="BB33">
        <f t="shared" si="42"/>
        <v>3073.8845402493343</v>
      </c>
      <c r="BC33">
        <f t="shared" si="43"/>
        <v>0</v>
      </c>
    </row>
    <row r="34" spans="1:55" x14ac:dyDescent="0.2">
      <c r="A34" s="3">
        <f t="shared" si="11"/>
        <v>43799</v>
      </c>
      <c r="B34">
        <f t="shared" si="2"/>
        <v>36</v>
      </c>
      <c r="C34">
        <f t="shared" si="46"/>
        <v>2.9166666666666665</v>
      </c>
      <c r="D34">
        <f t="shared" si="47"/>
        <v>0</v>
      </c>
      <c r="E34">
        <f t="shared" si="5"/>
        <v>58</v>
      </c>
      <c r="F34">
        <f>IF(C34&gt;=$T$2,0,VLOOKUP($E34,'Mortality Table'!$A$3:$C$128,2+AF$2,FALSE))</f>
        <v>5.0921999999999999E-3</v>
      </c>
      <c r="G34">
        <f>F34*Assumptions!$B$1</f>
        <v>5.0921999999999999E-3</v>
      </c>
      <c r="H34">
        <f t="shared" si="12"/>
        <v>4.2534363520696505E-4</v>
      </c>
      <c r="I34">
        <f t="shared" si="13"/>
        <v>3.1460976331197031E-4</v>
      </c>
      <c r="J34">
        <f>IF(B34&gt;$AJ$2,0,HLOOKUP(C34,Assumptions!$A$6:$J$7,2,TRUE))</f>
        <v>6.7299999999999999E-2</v>
      </c>
      <c r="K34" s="4">
        <f t="shared" si="0"/>
        <v>1</v>
      </c>
      <c r="L34" s="4">
        <f t="shared" si="14"/>
        <v>8.3333333333333329E-2</v>
      </c>
      <c r="M34" s="4">
        <f t="shared" si="6"/>
        <v>5.7891506828096073E-3</v>
      </c>
      <c r="N34">
        <f t="shared" si="15"/>
        <v>4.2935216806058258E-3</v>
      </c>
      <c r="O34" s="21">
        <f t="shared" si="7"/>
        <v>0.73352480299830147</v>
      </c>
      <c r="P34">
        <f>IF(B34&gt;$AJ$2,0,HLOOKUP(C34,Assumptions!$A$12:$J$13,2,TRUE))</f>
        <v>5.8200000000000002E-2</v>
      </c>
      <c r="Q34">
        <f t="shared" si="8"/>
        <v>3.6744948671987871E-3</v>
      </c>
      <c r="R34">
        <f t="shared" si="16"/>
        <v>8.4878145361202362E-2</v>
      </c>
      <c r="S34">
        <f t="shared" si="44"/>
        <v>3.4654755282536211E-5</v>
      </c>
      <c r="T34">
        <f t="shared" si="45"/>
        <v>4.7293809821825471E-4</v>
      </c>
      <c r="U34">
        <f t="shared" si="17"/>
        <v>3182.7000000000003</v>
      </c>
      <c r="V34">
        <f t="shared" si="18"/>
        <v>1410.2</v>
      </c>
      <c r="W34">
        <f t="shared" si="19"/>
        <v>0.12</v>
      </c>
      <c r="X34">
        <f t="shared" si="9"/>
        <v>196.74587543859045</v>
      </c>
      <c r="Y34">
        <f t="shared" si="20"/>
        <v>129.98333333333335</v>
      </c>
      <c r="Z34">
        <f t="shared" si="21"/>
        <v>3975.3386666666693</v>
      </c>
      <c r="AA34">
        <f t="shared" si="22"/>
        <v>0</v>
      </c>
      <c r="AB34">
        <f t="shared" si="23"/>
        <v>4016.4268604926024</v>
      </c>
      <c r="AC34" s="23">
        <f>IF(B34&gt;$AJ$2,0,HLOOKUP(YEAR(A34),Assumptions!$A$25:$AL$29,4,TRUE)/100)</f>
        <v>8.1239999999999993E-3</v>
      </c>
      <c r="AD34">
        <f t="shared" si="24"/>
        <v>16.217924914141349</v>
      </c>
      <c r="AE34">
        <f t="shared" si="25"/>
        <v>2573.0466445698562</v>
      </c>
      <c r="AF34">
        <f t="shared" si="26"/>
        <v>2509.5924179906083</v>
      </c>
      <c r="AG34">
        <f t="shared" si="27"/>
        <v>2606.5871527692425</v>
      </c>
      <c r="AH34">
        <f t="shared" si="28"/>
        <v>15.121844434456319</v>
      </c>
      <c r="AI34">
        <f t="shared" si="29"/>
        <v>15.072246392100617</v>
      </c>
      <c r="AJ34">
        <f t="shared" si="30"/>
        <v>0</v>
      </c>
      <c r="AK34">
        <f t="shared" si="31"/>
        <v>1.343274310638223</v>
      </c>
      <c r="AL34">
        <f t="shared" si="32"/>
        <v>18.361878248375419</v>
      </c>
      <c r="AM34">
        <f t="shared" si="10"/>
        <v>0</v>
      </c>
      <c r="AN34">
        <f>IF($S$2=0,0,(SUMPRODUCT($K$2:$R$2,Assumptions!$B$34:$I$34)/$U$2+$J$2/$U$2*Assumptions!$A$34*G34)*K34*O33)</f>
        <v>15.967760873416525</v>
      </c>
      <c r="AO34">
        <f t="shared" si="33"/>
        <v>0</v>
      </c>
      <c r="AP34">
        <f t="shared" si="34"/>
        <v>0</v>
      </c>
      <c r="AQ34">
        <f>IF(B34&gt;$AJ$2,0,AQ33*(1+Assumptions!$B$43)^(1/12))</f>
        <v>1.0192544895526963</v>
      </c>
      <c r="AR34" s="27">
        <f>IF(B34&gt;$AJ$2,0,(O33+R33)*Assumptions!$B$39/12*AQ33+AV34*Assumptions!$B$41/12)</f>
        <v>10.640803616180097</v>
      </c>
      <c r="AS34">
        <f t="shared" si="35"/>
        <v>96.422602353069209</v>
      </c>
      <c r="AT34" s="28">
        <f t="shared" si="36"/>
        <v>3147.5847037248773</v>
      </c>
      <c r="AU34">
        <f t="shared" si="37"/>
        <v>36.673659250657714</v>
      </c>
      <c r="AV34" s="28">
        <f t="shared" si="38"/>
        <v>3184.1371570319006</v>
      </c>
      <c r="AW34" s="28">
        <f t="shared" si="39"/>
        <v>3273.8196265012416</v>
      </c>
      <c r="AX34" s="23">
        <f>HLOOKUP(YEAR(A34),Assumptions!$A$25:$AL$29,2,TRUE)/100</f>
        <v>1.4124000000000001E-2</v>
      </c>
      <c r="AY34" s="29">
        <f>1/(1+HLOOKUP(YEAR(A34),Assumptions!$A$18:$AL$20,3,TRUE))^(1/12)</f>
        <v>0.99878334319559714</v>
      </c>
      <c r="AZ34" s="26">
        <f t="shared" si="40"/>
        <v>-2687.6045671829092</v>
      </c>
      <c r="BA34">
        <f t="shared" si="41"/>
        <v>35.672913432430164</v>
      </c>
      <c r="BB34">
        <f t="shared" si="42"/>
        <v>3151.2920620324285</v>
      </c>
      <c r="BC34">
        <f t="shared" si="43"/>
        <v>0</v>
      </c>
    </row>
    <row r="35" spans="1:55" x14ac:dyDescent="0.2">
      <c r="A35" s="3">
        <f t="shared" si="11"/>
        <v>43830</v>
      </c>
      <c r="B35">
        <f t="shared" si="2"/>
        <v>37</v>
      </c>
      <c r="C35">
        <f t="shared" si="46"/>
        <v>3</v>
      </c>
      <c r="D35">
        <f t="shared" si="47"/>
        <v>1</v>
      </c>
      <c r="E35">
        <f t="shared" si="5"/>
        <v>59</v>
      </c>
      <c r="F35">
        <f>IF(C35&gt;=$T$2,0,VLOOKUP($E35,'Mortality Table'!$A$3:$C$128,2+AF$2,FALSE))</f>
        <v>5.5557999999999996E-3</v>
      </c>
      <c r="G35">
        <f>F35*Assumptions!$B$1</f>
        <v>5.5557999999999996E-3</v>
      </c>
      <c r="H35">
        <f t="shared" si="12"/>
        <v>4.6416647968805513E-4</v>
      </c>
      <c r="I35">
        <f t="shared" si="13"/>
        <v>3.3965155339271648E-4</v>
      </c>
      <c r="J35">
        <f>IF(B35&gt;$AJ$2,0,HLOOKUP(C35,Assumptions!$A$6:$J$7,2,TRUE))</f>
        <v>5.67E-2</v>
      </c>
      <c r="K35" s="4">
        <f t="shared" si="0"/>
        <v>1</v>
      </c>
      <c r="L35" s="4">
        <f t="shared" si="14"/>
        <v>8.3333333333333329E-2</v>
      </c>
      <c r="M35" s="4">
        <f t="shared" si="6"/>
        <v>4.8524315070186397E-3</v>
      </c>
      <c r="N35">
        <f t="shared" si="15"/>
        <v>3.5585527930697193E-3</v>
      </c>
      <c r="O35" s="21">
        <f t="shared" si="7"/>
        <v>0.72905871334313355</v>
      </c>
      <c r="P35">
        <f>IF(B35&gt;$AJ$2,0,HLOOKUP(C35,Assumptions!$A$12:$J$13,2,TRUE))</f>
        <v>9.2999999999999992E-3</v>
      </c>
      <c r="Q35">
        <f t="shared" si="8"/>
        <v>5.6788530870551098E-4</v>
      </c>
      <c r="R35">
        <f t="shared" si="16"/>
        <v>8.4994958867271805E-2</v>
      </c>
      <c r="S35">
        <f t="shared" si="44"/>
        <v>3.9302002881410311E-5</v>
      </c>
      <c r="T35">
        <f t="shared" si="45"/>
        <v>4.1176979975465631E-4</v>
      </c>
      <c r="U35">
        <f t="shared" si="17"/>
        <v>3278.1810000000005</v>
      </c>
      <c r="V35">
        <f t="shared" si="18"/>
        <v>1410.2</v>
      </c>
      <c r="W35">
        <f t="shared" si="19"/>
        <v>0.12</v>
      </c>
      <c r="X35">
        <f t="shared" si="9"/>
        <v>200.38558935148126</v>
      </c>
      <c r="Y35">
        <f t="shared" si="20"/>
        <v>136.98527333333337</v>
      </c>
      <c r="Z35">
        <f t="shared" si="21"/>
        <v>4112.3239400000029</v>
      </c>
      <c r="AA35">
        <f t="shared" si="22"/>
        <v>0</v>
      </c>
      <c r="AB35">
        <f t="shared" si="23"/>
        <v>4156.2135779024802</v>
      </c>
      <c r="AC35" s="23">
        <f>IF(B35&gt;$AJ$2,0,HLOOKUP(YEAR(A35),Assumptions!$A$25:$AL$29,4,TRUE)/100)</f>
        <v>8.1239999999999993E-3</v>
      </c>
      <c r="AD35">
        <f t="shared" si="24"/>
        <v>16.217924914141349</v>
      </c>
      <c r="AE35">
        <f t="shared" si="25"/>
        <v>2583.3311717200345</v>
      </c>
      <c r="AF35">
        <f t="shared" si="26"/>
        <v>2573.0466445698562</v>
      </c>
      <c r="AG35">
        <f t="shared" si="27"/>
        <v>2618.6872025688726</v>
      </c>
      <c r="AH35">
        <f t="shared" si="28"/>
        <v>15.129167786451161</v>
      </c>
      <c r="AI35">
        <f t="shared" si="29"/>
        <v>15.121844434456319</v>
      </c>
      <c r="AJ35">
        <f t="shared" si="30"/>
        <v>0</v>
      </c>
      <c r="AK35">
        <f t="shared" si="31"/>
        <v>1.5039858630773748</v>
      </c>
      <c r="AL35">
        <f t="shared" si="32"/>
        <v>15.761601678364499</v>
      </c>
      <c r="AM35">
        <f t="shared" si="10"/>
        <v>0</v>
      </c>
      <c r="AN35">
        <f>IF($S$2=0,0,(SUMPRODUCT($K$2:$R$2,Assumptions!$B$34:$I$34)/$U$2+$J$2/$U$2*Assumptions!$A$34*G35)*K35*O34)</f>
        <v>15.804920688469785</v>
      </c>
      <c r="AO35">
        <f t="shared" si="33"/>
        <v>0</v>
      </c>
      <c r="AP35">
        <f t="shared" si="34"/>
        <v>0</v>
      </c>
      <c r="AQ35">
        <f>IF(B35&gt;$AJ$2,0,AQ34*(1+Assumptions!$B$43)^(1/12))</f>
        <v>1.0200999999999987</v>
      </c>
      <c r="AR35" s="27">
        <f>IF(B35&gt;$AJ$2,0,(O34+R34)*Assumptions!$B$39/12*AQ34+AV35*Assumptions!$B$41/12)</f>
        <v>10.606414235345866</v>
      </c>
      <c r="AS35">
        <f t="shared" si="35"/>
        <v>100.48209563550184</v>
      </c>
      <c r="AT35" s="28">
        <f t="shared" si="36"/>
        <v>3252.6989345534362</v>
      </c>
      <c r="AU35">
        <f t="shared" si="37"/>
        <v>0</v>
      </c>
      <c r="AV35" s="28">
        <f t="shared" si="38"/>
        <v>3268.9355379225672</v>
      </c>
      <c r="AW35" s="28">
        <f t="shared" si="39"/>
        <v>3358.2326174032009</v>
      </c>
      <c r="AX35" s="23">
        <f>HLOOKUP(YEAR(A35),Assumptions!$A$25:$AL$29,2,TRUE)/100</f>
        <v>1.4124000000000001E-2</v>
      </c>
      <c r="AY35" s="29">
        <f>1/(1+HLOOKUP(YEAR(A35),Assumptions!$A$18:$AL$20,3,TRUE))^(1/12)</f>
        <v>0.99878334319559714</v>
      </c>
      <c r="AZ35" s="26">
        <f t="shared" si="40"/>
        <v>-2534.1697758638784</v>
      </c>
      <c r="BA35">
        <f t="shared" si="41"/>
        <v>33.07050822991166</v>
      </c>
      <c r="BB35">
        <f t="shared" si="42"/>
        <v>3232.2618786719095</v>
      </c>
      <c r="BC35">
        <f t="shared" si="43"/>
        <v>0</v>
      </c>
    </row>
    <row r="36" spans="1:55" x14ac:dyDescent="0.2">
      <c r="A36" s="3">
        <f t="shared" si="11"/>
        <v>43861</v>
      </c>
      <c r="B36">
        <f t="shared" si="2"/>
        <v>38</v>
      </c>
      <c r="C36">
        <f t="shared" si="46"/>
        <v>3.083333333333333</v>
      </c>
      <c r="D36">
        <f t="shared" si="47"/>
        <v>0</v>
      </c>
      <c r="E36">
        <f t="shared" si="5"/>
        <v>59</v>
      </c>
      <c r="F36">
        <f>IF(C36&gt;=$T$2,0,VLOOKUP($E36,'Mortality Table'!$A$3:$C$128,2+AF$2,FALSE))</f>
        <v>5.5557999999999996E-3</v>
      </c>
      <c r="G36">
        <f>F36*Assumptions!$B$1</f>
        <v>5.5557999999999996E-3</v>
      </c>
      <c r="H36">
        <f t="shared" si="12"/>
        <v>4.6416647968805513E-4</v>
      </c>
      <c r="I36">
        <f t="shared" si="13"/>
        <v>3.3758357384687358E-4</v>
      </c>
      <c r="J36">
        <f>IF(B36&gt;$AJ$2,0,HLOOKUP(C36,Assumptions!$A$6:$J$7,2,TRUE))</f>
        <v>5.67E-2</v>
      </c>
      <c r="K36" s="4">
        <f t="shared" si="0"/>
        <v>1</v>
      </c>
      <c r="L36" s="4">
        <f t="shared" si="14"/>
        <v>8.3333333333333329E-2</v>
      </c>
      <c r="M36" s="4">
        <f t="shared" si="6"/>
        <v>4.8524315070186397E-3</v>
      </c>
      <c r="N36">
        <f t="shared" si="15"/>
        <v>3.5368864284811802E-3</v>
      </c>
      <c r="O36" s="21">
        <f t="shared" si="7"/>
        <v>0.72461981562029909</v>
      </c>
      <c r="P36">
        <f>IF(B36&gt;$AJ$2,0,HLOOKUP(C36,Assumptions!$A$12:$J$13,2,TRUE))</f>
        <v>9.2999999999999992E-3</v>
      </c>
      <c r="Q36">
        <f t="shared" si="8"/>
        <v>5.644277205064962E-4</v>
      </c>
      <c r="R36">
        <f t="shared" si="16"/>
        <v>8.5107693997794318E-2</v>
      </c>
      <c r="S36">
        <f t="shared" si="44"/>
        <v>3.9356092243667126E-5</v>
      </c>
      <c r="T36">
        <f t="shared" si="45"/>
        <v>4.1233649774031757E-4</v>
      </c>
      <c r="U36">
        <f t="shared" si="17"/>
        <v>3278.1810000000005</v>
      </c>
      <c r="V36">
        <f t="shared" si="18"/>
        <v>1410.2</v>
      </c>
      <c r="W36">
        <f t="shared" si="19"/>
        <v>0.12</v>
      </c>
      <c r="X36">
        <f t="shared" si="9"/>
        <v>199.16553516382558</v>
      </c>
      <c r="Y36">
        <f t="shared" si="20"/>
        <v>136.98527333333337</v>
      </c>
      <c r="Z36">
        <f t="shared" si="21"/>
        <v>4249.3092133333366</v>
      </c>
      <c r="AA36">
        <f t="shared" si="22"/>
        <v>27.671712988335457</v>
      </c>
      <c r="AB36">
        <f t="shared" si="23"/>
        <v>4295.7709293631979</v>
      </c>
      <c r="AC36" s="23">
        <f>IF(B36&gt;$AJ$2,0,HLOOKUP(YEAR(A36),Assumptions!$A$25:$AL$29,4,TRUE)/100)</f>
        <v>7.2130000000000007E-3</v>
      </c>
      <c r="AD36">
        <f t="shared" si="24"/>
        <v>43.889637902476807</v>
      </c>
      <c r="AE36">
        <f t="shared" si="25"/>
        <v>2594.3798107357507</v>
      </c>
      <c r="AF36">
        <f t="shared" si="26"/>
        <v>2583.3311717200345</v>
      </c>
      <c r="AG36">
        <f t="shared" si="27"/>
        <v>2631.3679583646713</v>
      </c>
      <c r="AH36">
        <f t="shared" si="28"/>
        <v>35.412625078463357</v>
      </c>
      <c r="AI36">
        <f t="shared" si="29"/>
        <v>35.356030848838145</v>
      </c>
      <c r="AJ36">
        <f t="shared" si="30"/>
        <v>20.226863062386983</v>
      </c>
      <c r="AK36">
        <f t="shared" si="31"/>
        <v>1.5523747065370892</v>
      </c>
      <c r="AL36">
        <f t="shared" si="32"/>
        <v>16.268916154474553</v>
      </c>
      <c r="AM36">
        <f t="shared" si="10"/>
        <v>0</v>
      </c>
      <c r="AN36">
        <f>IF($S$2=0,0,(SUMPRODUCT($K$2:$R$2,Assumptions!$B$34:$I$34)/$U$2+$J$2/$U$2*Assumptions!$A$34*G36)*K36*O35)</f>
        <v>15.7086919140657</v>
      </c>
      <c r="AO36">
        <f t="shared" si="33"/>
        <v>0</v>
      </c>
      <c r="AP36">
        <f t="shared" si="34"/>
        <v>0</v>
      </c>
      <c r="AQ36">
        <f>IF(B36&gt;$AJ$2,0,AQ35*(1+Assumptions!$B$43)^(1/12))</f>
        <v>1.0209462118304431</v>
      </c>
      <c r="AR36" s="27">
        <f>IF(B36&gt;$AJ$2,0,(O35+R35)*Assumptions!$B$39/12*AQ35+AV36*Assumptions!$B$41/12)</f>
        <v>10.577384744121643</v>
      </c>
      <c r="AS36">
        <f t="shared" si="35"/>
        <v>99.870307123357492</v>
      </c>
      <c r="AT36" s="28">
        <f t="shared" si="36"/>
        <v>3334.7525299087652</v>
      </c>
      <c r="AU36">
        <f t="shared" si="37"/>
        <v>3.7491961121170259</v>
      </c>
      <c r="AV36" s="28">
        <f t="shared" si="38"/>
        <v>3336.8605497627282</v>
      </c>
      <c r="AW36" s="28">
        <f t="shared" si="39"/>
        <v>3425.5783930590746</v>
      </c>
      <c r="AX36" s="23">
        <f>HLOOKUP(YEAR(A36),Assumptions!$A$25:$AL$29,2,TRUE)/100</f>
        <v>1.3212999999999999E-2</v>
      </c>
      <c r="AY36" s="29">
        <f>1/(1+HLOOKUP(YEAR(A36),Assumptions!$A$18:$AL$20,3,TRUE))^(1/12)</f>
        <v>0.99883183519191387</v>
      </c>
      <c r="AZ36" s="26">
        <f t="shared" si="40"/>
        <v>-2382.0753983644777</v>
      </c>
      <c r="BA36">
        <f t="shared" si="41"/>
        <v>33.529982775077343</v>
      </c>
      <c r="BB36">
        <f t="shared" si="42"/>
        <v>3336.8605497627282</v>
      </c>
      <c r="BC36">
        <f t="shared" si="43"/>
        <v>0</v>
      </c>
    </row>
    <row r="37" spans="1:55" x14ac:dyDescent="0.2">
      <c r="A37" s="3">
        <f t="shared" si="11"/>
        <v>43890</v>
      </c>
      <c r="B37">
        <f t="shared" si="2"/>
        <v>39</v>
      </c>
      <c r="C37">
        <f t="shared" si="46"/>
        <v>3.166666666666667</v>
      </c>
      <c r="D37">
        <f t="shared" si="47"/>
        <v>0</v>
      </c>
      <c r="E37">
        <f t="shared" si="5"/>
        <v>59</v>
      </c>
      <c r="F37">
        <f>IF(C37&gt;=$T$2,0,VLOOKUP($E37,'Mortality Table'!$A$3:$C$128,2+AF$2,FALSE))</f>
        <v>5.5557999999999996E-3</v>
      </c>
      <c r="G37">
        <f>F37*Assumptions!$B$1</f>
        <v>5.5557999999999996E-3</v>
      </c>
      <c r="H37">
        <f t="shared" si="12"/>
        <v>4.6416647968805513E-4</v>
      </c>
      <c r="I37">
        <f t="shared" si="13"/>
        <v>3.3552818526185309E-4</v>
      </c>
      <c r="J37">
        <f>IF(B37&gt;$AJ$2,0,HLOOKUP(C37,Assumptions!$A$6:$J$7,2,TRUE))</f>
        <v>5.67E-2</v>
      </c>
      <c r="K37" s="4">
        <f t="shared" si="0"/>
        <v>1</v>
      </c>
      <c r="L37" s="4">
        <f t="shared" si="14"/>
        <v>8.3333333333333329E-2</v>
      </c>
      <c r="M37" s="4">
        <f t="shared" si="6"/>
        <v>4.8524315070186397E-3</v>
      </c>
      <c r="N37">
        <f t="shared" si="15"/>
        <v>3.5153519802591481E-3</v>
      </c>
      <c r="O37" s="21">
        <f t="shared" si="7"/>
        <v>0.72020794427083235</v>
      </c>
      <c r="P37">
        <f>IF(B37&gt;$AJ$2,0,HLOOKUP(C37,Assumptions!$A$12:$J$13,2,TRUE))</f>
        <v>9.2999999999999992E-3</v>
      </c>
      <c r="Q37">
        <f t="shared" si="8"/>
        <v>5.6099118394585068E-4</v>
      </c>
      <c r="R37">
        <f t="shared" si="16"/>
        <v>8.5216393478305619E-2</v>
      </c>
      <c r="S37">
        <f t="shared" si="44"/>
        <v>3.9408293153639621E-5</v>
      </c>
      <c r="T37">
        <f t="shared" si="45"/>
        <v>4.1288341028091353E-4</v>
      </c>
      <c r="U37">
        <f t="shared" si="17"/>
        <v>3278.1810000000005</v>
      </c>
      <c r="V37">
        <f t="shared" si="18"/>
        <v>1410.2</v>
      </c>
      <c r="W37">
        <f t="shared" si="19"/>
        <v>0.12</v>
      </c>
      <c r="X37">
        <f t="shared" si="9"/>
        <v>197.95290931583065</v>
      </c>
      <c r="Y37">
        <f t="shared" si="20"/>
        <v>136.98527333333337</v>
      </c>
      <c r="Z37">
        <f t="shared" si="21"/>
        <v>4386.2944866666703</v>
      </c>
      <c r="AA37">
        <f t="shared" si="22"/>
        <v>0</v>
      </c>
      <c r="AB37">
        <f t="shared" si="23"/>
        <v>4435.4118903709332</v>
      </c>
      <c r="AC37" s="23">
        <f>IF(B37&gt;$AJ$2,0,HLOOKUP(YEAR(A37),Assumptions!$A$25:$AL$29,4,TRUE)/100)</f>
        <v>7.2130000000000007E-3</v>
      </c>
      <c r="AD37">
        <f t="shared" si="24"/>
        <v>43.889637902476807</v>
      </c>
      <c r="AE37">
        <f t="shared" si="25"/>
        <v>2606.1762303511423</v>
      </c>
      <c r="AF37">
        <f t="shared" si="26"/>
        <v>2594.3798107357507</v>
      </c>
      <c r="AG37">
        <f t="shared" si="27"/>
        <v>2644.8103148931054</v>
      </c>
      <c r="AH37">
        <f t="shared" si="28"/>
        <v>35.468430414342514</v>
      </c>
      <c r="AI37">
        <f t="shared" si="29"/>
        <v>35.412625078463357</v>
      </c>
      <c r="AJ37">
        <f t="shared" si="30"/>
        <v>0</v>
      </c>
      <c r="AK37">
        <f t="shared" si="31"/>
        <v>1.5900872709363476</v>
      </c>
      <c r="AL37">
        <f t="shared" si="32"/>
        <v>16.66434779150401</v>
      </c>
      <c r="AM37">
        <f t="shared" si="10"/>
        <v>0</v>
      </c>
      <c r="AN37">
        <f>IF($S$2=0,0,(SUMPRODUCT($K$2:$R$2,Assumptions!$B$34:$I$34)/$U$2+$J$2/$U$2*Assumptions!$A$34*G37)*K37*O36)</f>
        <v>15.613049031688906</v>
      </c>
      <c r="AO37">
        <f t="shared" si="33"/>
        <v>0</v>
      </c>
      <c r="AP37">
        <f t="shared" si="34"/>
        <v>0</v>
      </c>
      <c r="AQ37">
        <f>IF(B37&gt;$AJ$2,0,AQ36*(1+Assumptions!$B$43)^(1/12))</f>
        <v>1.0217931256258537</v>
      </c>
      <c r="AR37" s="27">
        <f>IF(B37&gt;$AJ$2,0,(O36+R36)*Assumptions!$B$39/12*AQ36+AV37*Assumptions!$B$41/12)</f>
        <v>10.552461387565282</v>
      </c>
      <c r="AS37">
        <f t="shared" si="35"/>
        <v>99.262243505496301</v>
      </c>
      <c r="AT37" s="28">
        <f t="shared" si="36"/>
        <v>3415.765231938879</v>
      </c>
      <c r="AU37">
        <f t="shared" si="37"/>
        <v>7.5911056612353933</v>
      </c>
      <c r="AV37" s="28">
        <f t="shared" si="38"/>
        <v>3422.1509204946892</v>
      </c>
      <c r="AW37" s="28">
        <f t="shared" si="39"/>
        <v>3510.2891249174581</v>
      </c>
      <c r="AX37" s="23">
        <f>HLOOKUP(YEAR(A37),Assumptions!$A$25:$AL$29,2,TRUE)/100</f>
        <v>1.3212999999999999E-2</v>
      </c>
      <c r="AY37" s="29">
        <f>1/(1+HLOOKUP(YEAR(A37),Assumptions!$A$18:$AL$20,3,TRUE))^(1/12)</f>
        <v>0.99883183519191387</v>
      </c>
      <c r="AZ37" s="26">
        <f t="shared" si="40"/>
        <v>-2231.3283455841706</v>
      </c>
      <c r="BA37">
        <f t="shared" si="41"/>
        <v>33.867484094129267</v>
      </c>
      <c r="BB37">
        <f t="shared" si="42"/>
        <v>3418.4017243825724</v>
      </c>
      <c r="BC37">
        <f t="shared" si="43"/>
        <v>0</v>
      </c>
    </row>
    <row r="38" spans="1:55" x14ac:dyDescent="0.2">
      <c r="A38" s="3">
        <f t="shared" si="11"/>
        <v>43921</v>
      </c>
      <c r="B38">
        <f t="shared" si="2"/>
        <v>40</v>
      </c>
      <c r="C38">
        <f t="shared" si="46"/>
        <v>3.25</v>
      </c>
      <c r="D38">
        <f t="shared" si="47"/>
        <v>0</v>
      </c>
      <c r="E38">
        <f t="shared" si="5"/>
        <v>59</v>
      </c>
      <c r="F38">
        <f>IF(C38&gt;=$T$2,0,VLOOKUP($E38,'Mortality Table'!$A$3:$C$128,2+AF$2,FALSE))</f>
        <v>5.5557999999999996E-3</v>
      </c>
      <c r="G38">
        <f>F38*Assumptions!$B$1</f>
        <v>5.5557999999999996E-3</v>
      </c>
      <c r="H38">
        <f t="shared" si="12"/>
        <v>4.6416647968805513E-4</v>
      </c>
      <c r="I38">
        <f t="shared" si="13"/>
        <v>3.3348531097717989E-4</v>
      </c>
      <c r="J38">
        <f>IF(B38&gt;$AJ$2,0,HLOOKUP(C38,Assumptions!$A$6:$J$7,2,TRUE))</f>
        <v>5.67E-2</v>
      </c>
      <c r="K38" s="4">
        <f t="shared" si="0"/>
        <v>1</v>
      </c>
      <c r="L38" s="4">
        <f t="shared" si="14"/>
        <v>8.3333333333333329E-2</v>
      </c>
      <c r="M38" s="4">
        <f t="shared" si="6"/>
        <v>4.8524315070186397E-3</v>
      </c>
      <c r="N38">
        <f t="shared" si="15"/>
        <v>3.4939486452265282E-3</v>
      </c>
      <c r="O38" s="21">
        <f t="shared" si="7"/>
        <v>0.71582293474377856</v>
      </c>
      <c r="P38">
        <f>IF(B38&gt;$AJ$2,0,HLOOKUP(C38,Assumptions!$A$12:$J$13,2,TRUE))</f>
        <v>9.2999999999999992E-3</v>
      </c>
      <c r="Q38">
        <f t="shared" si="8"/>
        <v>5.5757557084998809E-4</v>
      </c>
      <c r="R38">
        <f t="shared" si="16"/>
        <v>8.5321099679109558E-2</v>
      </c>
      <c r="S38">
        <f t="shared" si="44"/>
        <v>3.9458625394973154E-5</v>
      </c>
      <c r="T38">
        <f t="shared" si="45"/>
        <v>4.1341074465106381E-4</v>
      </c>
      <c r="U38">
        <f t="shared" si="17"/>
        <v>3278.1810000000005</v>
      </c>
      <c r="V38">
        <f t="shared" si="18"/>
        <v>1410.2</v>
      </c>
      <c r="W38">
        <f t="shared" si="19"/>
        <v>0.12</v>
      </c>
      <c r="X38">
        <f t="shared" si="9"/>
        <v>196.74766657980848</v>
      </c>
      <c r="Y38">
        <f t="shared" si="20"/>
        <v>136.98527333333337</v>
      </c>
      <c r="Z38">
        <f t="shared" si="21"/>
        <v>4523.279760000004</v>
      </c>
      <c r="AA38">
        <f t="shared" si="22"/>
        <v>0</v>
      </c>
      <c r="AB38">
        <f t="shared" si="23"/>
        <v>4575.1365110166071</v>
      </c>
      <c r="AC38" s="23">
        <f>IF(B38&gt;$AJ$2,0,HLOOKUP(YEAR(A38),Assumptions!$A$25:$AL$29,4,TRUE)/100)</f>
        <v>7.2130000000000007E-3</v>
      </c>
      <c r="AD38">
        <f t="shared" si="24"/>
        <v>43.889637902476807</v>
      </c>
      <c r="AE38">
        <f t="shared" si="25"/>
        <v>2618.7045510003454</v>
      </c>
      <c r="AF38">
        <f t="shared" si="26"/>
        <v>2606.1762303511423</v>
      </c>
      <c r="AG38">
        <f t="shared" si="27"/>
        <v>2658.9992109697296</v>
      </c>
      <c r="AH38">
        <f t="shared" si="28"/>
        <v>35.523463220882775</v>
      </c>
      <c r="AI38">
        <f t="shared" si="29"/>
        <v>35.468430414342514</v>
      </c>
      <c r="AJ38">
        <f t="shared" si="30"/>
        <v>0</v>
      </c>
      <c r="AK38">
        <f t="shared" si="31"/>
        <v>1.6273195740407445</v>
      </c>
      <c r="AL38">
        <f t="shared" si="32"/>
        <v>17.054741710154342</v>
      </c>
      <c r="AM38">
        <f t="shared" si="10"/>
        <v>0</v>
      </c>
      <c r="AN38">
        <f>IF($S$2=0,0,(SUMPRODUCT($K$2:$R$2,Assumptions!$B$34:$I$34)/$U$2+$J$2/$U$2*Assumptions!$A$34*G38)*K38*O37)</f>
        <v>15.517988474116709</v>
      </c>
      <c r="AO38">
        <f t="shared" si="33"/>
        <v>0</v>
      </c>
      <c r="AP38">
        <f t="shared" si="34"/>
        <v>0</v>
      </c>
      <c r="AQ38">
        <f>IF(B38&gt;$AJ$2,0,AQ37*(1+Assumptions!$B$43)^(1/12))</f>
        <v>1.0226407419685373</v>
      </c>
      <c r="AR38" s="27">
        <f>IF(B38&gt;$AJ$2,0,(O37+R37)*Assumptions!$B$39/12*AQ37+AV38*Assumptions!$B$41/12)</f>
        <v>10.527523428391733</v>
      </c>
      <c r="AS38">
        <f t="shared" si="35"/>
        <v>98.657882102778089</v>
      </c>
      <c r="AT38" s="28">
        <f t="shared" si="36"/>
        <v>3495.7462548509839</v>
      </c>
      <c r="AU38">
        <f t="shared" si="37"/>
        <v>11.524698351237886</v>
      </c>
      <c r="AV38" s="28">
        <f t="shared" si="38"/>
        <v>3506.4962312287753</v>
      </c>
      <c r="AW38" s="28">
        <f t="shared" si="39"/>
        <v>3594.0584922774142</v>
      </c>
      <c r="AX38" s="23">
        <f>HLOOKUP(YEAR(A38),Assumptions!$A$25:$AL$29,2,TRUE)/100</f>
        <v>1.3212999999999999E-2</v>
      </c>
      <c r="AY38" s="29">
        <f>1/(1+HLOOKUP(YEAR(A38),Assumptions!$A$18:$AL$20,3,TRUE))^(1/12)</f>
        <v>0.99883183519191387</v>
      </c>
      <c r="AZ38" s="26">
        <f t="shared" si="40"/>
        <v>-2081.9178598915405</v>
      </c>
      <c r="BA38">
        <f t="shared" si="41"/>
        <v>34.200049758311792</v>
      </c>
      <c r="BB38">
        <f t="shared" si="42"/>
        <v>3498.9051255675399</v>
      </c>
      <c r="BC38">
        <f t="shared" si="43"/>
        <v>0</v>
      </c>
    </row>
    <row r="39" spans="1:55" x14ac:dyDescent="0.2">
      <c r="A39" s="3">
        <f t="shared" si="11"/>
        <v>43951</v>
      </c>
      <c r="B39">
        <f t="shared" si="2"/>
        <v>41</v>
      </c>
      <c r="C39">
        <f t="shared" si="46"/>
        <v>3.333333333333333</v>
      </c>
      <c r="D39">
        <f t="shared" si="47"/>
        <v>0</v>
      </c>
      <c r="E39">
        <f t="shared" si="5"/>
        <v>59</v>
      </c>
      <c r="F39">
        <f>IF(C39&gt;=$T$2,0,VLOOKUP($E39,'Mortality Table'!$A$3:$C$128,2+AF$2,FALSE))</f>
        <v>5.5557999999999996E-3</v>
      </c>
      <c r="G39">
        <f>F39*Assumptions!$B$1</f>
        <v>5.5557999999999996E-3</v>
      </c>
      <c r="H39">
        <f t="shared" si="12"/>
        <v>4.6416647968805513E-4</v>
      </c>
      <c r="I39">
        <f t="shared" si="13"/>
        <v>3.314548747991286E-4</v>
      </c>
      <c r="J39">
        <f>IF(B39&gt;$AJ$2,0,HLOOKUP(C39,Assumptions!$A$6:$J$7,2,TRUE))</f>
        <v>5.67E-2</v>
      </c>
      <c r="K39" s="4">
        <f t="shared" si="0"/>
        <v>1</v>
      </c>
      <c r="L39" s="4">
        <f t="shared" si="14"/>
        <v>8.3333333333333329E-2</v>
      </c>
      <c r="M39" s="4">
        <f t="shared" si="6"/>
        <v>4.8524315070186397E-3</v>
      </c>
      <c r="N39">
        <f t="shared" si="15"/>
        <v>3.4726756250963954E-3</v>
      </c>
      <c r="O39" s="21">
        <f t="shared" si="7"/>
        <v>0.71146462349005735</v>
      </c>
      <c r="P39">
        <f>IF(B39&gt;$AJ$2,0,HLOOKUP(C39,Assumptions!$A$12:$J$13,2,TRUE))</f>
        <v>9.2999999999999992E-3</v>
      </c>
      <c r="Q39">
        <f t="shared" si="8"/>
        <v>5.5418075382571185E-4</v>
      </c>
      <c r="R39">
        <f t="shared" si="16"/>
        <v>8.5421854617946394E-2</v>
      </c>
      <c r="S39">
        <f t="shared" si="44"/>
        <v>3.9507108586826433E-5</v>
      </c>
      <c r="T39">
        <f t="shared" si="45"/>
        <v>4.1391870640204969E-4</v>
      </c>
      <c r="U39">
        <f t="shared" si="17"/>
        <v>3278.1810000000005</v>
      </c>
      <c r="V39">
        <f t="shared" si="18"/>
        <v>1410.2</v>
      </c>
      <c r="W39">
        <f t="shared" si="19"/>
        <v>0.12</v>
      </c>
      <c r="X39">
        <f t="shared" si="9"/>
        <v>195.54976200344123</v>
      </c>
      <c r="Y39">
        <f t="shared" si="20"/>
        <v>136.98527333333337</v>
      </c>
      <c r="Z39">
        <f t="shared" si="21"/>
        <v>4660.2650333333377</v>
      </c>
      <c r="AA39">
        <f t="shared" si="22"/>
        <v>0</v>
      </c>
      <c r="AB39">
        <f t="shared" si="23"/>
        <v>4714.944841421152</v>
      </c>
      <c r="AC39" s="23">
        <f>IF(B39&gt;$AJ$2,0,HLOOKUP(YEAR(A39),Assumptions!$A$25:$AL$29,4,TRUE)/100)</f>
        <v>7.2130000000000007E-3</v>
      </c>
      <c r="AD39">
        <f t="shared" si="24"/>
        <v>43.889637902476807</v>
      </c>
      <c r="AE39">
        <f t="shared" si="25"/>
        <v>2631.9493293084292</v>
      </c>
      <c r="AF39">
        <f t="shared" si="26"/>
        <v>2618.7045510003454</v>
      </c>
      <c r="AG39">
        <f t="shared" si="27"/>
        <v>2673.9199996588909</v>
      </c>
      <c r="AH39">
        <f t="shared" si="28"/>
        <v>35.577739412993324</v>
      </c>
      <c r="AI39">
        <f t="shared" si="29"/>
        <v>35.523463220882775</v>
      </c>
      <c r="AJ39">
        <f t="shared" si="30"/>
        <v>0</v>
      </c>
      <c r="AK39">
        <f t="shared" si="31"/>
        <v>1.6640758719622375</v>
      </c>
      <c r="AL39">
        <f t="shared" si="32"/>
        <v>17.440142617061582</v>
      </c>
      <c r="AM39">
        <f t="shared" si="10"/>
        <v>0</v>
      </c>
      <c r="AN39">
        <f>IF($S$2=0,0,(SUMPRODUCT($K$2:$R$2,Assumptions!$B$34:$I$34)/$U$2+$J$2/$U$2*Assumptions!$A$34*G39)*K39*O38)</f>
        <v>15.423506695845566</v>
      </c>
      <c r="AO39">
        <f t="shared" si="33"/>
        <v>0</v>
      </c>
      <c r="AP39">
        <f t="shared" si="34"/>
        <v>0</v>
      </c>
      <c r="AQ39">
        <f>IF(B39&gt;$AJ$2,0,AQ38*(1+Assumptions!$B$43)^(1/12))</f>
        <v>1.0234890614412835</v>
      </c>
      <c r="AR39" s="27">
        <f>IF(B39&gt;$AJ$2,0,(O38+R38)*Assumptions!$B$39/12*AQ38+AV39*Assumptions!$B$41/12)</f>
        <v>10.502571814681145</v>
      </c>
      <c r="AS39">
        <f t="shared" si="35"/>
        <v>98.057200374145367</v>
      </c>
      <c r="AT39" s="28">
        <f t="shared" si="36"/>
        <v>3574.7047414635413</v>
      </c>
      <c r="AU39">
        <f t="shared" si="37"/>
        <v>15.548952796704205</v>
      </c>
      <c r="AV39" s="28">
        <f t="shared" si="38"/>
        <v>3589.9046468805218</v>
      </c>
      <c r="AW39" s="28">
        <f t="shared" si="39"/>
        <v>3676.8946366951363</v>
      </c>
      <c r="AX39" s="23">
        <f>HLOOKUP(YEAR(A39),Assumptions!$A$25:$AL$29,2,TRUE)/100</f>
        <v>1.3212999999999999E-2</v>
      </c>
      <c r="AY39" s="29">
        <f>1/(1+HLOOKUP(YEAR(A39),Assumptions!$A$18:$AL$20,3,TRUE))^(1/12)</f>
        <v>0.99883183519191387</v>
      </c>
      <c r="AZ39" s="26">
        <f t="shared" si="40"/>
        <v>-1933.8332623914314</v>
      </c>
      <c r="BA39">
        <f t="shared" si="41"/>
        <v>34.527725184869382</v>
      </c>
      <c r="BB39">
        <f t="shared" si="42"/>
        <v>3578.3799485292839</v>
      </c>
      <c r="BC39">
        <f t="shared" si="43"/>
        <v>0</v>
      </c>
    </row>
    <row r="40" spans="1:55" x14ac:dyDescent="0.2">
      <c r="A40" s="3">
        <f t="shared" si="11"/>
        <v>43982</v>
      </c>
      <c r="B40">
        <f t="shared" si="2"/>
        <v>42</v>
      </c>
      <c r="C40">
        <f t="shared" si="46"/>
        <v>3.416666666666667</v>
      </c>
      <c r="D40">
        <f t="shared" si="47"/>
        <v>0</v>
      </c>
      <c r="E40">
        <f t="shared" si="5"/>
        <v>59</v>
      </c>
      <c r="F40">
        <f>IF(C40&gt;=$T$2,0,VLOOKUP($E40,'Mortality Table'!$A$3:$C$128,2+AF$2,FALSE))</f>
        <v>5.5557999999999996E-3</v>
      </c>
      <c r="G40">
        <f>F40*Assumptions!$B$1</f>
        <v>5.5557999999999996E-3</v>
      </c>
      <c r="H40">
        <f t="shared" si="12"/>
        <v>4.6416647968805513E-4</v>
      </c>
      <c r="I40">
        <f t="shared" si="13"/>
        <v>3.2943680099788213E-4</v>
      </c>
      <c r="J40">
        <f>IF(B40&gt;$AJ$2,0,HLOOKUP(C40,Assumptions!$A$6:$J$7,2,TRUE))</f>
        <v>5.67E-2</v>
      </c>
      <c r="K40" s="4">
        <f t="shared" si="0"/>
        <v>1</v>
      </c>
      <c r="L40" s="4">
        <f t="shared" si="14"/>
        <v>8.3333333333333329E-2</v>
      </c>
      <c r="M40" s="4">
        <f t="shared" si="6"/>
        <v>4.8524315070186397E-3</v>
      </c>
      <c r="N40">
        <f t="shared" si="15"/>
        <v>3.4515321264422224E-3</v>
      </c>
      <c r="O40" s="21">
        <f t="shared" si="7"/>
        <v>0.70713284795636178</v>
      </c>
      <c r="P40">
        <f>IF(B40&gt;$AJ$2,0,HLOOKUP(C40,Assumptions!$A$12:$J$13,2,TRUE))</f>
        <v>9.2999999999999992E-3</v>
      </c>
      <c r="Q40">
        <f t="shared" si="8"/>
        <v>5.5080660625546275E-4</v>
      </c>
      <c r="R40">
        <f t="shared" si="16"/>
        <v>8.5518699962641997E-2</v>
      </c>
      <c r="S40">
        <f t="shared" si="44"/>
        <v>3.9553762185107013E-5</v>
      </c>
      <c r="T40">
        <f t="shared" si="45"/>
        <v>4.1440749937475877E-4</v>
      </c>
      <c r="U40">
        <f t="shared" si="17"/>
        <v>3278.1810000000005</v>
      </c>
      <c r="V40">
        <f t="shared" si="18"/>
        <v>1410.2</v>
      </c>
      <c r="W40">
        <f t="shared" si="19"/>
        <v>0.12</v>
      </c>
      <c r="X40">
        <f t="shared" si="9"/>
        <v>194.35915090810499</v>
      </c>
      <c r="Y40">
        <f t="shared" si="20"/>
        <v>136.98527333333337</v>
      </c>
      <c r="Z40">
        <f t="shared" si="21"/>
        <v>4797.2503066666713</v>
      </c>
      <c r="AA40">
        <f t="shared" si="22"/>
        <v>0</v>
      </c>
      <c r="AB40">
        <f t="shared" si="23"/>
        <v>4854.8369317355264</v>
      </c>
      <c r="AC40" s="23">
        <f>IF(B40&gt;$AJ$2,0,HLOOKUP(YEAR(A40),Assumptions!$A$25:$AL$29,4,TRUE)/100)</f>
        <v>7.2130000000000007E-3</v>
      </c>
      <c r="AD40">
        <f t="shared" si="24"/>
        <v>43.889637902476807</v>
      </c>
      <c r="AE40">
        <f t="shared" si="25"/>
        <v>2645.8955432169819</v>
      </c>
      <c r="AF40">
        <f t="shared" si="26"/>
        <v>2631.9493293084292</v>
      </c>
      <c r="AG40">
        <f t="shared" si="27"/>
        <v>2689.558434147898</v>
      </c>
      <c r="AH40">
        <f t="shared" si="28"/>
        <v>35.631274471413668</v>
      </c>
      <c r="AI40">
        <f t="shared" si="29"/>
        <v>35.577739412993324</v>
      </c>
      <c r="AJ40">
        <f t="shared" si="30"/>
        <v>0</v>
      </c>
      <c r="AK40">
        <f t="shared" si="31"/>
        <v>1.7003603878204672</v>
      </c>
      <c r="AL40">
        <f t="shared" si="32"/>
        <v>17.820594870307737</v>
      </c>
      <c r="AM40">
        <f t="shared" si="10"/>
        <v>0</v>
      </c>
      <c r="AN40">
        <f>IF($S$2=0,0,(SUMPRODUCT($K$2:$R$2,Assumptions!$B$34:$I$34)/$U$2+$J$2/$U$2*Assumptions!$A$34*G40)*K40*O39)</f>
        <v>15.329600172958857</v>
      </c>
      <c r="AO40">
        <f t="shared" si="33"/>
        <v>0</v>
      </c>
      <c r="AP40">
        <f t="shared" si="34"/>
        <v>0</v>
      </c>
      <c r="AQ40">
        <f>IF(B40&gt;$AJ$2,0,AQ39*(1+Assumptions!$B$43)^(1/12))</f>
        <v>1.0243380846273653</v>
      </c>
      <c r="AR40" s="27">
        <f>IF(B40&gt;$AJ$2,0,(O39+R39)*Assumptions!$B$39/12*AQ39+AV40*Assumptions!$B$41/12)</f>
        <v>10.47760748447315</v>
      </c>
      <c r="AS40">
        <f t="shared" si="35"/>
        <v>97.460175915782614</v>
      </c>
      <c r="AT40" s="28">
        <f t="shared" si="36"/>
        <v>3652.6497637221569</v>
      </c>
      <c r="AU40">
        <f t="shared" si="37"/>
        <v>19.662856454817472</v>
      </c>
      <c r="AV40" s="28">
        <f t="shared" si="38"/>
        <v>3672.3842700030696</v>
      </c>
      <c r="AW40" s="28">
        <f t="shared" si="39"/>
        <v>3758.8056375109186</v>
      </c>
      <c r="AX40" s="23">
        <f>HLOOKUP(YEAR(A40),Assumptions!$A$25:$AL$29,2,TRUE)/100</f>
        <v>1.3212999999999999E-2</v>
      </c>
      <c r="AY40" s="29">
        <f>1/(1+HLOOKUP(YEAR(A40),Assumptions!$A$18:$AL$20,3,TRUE))^(1/12)</f>
        <v>0.99883183519191387</v>
      </c>
      <c r="AZ40" s="26">
        <f t="shared" si="40"/>
        <v>-1787.0639523733355</v>
      </c>
      <c r="BA40">
        <f t="shared" si="41"/>
        <v>34.850555431087059</v>
      </c>
      <c r="BB40">
        <f t="shared" si="42"/>
        <v>3656.8353172063653</v>
      </c>
      <c r="BC40">
        <f t="shared" si="43"/>
        <v>0</v>
      </c>
    </row>
    <row r="41" spans="1:55" x14ac:dyDescent="0.2">
      <c r="A41" s="3">
        <f t="shared" si="11"/>
        <v>44012</v>
      </c>
      <c r="B41">
        <f t="shared" si="2"/>
        <v>43</v>
      </c>
      <c r="C41">
        <f t="shared" si="46"/>
        <v>3.5</v>
      </c>
      <c r="D41">
        <f t="shared" si="47"/>
        <v>0</v>
      </c>
      <c r="E41">
        <f t="shared" si="5"/>
        <v>59</v>
      </c>
      <c r="F41">
        <f>IF(C41&gt;=$T$2,0,VLOOKUP($E41,'Mortality Table'!$A$3:$C$128,2+AF$2,FALSE))</f>
        <v>5.5557999999999996E-3</v>
      </c>
      <c r="G41">
        <f>F41*Assumptions!$B$1</f>
        <v>5.5557999999999996E-3</v>
      </c>
      <c r="H41">
        <f t="shared" si="12"/>
        <v>4.6416647968805513E-4</v>
      </c>
      <c r="I41">
        <f t="shared" si="13"/>
        <v>3.2743101430470655E-4</v>
      </c>
      <c r="J41">
        <f>IF(B41&gt;$AJ$2,0,HLOOKUP(C41,Assumptions!$A$6:$J$7,2,TRUE))</f>
        <v>5.67E-2</v>
      </c>
      <c r="K41" s="4">
        <f t="shared" si="0"/>
        <v>1</v>
      </c>
      <c r="L41" s="4">
        <f t="shared" si="14"/>
        <v>8.3333333333333329E-2</v>
      </c>
      <c r="M41" s="4">
        <f t="shared" si="6"/>
        <v>4.8524315070186397E-3</v>
      </c>
      <c r="N41">
        <f t="shared" si="15"/>
        <v>3.4305173606682848E-3</v>
      </c>
      <c r="O41" s="21">
        <f t="shared" si="7"/>
        <v>0.70282744657909624</v>
      </c>
      <c r="P41">
        <f>IF(B41&gt;$AJ$2,0,HLOOKUP(C41,Assumptions!$A$12:$J$13,2,TRUE))</f>
        <v>9.2999999999999992E-3</v>
      </c>
      <c r="Q41">
        <f t="shared" si="8"/>
        <v>5.4745300229259671E-4</v>
      </c>
      <c r="R41">
        <f t="shared" si="16"/>
        <v>8.561167703373837E-2</v>
      </c>
      <c r="S41">
        <f t="shared" si="44"/>
        <v>3.9598605483697952E-5</v>
      </c>
      <c r="T41">
        <f t="shared" si="45"/>
        <v>4.1487732571253715E-4</v>
      </c>
      <c r="U41">
        <f t="shared" si="17"/>
        <v>3278.1810000000005</v>
      </c>
      <c r="V41">
        <f t="shared" si="18"/>
        <v>1410.2</v>
      </c>
      <c r="W41">
        <f t="shared" si="19"/>
        <v>0.12</v>
      </c>
      <c r="X41">
        <f t="shared" si="9"/>
        <v>193.17578888720286</v>
      </c>
      <c r="Y41">
        <f t="shared" si="20"/>
        <v>136.98527333333337</v>
      </c>
      <c r="Z41">
        <f t="shared" si="21"/>
        <v>4934.235580000005</v>
      </c>
      <c r="AA41">
        <f t="shared" si="22"/>
        <v>0</v>
      </c>
      <c r="AB41">
        <f t="shared" si="23"/>
        <v>4994.8128321407348</v>
      </c>
      <c r="AC41" s="23">
        <f>IF(B41&gt;$AJ$2,0,HLOOKUP(YEAR(A41),Assumptions!$A$25:$AL$29,4,TRUE)/100)</f>
        <v>7.2130000000000007E-3</v>
      </c>
      <c r="AD41">
        <f t="shared" si="24"/>
        <v>43.889637902476807</v>
      </c>
      <c r="AE41">
        <f t="shared" si="25"/>
        <v>2660.5285777142449</v>
      </c>
      <c r="AF41">
        <f t="shared" si="26"/>
        <v>2645.8955432169819</v>
      </c>
      <c r="AG41">
        <f t="shared" si="27"/>
        <v>2705.9006541953117</v>
      </c>
      <c r="AH41">
        <f t="shared" si="28"/>
        <v>35.6840834574189</v>
      </c>
      <c r="AI41">
        <f t="shared" si="29"/>
        <v>35.631274471413668</v>
      </c>
      <c r="AJ41">
        <f t="shared" si="30"/>
        <v>0</v>
      </c>
      <c r="AK41">
        <f t="shared" si="31"/>
        <v>1.7361773119812467</v>
      </c>
      <c r="AL41">
        <f t="shared" si="32"/>
        <v>18.196142482014235</v>
      </c>
      <c r="AM41">
        <f t="shared" si="10"/>
        <v>0</v>
      </c>
      <c r="AN41">
        <f>IF($S$2=0,0,(SUMPRODUCT($K$2:$R$2,Assumptions!$B$34:$I$34)/$U$2+$J$2/$U$2*Assumptions!$A$34*G41)*K41*O40)</f>
        <v>15.236265402995432</v>
      </c>
      <c r="AO41">
        <f t="shared" si="33"/>
        <v>0</v>
      </c>
      <c r="AP41">
        <f t="shared" si="34"/>
        <v>0</v>
      </c>
      <c r="AQ41">
        <f>IF(B41&gt;$AJ$2,0,AQ40*(1+Assumptions!$B$43)^(1/12))</f>
        <v>1.02518781211054</v>
      </c>
      <c r="AR41" s="27">
        <f>IF(B41&gt;$AJ$2,0,(O40+R40)*Assumptions!$B$39/12*AQ40+AV41*Assumptions!$B$41/12)</f>
        <v>10.452631365849552</v>
      </c>
      <c r="AS41">
        <f t="shared" si="35"/>
        <v>96.866786460280679</v>
      </c>
      <c r="AT41" s="28">
        <f t="shared" si="36"/>
        <v>3729.5903232119131</v>
      </c>
      <c r="AU41">
        <f t="shared" si="37"/>
        <v>23.865405557759065</v>
      </c>
      <c r="AV41" s="28">
        <f t="shared" si="38"/>
        <v>3753.9431412342597</v>
      </c>
      <c r="AW41" s="28">
        <f t="shared" si="39"/>
        <v>3839.7995122953325</v>
      </c>
      <c r="AX41" s="23">
        <f>HLOOKUP(YEAR(A41),Assumptions!$A$25:$AL$29,2,TRUE)/100</f>
        <v>1.3212999999999999E-2</v>
      </c>
      <c r="AY41" s="29">
        <f>1/(1+HLOOKUP(YEAR(A41),Assumptions!$A$18:$AL$20,3,TRUE))^(1/12)</f>
        <v>0.99883183519191387</v>
      </c>
      <c r="AZ41" s="26">
        <f t="shared" si="40"/>
        <v>-1641.5994067635911</v>
      </c>
      <c r="BA41">
        <f t="shared" si="41"/>
        <v>35.168585196990918</v>
      </c>
      <c r="BB41">
        <f t="shared" si="42"/>
        <v>3734.2802847794424</v>
      </c>
      <c r="BC41">
        <f t="shared" si="43"/>
        <v>0</v>
      </c>
    </row>
    <row r="42" spans="1:55" x14ac:dyDescent="0.2">
      <c r="A42" s="3">
        <f t="shared" si="11"/>
        <v>44043</v>
      </c>
      <c r="B42">
        <f t="shared" si="2"/>
        <v>44</v>
      </c>
      <c r="C42">
        <f t="shared" si="46"/>
        <v>3.583333333333333</v>
      </c>
      <c r="D42">
        <f t="shared" si="47"/>
        <v>0</v>
      </c>
      <c r="E42">
        <f t="shared" si="5"/>
        <v>59</v>
      </c>
      <c r="F42">
        <f>IF(C42&gt;=$T$2,0,VLOOKUP($E42,'Mortality Table'!$A$3:$C$128,2+AF$2,FALSE))</f>
        <v>5.5557999999999996E-3</v>
      </c>
      <c r="G42">
        <f>F42*Assumptions!$B$1</f>
        <v>5.5557999999999996E-3</v>
      </c>
      <c r="H42">
        <f t="shared" si="12"/>
        <v>4.6416647968805513E-4</v>
      </c>
      <c r="I42">
        <f t="shared" si="13"/>
        <v>3.2543743990914414E-4</v>
      </c>
      <c r="J42">
        <f>IF(B42&gt;$AJ$2,0,HLOOKUP(C42,Assumptions!$A$6:$J$7,2,TRUE))</f>
        <v>5.67E-2</v>
      </c>
      <c r="K42" s="4">
        <f t="shared" si="0"/>
        <v>1</v>
      </c>
      <c r="L42" s="4">
        <f t="shared" si="14"/>
        <v>8.3333333333333329E-2</v>
      </c>
      <c r="M42" s="4">
        <f t="shared" si="6"/>
        <v>4.8524315070186397E-3</v>
      </c>
      <c r="N42">
        <f t="shared" si="15"/>
        <v>3.409630543980247E-3</v>
      </c>
      <c r="O42" s="21">
        <f t="shared" si="7"/>
        <v>0.69854825877835025</v>
      </c>
      <c r="P42">
        <f>IF(B42&gt;$AJ$2,0,HLOOKUP(C42,Assumptions!$A$12:$J$13,2,TRUE))</f>
        <v>9.2999999999999992E-3</v>
      </c>
      <c r="Q42">
        <f t="shared" si="8"/>
        <v>5.4411981685669093E-4</v>
      </c>
      <c r="R42">
        <f t="shared" si="16"/>
        <v>8.5700826807105432E-2</v>
      </c>
      <c r="S42">
        <f t="shared" si="44"/>
        <v>3.9641657615675912E-5</v>
      </c>
      <c r="T42">
        <f t="shared" si="45"/>
        <v>4.1532838587395097E-4</v>
      </c>
      <c r="U42">
        <f t="shared" si="17"/>
        <v>3278.1810000000005</v>
      </c>
      <c r="V42">
        <f t="shared" si="18"/>
        <v>1410.2</v>
      </c>
      <c r="W42">
        <f t="shared" si="19"/>
        <v>0.12</v>
      </c>
      <c r="X42">
        <f t="shared" si="9"/>
        <v>191.99963180450905</v>
      </c>
      <c r="Y42">
        <f t="shared" si="20"/>
        <v>136.98527333333337</v>
      </c>
      <c r="Z42">
        <f t="shared" si="21"/>
        <v>5071.2208533333387</v>
      </c>
      <c r="AA42">
        <f t="shared" si="22"/>
        <v>0</v>
      </c>
      <c r="AB42">
        <f t="shared" si="23"/>
        <v>5134.8725928478461</v>
      </c>
      <c r="AC42" s="23">
        <f>IF(B42&gt;$AJ$2,0,HLOOKUP(YEAR(A42),Assumptions!$A$25:$AL$29,4,TRUE)/100)</f>
        <v>7.2130000000000007E-3</v>
      </c>
      <c r="AD42">
        <f t="shared" si="24"/>
        <v>43.889637902476807</v>
      </c>
      <c r="AE42">
        <f t="shared" si="25"/>
        <v>2675.8342111413303</v>
      </c>
      <c r="AF42">
        <f t="shared" si="26"/>
        <v>2660.5285777142449</v>
      </c>
      <c r="AG42">
        <f t="shared" si="27"/>
        <v>2722.9331731263296</v>
      </c>
      <c r="AH42">
        <f t="shared" si="28"/>
        <v>35.736181026931291</v>
      </c>
      <c r="AI42">
        <f t="shared" si="29"/>
        <v>35.6840834574189</v>
      </c>
      <c r="AJ42">
        <f t="shared" si="30"/>
        <v>0</v>
      </c>
      <c r="AK42">
        <f t="shared" si="31"/>
        <v>1.7715308022934058</v>
      </c>
      <c r="AL42">
        <f t="shared" si="32"/>
        <v>18.566829120914282</v>
      </c>
      <c r="AM42">
        <f t="shared" si="10"/>
        <v>0</v>
      </c>
      <c r="AN42">
        <f>IF($S$2=0,0,(SUMPRODUCT($K$2:$R$2,Assumptions!$B$34:$I$34)/$U$2+$J$2/$U$2*Assumptions!$A$34*G42)*K42*O41)</f>
        <v>15.143498904818999</v>
      </c>
      <c r="AO42">
        <f t="shared" si="33"/>
        <v>0</v>
      </c>
      <c r="AP42">
        <f t="shared" si="34"/>
        <v>0</v>
      </c>
      <c r="AQ42">
        <f>IF(B42&gt;$AJ$2,0,AQ41*(1+Assumptions!$B$43)^(1/12))</f>
        <v>1.0260382444750489</v>
      </c>
      <c r="AR42" s="27">
        <f>IF(B42&gt;$AJ$2,0,(O41+R41)*Assumptions!$B$39/12*AQ41+AV42*Assumptions!$B$41/12)</f>
        <v>10.427644377016405</v>
      </c>
      <c r="AS42">
        <f t="shared" si="35"/>
        <v>96.277009875806257</v>
      </c>
      <c r="AT42" s="28">
        <f t="shared" si="36"/>
        <v>3805.5353516661376</v>
      </c>
      <c r="AU42">
        <f t="shared" si="37"/>
        <v>28.155605045588423</v>
      </c>
      <c r="AV42" s="28">
        <f t="shared" si="38"/>
        <v>3834.5892397406597</v>
      </c>
      <c r="AW42" s="28">
        <f t="shared" si="39"/>
        <v>3919.884217292346</v>
      </c>
      <c r="AX42" s="23">
        <f>HLOOKUP(YEAR(A42),Assumptions!$A$25:$AL$29,2,TRUE)/100</f>
        <v>1.3212999999999999E-2</v>
      </c>
      <c r="AY42" s="29">
        <f>1/(1+HLOOKUP(YEAR(A42),Assumptions!$A$18:$AL$20,3,TRUE))^(1/12)</f>
        <v>0.99883183519191387</v>
      </c>
      <c r="AZ42" s="26">
        <f t="shared" si="40"/>
        <v>-1497.4291795813517</v>
      </c>
      <c r="BA42">
        <f t="shared" si="41"/>
        <v>35.481858828026688</v>
      </c>
      <c r="BB42">
        <f t="shared" si="42"/>
        <v>3810.7238341829006</v>
      </c>
      <c r="BC42">
        <f t="shared" si="43"/>
        <v>0</v>
      </c>
    </row>
    <row r="43" spans="1:55" x14ac:dyDescent="0.2">
      <c r="A43" s="3">
        <f t="shared" si="11"/>
        <v>44074</v>
      </c>
      <c r="B43">
        <f t="shared" si="2"/>
        <v>45</v>
      </c>
      <c r="C43">
        <f t="shared" si="46"/>
        <v>3.666666666666667</v>
      </c>
      <c r="D43">
        <f t="shared" si="47"/>
        <v>0</v>
      </c>
      <c r="E43">
        <f t="shared" si="5"/>
        <v>59</v>
      </c>
      <c r="F43">
        <f>IF(C43&gt;=$T$2,0,VLOOKUP($E43,'Mortality Table'!$A$3:$C$128,2+AF$2,FALSE))</f>
        <v>5.5557999999999996E-3</v>
      </c>
      <c r="G43">
        <f>F43*Assumptions!$B$1</f>
        <v>5.5557999999999996E-3</v>
      </c>
      <c r="H43">
        <f t="shared" si="12"/>
        <v>4.6416647968805513E-4</v>
      </c>
      <c r="I43">
        <f t="shared" si="13"/>
        <v>3.2345600345622312E-4</v>
      </c>
      <c r="J43">
        <f>IF(B43&gt;$AJ$2,0,HLOOKUP(C43,Assumptions!$A$6:$J$7,2,TRUE))</f>
        <v>5.67E-2</v>
      </c>
      <c r="K43" s="4">
        <f t="shared" ref="K43:K74" si="48">IF(B43&gt;$AJ$2,0,IF(($U$2*(B43+11))/12-INT(($U$2*(B43+11))/12)=0,1,0))</f>
        <v>1</v>
      </c>
      <c r="L43" s="4">
        <f t="shared" si="14"/>
        <v>8.3333333333333329E-2</v>
      </c>
      <c r="M43" s="4">
        <f t="shared" si="6"/>
        <v>4.8524315070186397E-3</v>
      </c>
      <c r="N43">
        <f t="shared" si="15"/>
        <v>3.3888708973559326E-3</v>
      </c>
      <c r="O43" s="21">
        <f t="shared" si="7"/>
        <v>0.69429512495190926</v>
      </c>
      <c r="P43">
        <f>IF(B43&gt;$AJ$2,0,HLOOKUP(C43,Assumptions!$A$12:$J$13,2,TRUE))</f>
        <v>9.2999999999999992E-3</v>
      </c>
      <c r="Q43">
        <f t="shared" si="8"/>
        <v>5.40806925628879E-4</v>
      </c>
      <c r="R43">
        <f t="shared" si="16"/>
        <v>8.5786189916534333E-2</v>
      </c>
      <c r="S43">
        <f t="shared" si="44"/>
        <v>3.968293755452046E-5</v>
      </c>
      <c r="T43">
        <f t="shared" si="45"/>
        <v>4.1576087864545668E-4</v>
      </c>
      <c r="U43">
        <f t="shared" si="17"/>
        <v>3278.1810000000005</v>
      </c>
      <c r="V43">
        <f t="shared" si="18"/>
        <v>1410.2</v>
      </c>
      <c r="W43">
        <f t="shared" si="19"/>
        <v>0.12</v>
      </c>
      <c r="X43">
        <f t="shared" si="9"/>
        <v>190.8306357925226</v>
      </c>
      <c r="Y43">
        <f t="shared" si="20"/>
        <v>136.98527333333337</v>
      </c>
      <c r="Z43">
        <f t="shared" si="21"/>
        <v>5208.2061266666724</v>
      </c>
      <c r="AA43">
        <f t="shared" si="22"/>
        <v>0</v>
      </c>
      <c r="AB43">
        <f t="shared" si="23"/>
        <v>5275.0162640980107</v>
      </c>
      <c r="AC43" s="23">
        <f>IF(B43&gt;$AJ$2,0,HLOOKUP(YEAR(A43),Assumptions!$A$25:$AL$29,4,TRUE)/100)</f>
        <v>7.2130000000000007E-3</v>
      </c>
      <c r="AD43">
        <f t="shared" si="24"/>
        <v>43.889637902476807</v>
      </c>
      <c r="AE43">
        <f t="shared" si="25"/>
        <v>2691.7986020475664</v>
      </c>
      <c r="AF43">
        <f t="shared" si="26"/>
        <v>2675.8342111413303</v>
      </c>
      <c r="AG43">
        <f t="shared" si="27"/>
        <v>2740.6428653496591</v>
      </c>
      <c r="AH43">
        <f t="shared" si="28"/>
        <v>35.787581444066049</v>
      </c>
      <c r="AI43">
        <f t="shared" si="29"/>
        <v>35.736181026931291</v>
      </c>
      <c r="AJ43">
        <f t="shared" si="30"/>
        <v>0</v>
      </c>
      <c r="AK43">
        <f t="shared" si="31"/>
        <v>1.806424984323993</v>
      </c>
      <c r="AL43">
        <f t="shared" si="32"/>
        <v>18.932698114904433</v>
      </c>
      <c r="AM43">
        <f t="shared" si="10"/>
        <v>0</v>
      </c>
      <c r="AN43">
        <f>IF($S$2=0,0,(SUMPRODUCT($K$2:$R$2,Assumptions!$B$34:$I$34)/$U$2+$J$2/$U$2*Assumptions!$A$34*G43)*K43*O42)</f>
        <v>15.051297218488273</v>
      </c>
      <c r="AO43">
        <f t="shared" si="33"/>
        <v>0</v>
      </c>
      <c r="AP43">
        <f t="shared" si="34"/>
        <v>0</v>
      </c>
      <c r="AQ43">
        <f>IF(B43&gt;$AJ$2,0,AQ42*(1+Assumptions!$B$43)^(1/12))</f>
        <v>1.0268893823056178</v>
      </c>
      <c r="AR43" s="27">
        <f>IF(B43&gt;$AJ$2,0,(O42+R42)*Assumptions!$B$39/12*AQ42+AV43*Assumptions!$B$41/12)</f>
        <v>10.402647426385448</v>
      </c>
      <c r="AS43">
        <f t="shared" si="35"/>
        <v>95.690824165276396</v>
      </c>
      <c r="AT43" s="28">
        <f t="shared" si="36"/>
        <v>3880.4937114716586</v>
      </c>
      <c r="AU43">
        <f t="shared" si="37"/>
        <v>32.532468499604491</v>
      </c>
      <c r="AV43" s="28">
        <f t="shared" si="38"/>
        <v>3914.3304836585139</v>
      </c>
      <c r="AW43" s="28">
        <f t="shared" si="39"/>
        <v>3999.0676478593746</v>
      </c>
      <c r="AX43" s="23">
        <f>HLOOKUP(YEAR(A43),Assumptions!$A$25:$AL$29,2,TRUE)/100</f>
        <v>1.3212999999999999E-2</v>
      </c>
      <c r="AY43" s="29">
        <f>1/(1+HLOOKUP(YEAR(A43),Assumptions!$A$18:$AL$20,3,TRUE))^(1/12)</f>
        <v>0.99883183519191387</v>
      </c>
      <c r="AZ43" s="26">
        <f t="shared" si="40"/>
        <v>-1354.5429013983091</v>
      </c>
      <c r="BA43">
        <f t="shared" si="41"/>
        <v>35.790420317716695</v>
      </c>
      <c r="BB43">
        <f t="shared" si="42"/>
        <v>3886.1748786129256</v>
      </c>
      <c r="BC43">
        <f t="shared" si="43"/>
        <v>0</v>
      </c>
    </row>
    <row r="44" spans="1:55" x14ac:dyDescent="0.2">
      <c r="A44" s="3">
        <f t="shared" si="11"/>
        <v>44104</v>
      </c>
      <c r="B44">
        <f t="shared" si="2"/>
        <v>46</v>
      </c>
      <c r="C44">
        <f t="shared" si="46"/>
        <v>3.75</v>
      </c>
      <c r="D44">
        <f t="shared" si="47"/>
        <v>0</v>
      </c>
      <c r="E44">
        <f t="shared" si="5"/>
        <v>59</v>
      </c>
      <c r="F44">
        <f>IF(C44&gt;=$T$2,0,VLOOKUP($E44,'Mortality Table'!$A$3:$C$128,2+AF$2,FALSE))</f>
        <v>5.5557999999999996E-3</v>
      </c>
      <c r="G44">
        <f>F44*Assumptions!$B$1</f>
        <v>5.5557999999999996E-3</v>
      </c>
      <c r="H44">
        <f t="shared" si="12"/>
        <v>4.6416647968805513E-4</v>
      </c>
      <c r="I44">
        <f t="shared" ref="I44:I75" si="49">H44*O43*(1-M44/2)</f>
        <v>3.2148663104368433E-4</v>
      </c>
      <c r="J44">
        <f>IF(B44&gt;$AJ$2,0,HLOOKUP(C44,Assumptions!$A$6:$J$7,2,TRUE))</f>
        <v>5.67E-2</v>
      </c>
      <c r="K44" s="4">
        <f t="shared" si="48"/>
        <v>1</v>
      </c>
      <c r="L44" s="4">
        <f t="shared" si="14"/>
        <v>8.3333333333333329E-2</v>
      </c>
      <c r="M44" s="4">
        <f t="shared" ref="M44:M75" si="50">(1-(1-J44)^L44)</f>
        <v>4.8524315070186397E-3</v>
      </c>
      <c r="N44">
        <f t="shared" si="15"/>
        <v>3.3682376465162659E-3</v>
      </c>
      <c r="O44" s="21">
        <f t="shared" ref="O44:O75" si="51">IF(B44&gt;$AJ$2,0,O43-I44-N44-Q44)</f>
        <v>0.69006788646930206</v>
      </c>
      <c r="P44">
        <f>IF(B44&gt;$AJ$2,0,HLOOKUP(C44,Assumptions!$A$12:$J$13,2,TRUE))</f>
        <v>9.2999999999999992E-3</v>
      </c>
      <c r="Q44">
        <f t="shared" ref="Q44:Q75" si="52">(1-(1-P44)^L44)*(O43-I44-N44)</f>
        <v>5.3751420504721391E-4</v>
      </c>
      <c r="R44">
        <f t="shared" si="16"/>
        <v>8.5867806656312246E-2</v>
      </c>
      <c r="S44">
        <f t="shared" si="44"/>
        <v>3.9722464115314923E-5</v>
      </c>
      <c r="T44">
        <f t="shared" si="45"/>
        <v>4.161750011539822E-4</v>
      </c>
      <c r="U44">
        <f t="shared" si="17"/>
        <v>3278.1810000000005</v>
      </c>
      <c r="V44">
        <f t="shared" si="18"/>
        <v>1410.2</v>
      </c>
      <c r="W44">
        <f t="shared" si="19"/>
        <v>0.12</v>
      </c>
      <c r="X44">
        <f t="shared" si="9"/>
        <v>189.66875725083125</v>
      </c>
      <c r="Y44">
        <f t="shared" si="20"/>
        <v>136.98527333333337</v>
      </c>
      <c r="Z44">
        <f t="shared" si="21"/>
        <v>5345.1914000000061</v>
      </c>
      <c r="AA44">
        <f t="shared" si="22"/>
        <v>0</v>
      </c>
      <c r="AB44">
        <f t="shared" si="23"/>
        <v>5415.2438961624775</v>
      </c>
      <c r="AC44" s="23">
        <f>IF(B44&gt;$AJ$2,0,HLOOKUP(YEAR(A44),Assumptions!$A$25:$AL$29,4,TRUE)/100)</f>
        <v>7.2130000000000007E-3</v>
      </c>
      <c r="AD44">
        <f t="shared" si="24"/>
        <v>43.889637902476807</v>
      </c>
      <c r="AE44">
        <f t="shared" si="25"/>
        <v>2708.4082765694502</v>
      </c>
      <c r="AF44">
        <f t="shared" si="26"/>
        <v>2691.7986020475664</v>
      </c>
      <c r="AG44">
        <f t="shared" si="27"/>
        <v>2759.0169543716506</v>
      </c>
      <c r="AH44">
        <f t="shared" si="28"/>
        <v>35.838298594137449</v>
      </c>
      <c r="AI44">
        <f t="shared" si="29"/>
        <v>35.787581444066049</v>
      </c>
      <c r="AJ44">
        <f t="shared" si="30"/>
        <v>0</v>
      </c>
      <c r="AK44">
        <f t="shared" si="31"/>
        <v>1.8408639515918459</v>
      </c>
      <c r="AL44">
        <f t="shared" si="32"/>
        <v>19.293792453575612</v>
      </c>
      <c r="AM44">
        <f t="shared" si="10"/>
        <v>0</v>
      </c>
      <c r="AN44">
        <f>IF($S$2=0,0,(SUMPRODUCT($K$2:$R$2,Assumptions!$B$34:$I$34)/$U$2+$J$2/$U$2*Assumptions!$A$34*G44)*K44*O43)</f>
        <v>14.959656905127929</v>
      </c>
      <c r="AO44">
        <f t="shared" si="33"/>
        <v>0</v>
      </c>
      <c r="AP44">
        <f t="shared" si="34"/>
        <v>0</v>
      </c>
      <c r="AQ44">
        <f>IF(B44&gt;$AJ$2,0,AQ43*(1+Assumptions!$B$43)^(1/12))</f>
        <v>1.0277412261874577</v>
      </c>
      <c r="AR44" s="27">
        <f>IF(B44&gt;$AJ$2,0,(O43+R43)*Assumptions!$B$39/12*AQ43+AV44*Assumptions!$B$41/12)</f>
        <v>10.377641412654981</v>
      </c>
      <c r="AS44">
        <f t="shared" si="35"/>
        <v>95.108207465538129</v>
      </c>
      <c r="AT44" s="28">
        <f t="shared" si="36"/>
        <v>3954.4741961705527</v>
      </c>
      <c r="AU44">
        <f t="shared" si="37"/>
        <v>36.99501807618546</v>
      </c>
      <c r="AV44" s="28">
        <f t="shared" si="38"/>
        <v>3993.1747305316735</v>
      </c>
      <c r="AW44" s="28">
        <f t="shared" si="39"/>
        <v>4077.3576389043114</v>
      </c>
      <c r="AX44" s="23">
        <f>HLOOKUP(YEAR(A44),Assumptions!$A$25:$AL$29,2,TRUE)/100</f>
        <v>1.3212999999999999E-2</v>
      </c>
      <c r="AY44" s="29">
        <f>1/(1+HLOOKUP(YEAR(A44),Assumptions!$A$18:$AL$20,3,TRUE))^(1/12)</f>
        <v>0.99883183519191387</v>
      </c>
      <c r="AZ44" s="26">
        <f t="shared" si="40"/>
        <v>-1212.9302788021305</v>
      </c>
      <c r="BA44">
        <f t="shared" si="41"/>
        <v>36.094313310295391</v>
      </c>
      <c r="BB44">
        <f t="shared" si="42"/>
        <v>3960.6422620320691</v>
      </c>
      <c r="BC44">
        <f t="shared" si="43"/>
        <v>0</v>
      </c>
    </row>
    <row r="45" spans="1:55" x14ac:dyDescent="0.2">
      <c r="A45" s="3">
        <f t="shared" si="11"/>
        <v>44135</v>
      </c>
      <c r="B45">
        <f t="shared" si="2"/>
        <v>47</v>
      </c>
      <c r="C45">
        <f t="shared" si="46"/>
        <v>3.833333333333333</v>
      </c>
      <c r="D45">
        <f t="shared" si="47"/>
        <v>0</v>
      </c>
      <c r="E45">
        <f t="shared" si="5"/>
        <v>59</v>
      </c>
      <c r="F45">
        <f>IF(C45&gt;=$T$2,0,VLOOKUP($E45,'Mortality Table'!$A$3:$C$128,2+AF$2,FALSE))</f>
        <v>5.5557999999999996E-3</v>
      </c>
      <c r="G45">
        <f>F45*Assumptions!$B$1</f>
        <v>5.5557999999999996E-3</v>
      </c>
      <c r="H45">
        <f t="shared" si="12"/>
        <v>4.6416647968805513E-4</v>
      </c>
      <c r="I45">
        <f t="shared" si="49"/>
        <v>3.1952924921922499E-4</v>
      </c>
      <c r="J45">
        <f>IF(B45&gt;$AJ$2,0,HLOOKUP(C45,Assumptions!$A$6:$J$7,2,TRUE))</f>
        <v>5.67E-2</v>
      </c>
      <c r="K45" s="4">
        <f t="shared" si="48"/>
        <v>1</v>
      </c>
      <c r="L45" s="4">
        <f t="shared" si="14"/>
        <v>8.3333333333333329E-2</v>
      </c>
      <c r="M45" s="4">
        <f t="shared" si="50"/>
        <v>4.8524315070186397E-3</v>
      </c>
      <c r="N45">
        <f t="shared" si="15"/>
        <v>3.3477300218963959E-3</v>
      </c>
      <c r="O45" s="21">
        <f t="shared" si="51"/>
        <v>0.68586638566588443</v>
      </c>
      <c r="P45">
        <f>IF(B45&gt;$AJ$2,0,HLOOKUP(C45,Assumptions!$A$12:$J$13,2,TRUE))</f>
        <v>9.2999999999999992E-3</v>
      </c>
      <c r="Q45">
        <f t="shared" si="52"/>
        <v>5.3424153230205971E-4</v>
      </c>
      <c r="R45">
        <f t="shared" si="16"/>
        <v>8.5945716983778939E-2</v>
      </c>
      <c r="S45">
        <f t="shared" si="44"/>
        <v>3.9760255955938592E-5</v>
      </c>
      <c r="T45">
        <f t="shared" si="45"/>
        <v>4.1657094887941797E-4</v>
      </c>
      <c r="U45">
        <f t="shared" si="17"/>
        <v>3278.1810000000005</v>
      </c>
      <c r="V45">
        <f t="shared" si="18"/>
        <v>1410.2</v>
      </c>
      <c r="W45">
        <f t="shared" si="19"/>
        <v>0.12</v>
      </c>
      <c r="X45">
        <f t="shared" si="9"/>
        <v>188.51395284448526</v>
      </c>
      <c r="Y45">
        <f t="shared" si="20"/>
        <v>136.98527333333337</v>
      </c>
      <c r="Z45">
        <f t="shared" si="21"/>
        <v>5482.1766733333397</v>
      </c>
      <c r="AA45">
        <f t="shared" si="22"/>
        <v>0</v>
      </c>
      <c r="AB45">
        <f t="shared" si="23"/>
        <v>5555.5555393426148</v>
      </c>
      <c r="AC45" s="23">
        <f>IF(B45&gt;$AJ$2,0,HLOOKUP(YEAR(A45),Assumptions!$A$25:$AL$29,4,TRUE)/100)</f>
        <v>7.2130000000000007E-3</v>
      </c>
      <c r="AD45">
        <f t="shared" si="24"/>
        <v>43.889637902476807</v>
      </c>
      <c r="AE45">
        <f t="shared" si="25"/>
        <v>2725.6501163090365</v>
      </c>
      <c r="AF45">
        <f t="shared" si="26"/>
        <v>2708.4082765694502</v>
      </c>
      <c r="AG45">
        <f t="shared" si="27"/>
        <v>2778.0430012847273</v>
      </c>
      <c r="AH45">
        <f t="shared" si="28"/>
        <v>35.888345996150314</v>
      </c>
      <c r="AI45">
        <f t="shared" si="29"/>
        <v>35.838298594137449</v>
      </c>
      <c r="AJ45">
        <f t="shared" si="30"/>
        <v>0</v>
      </c>
      <c r="AK45">
        <f t="shared" si="31"/>
        <v>1.8748517657995445</v>
      </c>
      <c r="AL45">
        <f t="shared" si="32"/>
        <v>19.650154790723896</v>
      </c>
      <c r="AM45">
        <f t="shared" si="10"/>
        <v>0</v>
      </c>
      <c r="AN45">
        <f>IF($S$2=0,0,(SUMPRODUCT($K$2:$R$2,Assumptions!$B$34:$I$34)/$U$2+$J$2/$U$2*Assumptions!$A$34*G45)*K45*O44)</f>
        <v>14.868574546800357</v>
      </c>
      <c r="AO45">
        <f t="shared" si="33"/>
        <v>0</v>
      </c>
      <c r="AP45">
        <f t="shared" si="34"/>
        <v>0</v>
      </c>
      <c r="AQ45">
        <f>IF(B45&gt;$AJ$2,0,AQ44*(1+Assumptions!$B$43)^(1/12))</f>
        <v>1.028593776706265</v>
      </c>
      <c r="AR45" s="27">
        <f>IF(B45&gt;$AJ$2,0,(O44+R44)*Assumptions!$B$39/12*AQ44+AV45*Assumptions!$B$41/12)</f>
        <v>10.352627224890108</v>
      </c>
      <c r="AS45">
        <f t="shared" si="35"/>
        <v>94.529138046553001</v>
      </c>
      <c r="AT45" s="28">
        <f t="shared" si="36"/>
        <v>4027.4855309584173</v>
      </c>
      <c r="AU45">
        <f t="shared" si="37"/>
        <v>41.542284441103547</v>
      </c>
      <c r="AV45" s="28">
        <f t="shared" si="38"/>
        <v>4071.1297777464902</v>
      </c>
      <c r="AW45" s="28">
        <f t="shared" si="39"/>
        <v>4154.7619653195334</v>
      </c>
      <c r="AX45" s="23">
        <f>HLOOKUP(YEAR(A45),Assumptions!$A$25:$AL$29,2,TRUE)/100</f>
        <v>1.3212999999999999E-2</v>
      </c>
      <c r="AY45" s="29">
        <f>1/(1+HLOOKUP(YEAR(A45),Assumptions!$A$18:$AL$20,3,TRUE))^(1/12)</f>
        <v>0.99883183519191387</v>
      </c>
      <c r="AZ45" s="26">
        <f t="shared" si="40"/>
        <v>-1072.5810938635948</v>
      </c>
      <c r="BA45">
        <f t="shared" si="41"/>
        <v>36.393581103323797</v>
      </c>
      <c r="BB45">
        <f t="shared" si="42"/>
        <v>4034.1347596703049</v>
      </c>
      <c r="BC45">
        <f t="shared" si="43"/>
        <v>0</v>
      </c>
    </row>
    <row r="46" spans="1:55" x14ac:dyDescent="0.2">
      <c r="A46" s="3">
        <f t="shared" si="11"/>
        <v>44165</v>
      </c>
      <c r="B46">
        <f t="shared" si="2"/>
        <v>48</v>
      </c>
      <c r="C46">
        <f t="shared" si="46"/>
        <v>3.916666666666667</v>
      </c>
      <c r="D46">
        <f t="shared" si="47"/>
        <v>0</v>
      </c>
      <c r="E46">
        <f t="shared" si="5"/>
        <v>59</v>
      </c>
      <c r="F46">
        <f>IF(C46&gt;=$T$2,0,VLOOKUP($E46,'Mortality Table'!$A$3:$C$128,2+AF$2,FALSE))</f>
        <v>5.5557999999999996E-3</v>
      </c>
      <c r="G46">
        <f>F46*Assumptions!$B$1</f>
        <v>5.5557999999999996E-3</v>
      </c>
      <c r="H46">
        <f t="shared" si="12"/>
        <v>4.6416647968805513E-4</v>
      </c>
      <c r="I46">
        <f t="shared" si="49"/>
        <v>3.1758378497775903E-4</v>
      </c>
      <c r="J46">
        <f>IF(B46&gt;$AJ$2,0,HLOOKUP(C46,Assumptions!$A$6:$J$7,2,TRUE))</f>
        <v>5.67E-2</v>
      </c>
      <c r="K46" s="4">
        <f t="shared" si="48"/>
        <v>1</v>
      </c>
      <c r="L46" s="4">
        <f t="shared" si="14"/>
        <v>8.3333333333333329E-2</v>
      </c>
      <c r="M46" s="4">
        <f t="shared" si="50"/>
        <v>4.8524315070186397E-3</v>
      </c>
      <c r="N46">
        <f t="shared" si="15"/>
        <v>3.3273472586169907E-3</v>
      </c>
      <c r="O46" s="21">
        <f t="shared" si="51"/>
        <v>0.68169046583695825</v>
      </c>
      <c r="P46">
        <f>IF(B46&gt;$AJ$2,0,HLOOKUP(C46,Assumptions!$A$12:$J$13,2,TRUE))</f>
        <v>9.2999999999999992E-3</v>
      </c>
      <c r="Q46">
        <f t="shared" si="52"/>
        <v>5.3098878533151079E-4</v>
      </c>
      <c r="R46">
        <f t="shared" si="16"/>
        <v>8.6019960521865182E-2</v>
      </c>
      <c r="S46">
        <f t="shared" si="44"/>
        <v>3.9796331578250516E-5</v>
      </c>
      <c r="T46">
        <f t="shared" si="45"/>
        <v>4.1694891566701985E-4</v>
      </c>
      <c r="U46">
        <f t="shared" si="17"/>
        <v>3278.1810000000005</v>
      </c>
      <c r="V46">
        <f t="shared" si="18"/>
        <v>1410.2</v>
      </c>
      <c r="W46">
        <f t="shared" si="19"/>
        <v>0.12</v>
      </c>
      <c r="X46">
        <f t="shared" si="9"/>
        <v>187.36617950238124</v>
      </c>
      <c r="Y46">
        <f t="shared" si="20"/>
        <v>136.98527333333337</v>
      </c>
      <c r="Z46">
        <f t="shared" si="21"/>
        <v>5619.1619466666734</v>
      </c>
      <c r="AA46">
        <f t="shared" si="22"/>
        <v>0</v>
      </c>
      <c r="AB46">
        <f t="shared" si="23"/>
        <v>5695.9512439699265</v>
      </c>
      <c r="AC46" s="23">
        <f>IF(B46&gt;$AJ$2,0,HLOOKUP(YEAR(A46),Assumptions!$A$25:$AL$29,4,TRUE)/100)</f>
        <v>7.2130000000000007E-3</v>
      </c>
      <c r="AD46">
        <f t="shared" si="24"/>
        <v>43.889637902476807</v>
      </c>
      <c r="AE46">
        <f t="shared" si="25"/>
        <v>2743.5113466888556</v>
      </c>
      <c r="AF46">
        <f t="shared" si="26"/>
        <v>2725.6501163090365</v>
      </c>
      <c r="AG46">
        <f t="shared" si="27"/>
        <v>2797.7088937083658</v>
      </c>
      <c r="AH46">
        <f t="shared" si="28"/>
        <v>35.937736814800402</v>
      </c>
      <c r="AI46">
        <f t="shared" si="29"/>
        <v>35.888345996150314</v>
      </c>
      <c r="AJ46">
        <f t="shared" si="30"/>
        <v>0</v>
      </c>
      <c r="AK46">
        <f t="shared" si="31"/>
        <v>1.9083924570637558</v>
      </c>
      <c r="AL46">
        <f t="shared" si="32"/>
        <v>20.001827446841308</v>
      </c>
      <c r="AM46">
        <f t="shared" si="10"/>
        <v>0</v>
      </c>
      <c r="AN46">
        <f>IF($S$2=0,0,(SUMPRODUCT($K$2:$R$2,Assumptions!$B$34:$I$34)/$U$2+$J$2/$U$2*Assumptions!$A$34*G46)*K46*O45)</f>
        <v>14.778046746378164</v>
      </c>
      <c r="AO46">
        <f t="shared" si="33"/>
        <v>0</v>
      </c>
      <c r="AP46">
        <f t="shared" si="34"/>
        <v>0</v>
      </c>
      <c r="AQ46">
        <f>IF(B46&gt;$AJ$2,0,AQ45*(1+Assumptions!$B$43)^(1/12))</f>
        <v>1.0294470344482221</v>
      </c>
      <c r="AR46" s="27">
        <f>IF(B46&gt;$AJ$2,0,(O45+R45)*Assumptions!$B$39/12*AQ45+AV46*Assumptions!$B$41/12)</f>
        <v>10.327605742602417</v>
      </c>
      <c r="AS46">
        <f t="shared" si="35"/>
        <v>93.953594310586624</v>
      </c>
      <c r="AT46" s="28">
        <f t="shared" si="36"/>
        <v>4099.5363731791876</v>
      </c>
      <c r="AU46">
        <f t="shared" si="37"/>
        <v>46.173306704311479</v>
      </c>
      <c r="AV46" s="28">
        <f t="shared" si="38"/>
        <v>4148.203362963729</v>
      </c>
      <c r="AW46" s="28">
        <f t="shared" si="39"/>
        <v>4231.2883424129204</v>
      </c>
      <c r="AX46" s="23">
        <f>HLOOKUP(YEAR(A46),Assumptions!$A$25:$AL$29,2,TRUE)/100</f>
        <v>1.3212999999999999E-2</v>
      </c>
      <c r="AY46" s="29">
        <f>1/(1+HLOOKUP(YEAR(A46),Assumptions!$A$18:$AL$20,3,TRUE))^(1/12)</f>
        <v>0.99883183519191387</v>
      </c>
      <c r="AZ46" s="26">
        <f t="shared" si="40"/>
        <v>-933.48520360739178</v>
      </c>
      <c r="BA46">
        <f t="shared" si="41"/>
        <v>36.688266650283225</v>
      </c>
      <c r="BB46">
        <f t="shared" si="42"/>
        <v>4106.6610785226258</v>
      </c>
      <c r="BC46">
        <f t="shared" si="43"/>
        <v>0</v>
      </c>
    </row>
    <row r="47" spans="1:55" x14ac:dyDescent="0.2">
      <c r="A47" s="3">
        <f t="shared" si="11"/>
        <v>44196</v>
      </c>
      <c r="B47">
        <f t="shared" si="2"/>
        <v>49</v>
      </c>
      <c r="C47">
        <f t="shared" si="46"/>
        <v>4</v>
      </c>
      <c r="D47">
        <f t="shared" si="47"/>
        <v>1</v>
      </c>
      <c r="E47">
        <f t="shared" si="5"/>
        <v>60</v>
      </c>
      <c r="F47">
        <f>IF(C47&gt;=$T$2,0,VLOOKUP($E47,'Mortality Table'!$A$3:$C$128,2+AF$2,FALSE))</f>
        <v>6.0185999999999998E-3</v>
      </c>
      <c r="G47">
        <f>F47*Assumptions!$B$1</f>
        <v>6.0185999999999998E-3</v>
      </c>
      <c r="H47">
        <f t="shared" si="12"/>
        <v>5.0293888167574075E-4</v>
      </c>
      <c r="I47">
        <f t="shared" si="49"/>
        <v>3.4067143468426972E-4</v>
      </c>
      <c r="J47">
        <f>IF(B47&gt;$AJ$2,0,HLOOKUP(C47,Assumptions!$A$6:$J$7,2,TRUE))</f>
        <v>0.14219999999999999</v>
      </c>
      <c r="K47" s="4">
        <f t="shared" si="48"/>
        <v>1</v>
      </c>
      <c r="L47" s="4">
        <f t="shared" si="14"/>
        <v>8.3333333333333329E-2</v>
      </c>
      <c r="M47" s="4">
        <f t="shared" si="50"/>
        <v>1.2700682431607713E-2</v>
      </c>
      <c r="N47">
        <f t="shared" si="15"/>
        <v>8.6557569173971484E-3</v>
      </c>
      <c r="O47" s="21">
        <f t="shared" si="51"/>
        <v>0.67100025332414648</v>
      </c>
      <c r="P47">
        <f>IF(B47&gt;$AJ$2,0,HLOOKUP(C47,Assumptions!$A$12:$J$13,2,TRUE))</f>
        <v>2.98E-2</v>
      </c>
      <c r="Q47">
        <f t="shared" si="52"/>
        <v>1.6937841607302547E-3</v>
      </c>
      <c r="R47">
        <f t="shared" si="16"/>
        <v>8.657851916534591E-2</v>
      </c>
      <c r="S47">
        <f t="shared" si="44"/>
        <v>4.2988049314271764E-5</v>
      </c>
      <c r="T47">
        <f t="shared" si="45"/>
        <v>1.0922374679352557E-3</v>
      </c>
      <c r="U47">
        <f t="shared" si="17"/>
        <v>3376.5264300000008</v>
      </c>
      <c r="V47">
        <f t="shared" si="18"/>
        <v>1410.2</v>
      </c>
      <c r="W47">
        <f t="shared" si="19"/>
        <v>0.12</v>
      </c>
      <c r="X47">
        <f t="shared" si="9"/>
        <v>191.81215624812518</v>
      </c>
      <c r="Y47">
        <f t="shared" si="20"/>
        <v>144.19727153333341</v>
      </c>
      <c r="Z47">
        <f t="shared" si="21"/>
        <v>5763.3592182000066</v>
      </c>
      <c r="AA47">
        <f t="shared" si="22"/>
        <v>0</v>
      </c>
      <c r="AB47">
        <f t="shared" si="23"/>
        <v>5843.6473793523164</v>
      </c>
      <c r="AC47" s="23">
        <f>IF(B47&gt;$AJ$2,0,HLOOKUP(YEAR(A47),Assumptions!$A$25:$AL$29,4,TRUE)/100)</f>
        <v>7.2130000000000007E-3</v>
      </c>
      <c r="AD47">
        <f t="shared" si="24"/>
        <v>43.889637902476807</v>
      </c>
      <c r="AE47">
        <f t="shared" si="25"/>
        <v>2802.5903254227387</v>
      </c>
      <c r="AF47">
        <f t="shared" si="26"/>
        <v>2743.5113466888556</v>
      </c>
      <c r="AG47">
        <f t="shared" si="27"/>
        <v>2858.9416290383197</v>
      </c>
      <c r="AH47">
        <f t="shared" si="28"/>
        <v>36.093304318609029</v>
      </c>
      <c r="AI47">
        <f t="shared" si="29"/>
        <v>35.937736814800402</v>
      </c>
      <c r="AJ47">
        <f t="shared" si="30"/>
        <v>0</v>
      </c>
      <c r="AK47">
        <f t="shared" si="31"/>
        <v>2.0978468936451797</v>
      </c>
      <c r="AL47">
        <f t="shared" si="32"/>
        <v>53.366651077273701</v>
      </c>
      <c r="AM47">
        <f t="shared" si="10"/>
        <v>0</v>
      </c>
      <c r="AN47">
        <f>IF($S$2=0,0,(SUMPRODUCT($K$2:$R$2,Assumptions!$B$34:$I$34)/$U$2+$J$2/$U$2*Assumptions!$A$34*G47)*K47*O46)</f>
        <v>14.702401094756729</v>
      </c>
      <c r="AO47">
        <f t="shared" si="33"/>
        <v>0</v>
      </c>
      <c r="AP47">
        <f t="shared" si="34"/>
        <v>0</v>
      </c>
      <c r="AQ47">
        <f>IF(B47&gt;$AJ$2,0,AQ46*(1+Assumptions!$B$43)^(1/12))</f>
        <v>1.0303009999999975</v>
      </c>
      <c r="AR47" s="27">
        <f>IF(B47&gt;$AJ$2,0,(O46+R46)*Assumptions!$B$39/12*AQ46+AV47*Assumptions!$B$41/12)</f>
        <v>10.303680790204202</v>
      </c>
      <c r="AS47">
        <f t="shared" si="35"/>
        <v>98.297905203976413</v>
      </c>
      <c r="AT47" s="28">
        <f t="shared" si="36"/>
        <v>4168.6118045046887</v>
      </c>
      <c r="AU47">
        <f t="shared" si="37"/>
        <v>0</v>
      </c>
      <c r="AV47" s="28">
        <f t="shared" si="38"/>
        <v>4229.3051839927184</v>
      </c>
      <c r="AW47" s="28">
        <f t="shared" si="39"/>
        <v>4312.5157542466632</v>
      </c>
      <c r="AX47" s="23">
        <f>HLOOKUP(YEAR(A47),Assumptions!$A$25:$AL$29,2,TRUE)/100</f>
        <v>1.3212999999999999E-2</v>
      </c>
      <c r="AY47" s="29">
        <f>1/(1+HLOOKUP(YEAR(A47),Assumptions!$A$18:$AL$20,3,TRUE))^(1/12)</f>
        <v>0.99883183519191387</v>
      </c>
      <c r="AZ47" s="26">
        <f t="shared" si="40"/>
        <v>-823.23536711099553</v>
      </c>
      <c r="BA47">
        <f t="shared" si="41"/>
        <v>70.166899065675608</v>
      </c>
      <c r="BB47">
        <f t="shared" si="42"/>
        <v>4183.1318772884069</v>
      </c>
      <c r="BC47">
        <f t="shared" si="43"/>
        <v>0</v>
      </c>
    </row>
    <row r="48" spans="1:55" x14ac:dyDescent="0.2">
      <c r="A48" s="3">
        <f t="shared" si="11"/>
        <v>44227</v>
      </c>
      <c r="B48">
        <f t="shared" si="2"/>
        <v>50</v>
      </c>
      <c r="C48">
        <f t="shared" si="46"/>
        <v>4.083333333333333</v>
      </c>
      <c r="D48">
        <f t="shared" si="47"/>
        <v>0</v>
      </c>
      <c r="E48">
        <f t="shared" si="5"/>
        <v>60</v>
      </c>
      <c r="F48">
        <f>IF(C48&gt;=$T$2,0,VLOOKUP($E48,'Mortality Table'!$A$3:$C$128,2+AF$2,FALSE))</f>
        <v>6.0185999999999998E-3</v>
      </c>
      <c r="G48">
        <f>F48*Assumptions!$B$1</f>
        <v>6.0185999999999998E-3</v>
      </c>
      <c r="H48">
        <f t="shared" si="12"/>
        <v>5.0293888167574075E-4</v>
      </c>
      <c r="I48">
        <f t="shared" si="49"/>
        <v>3.3532905391714548E-4</v>
      </c>
      <c r="J48">
        <f>IF(B48&gt;$AJ$2,0,HLOOKUP(C48,Assumptions!$A$6:$J$7,2,TRUE))</f>
        <v>0.14219999999999999</v>
      </c>
      <c r="K48" s="4">
        <f t="shared" si="48"/>
        <v>1</v>
      </c>
      <c r="L48" s="4">
        <f t="shared" si="14"/>
        <v>8.3333333333333329E-2</v>
      </c>
      <c r="M48" s="4">
        <f t="shared" si="50"/>
        <v>1.2700682431607713E-2</v>
      </c>
      <c r="N48">
        <f t="shared" si="15"/>
        <v>8.5200180659044736E-3</v>
      </c>
      <c r="O48" s="21">
        <f t="shared" si="51"/>
        <v>0.66047768382425076</v>
      </c>
      <c r="P48">
        <f>IF(B48&gt;$AJ$2,0,HLOOKUP(C48,Assumptions!$A$12:$J$13,2,TRUE))</f>
        <v>2.98E-2</v>
      </c>
      <c r="Q48">
        <f t="shared" si="52"/>
        <v>1.6672223800739713E-3</v>
      </c>
      <c r="R48">
        <f t="shared" si="16"/>
        <v>8.7103144599247201E-2</v>
      </c>
      <c r="S48">
        <f t="shared" si="44"/>
        <v>4.3267186230461808E-5</v>
      </c>
      <c r="T48">
        <f t="shared" si="45"/>
        <v>1.0993297599422216E-3</v>
      </c>
      <c r="U48">
        <f t="shared" si="17"/>
        <v>3376.5264300000008</v>
      </c>
      <c r="V48">
        <f t="shared" si="18"/>
        <v>1410.2</v>
      </c>
      <c r="W48">
        <f t="shared" si="19"/>
        <v>0.12</v>
      </c>
      <c r="X48">
        <f t="shared" si="9"/>
        <v>188.8041741571397</v>
      </c>
      <c r="Y48">
        <f t="shared" si="20"/>
        <v>144.19727153333341</v>
      </c>
      <c r="Z48">
        <f t="shared" si="21"/>
        <v>5907.5564897333397</v>
      </c>
      <c r="AA48">
        <f t="shared" si="22"/>
        <v>36.398523249832579</v>
      </c>
      <c r="AB48">
        <f t="shared" si="23"/>
        <v>5991.4032483057827</v>
      </c>
      <c r="AC48" s="23">
        <f>IF(B48&gt;$AJ$2,0,HLOOKUP(YEAR(A48),Assumptions!$A$25:$AL$29,4,TRUE)/100)</f>
        <v>7.1549999999999999E-3</v>
      </c>
      <c r="AD48">
        <f t="shared" si="24"/>
        <v>80.288161152309385</v>
      </c>
      <c r="AE48">
        <f t="shared" si="25"/>
        <v>2862.021808663997</v>
      </c>
      <c r="AF48">
        <f t="shared" si="26"/>
        <v>2802.5903254227387</v>
      </c>
      <c r="AG48">
        <f t="shared" si="27"/>
        <v>2920.5659543083921</v>
      </c>
      <c r="AH48">
        <f t="shared" si="28"/>
        <v>56.809473808832735</v>
      </c>
      <c r="AI48">
        <f t="shared" si="29"/>
        <v>56.351303615580946</v>
      </c>
      <c r="AJ48">
        <f t="shared" si="30"/>
        <v>20.257999296971917</v>
      </c>
      <c r="AK48">
        <f t="shared" si="31"/>
        <v>2.1315966416699457</v>
      </c>
      <c r="AL48">
        <f t="shared" si="32"/>
        <v>54.225302694447898</v>
      </c>
      <c r="AM48">
        <f t="shared" si="10"/>
        <v>0</v>
      </c>
      <c r="AN48">
        <f>IF($S$2=0,0,(SUMPRODUCT($K$2:$R$2,Assumptions!$B$34:$I$34)/$U$2+$J$2/$U$2*Assumptions!$A$34*G48)*K48*O47)</f>
        <v>14.471839278172459</v>
      </c>
      <c r="AO48">
        <f t="shared" si="33"/>
        <v>0</v>
      </c>
      <c r="AP48">
        <f t="shared" si="34"/>
        <v>0</v>
      </c>
      <c r="AQ48">
        <f>IF(B48&gt;$AJ$2,0,AQ47*(1+Assumptions!$B$43)^(1/12))</f>
        <v>1.0311556739487464</v>
      </c>
      <c r="AR48" s="27">
        <f>IF(B48&gt;$AJ$2,0,(O47+R47)*Assumptions!$B$39/12*AQ47+AV48*Assumptions!$B$41/12)</f>
        <v>10.192772658148542</v>
      </c>
      <c r="AS48">
        <f t="shared" si="35"/>
        <v>96.756405727517446</v>
      </c>
      <c r="AT48" s="28">
        <f t="shared" si="36"/>
        <v>4209.0771493744196</v>
      </c>
      <c r="AU48">
        <f t="shared" si="37"/>
        <v>4.7213788957949641</v>
      </c>
      <c r="AV48" s="28">
        <f t="shared" si="38"/>
        <v>4250.896370954034</v>
      </c>
      <c r="AW48" s="28">
        <f t="shared" si="39"/>
        <v>4332.7513667255071</v>
      </c>
      <c r="AX48" s="23">
        <f>HLOOKUP(YEAR(A48),Assumptions!$A$25:$AL$29,2,TRUE)/100</f>
        <v>1.3154999999999998E-2</v>
      </c>
      <c r="AY48" s="29">
        <f>1/(1+HLOOKUP(YEAR(A48),Assumptions!$A$18:$AL$20,3,TRUE))^(1/12)</f>
        <v>0.99890664342887159</v>
      </c>
      <c r="AZ48" s="26">
        <f t="shared" si="40"/>
        <v>-716.35377922077703</v>
      </c>
      <c r="BA48">
        <f t="shared" si="41"/>
        <v>70.828738614290302</v>
      </c>
      <c r="BB48">
        <f t="shared" si="42"/>
        <v>4250.896370954034</v>
      </c>
      <c r="BC48">
        <f t="shared" si="43"/>
        <v>0</v>
      </c>
    </row>
    <row r="49" spans="1:55" x14ac:dyDescent="0.2">
      <c r="A49" s="3">
        <f t="shared" si="11"/>
        <v>44255</v>
      </c>
      <c r="B49">
        <f t="shared" si="2"/>
        <v>51</v>
      </c>
      <c r="C49">
        <f t="shared" si="46"/>
        <v>4.166666666666667</v>
      </c>
      <c r="D49">
        <f t="shared" si="47"/>
        <v>0</v>
      </c>
      <c r="E49">
        <f t="shared" si="5"/>
        <v>60</v>
      </c>
      <c r="F49">
        <f>IF(C49&gt;=$T$2,0,VLOOKUP($E49,'Mortality Table'!$A$3:$C$128,2+AF$2,FALSE))</f>
        <v>6.0185999999999998E-3</v>
      </c>
      <c r="G49">
        <f>F49*Assumptions!$B$1</f>
        <v>6.0185999999999998E-3</v>
      </c>
      <c r="H49">
        <f t="shared" si="12"/>
        <v>5.0293888167574075E-4</v>
      </c>
      <c r="I49">
        <f t="shared" si="49"/>
        <v>3.3007045191558581E-4</v>
      </c>
      <c r="J49">
        <f>IF(B49&gt;$AJ$2,0,HLOOKUP(C49,Assumptions!$A$6:$J$7,2,TRUE))</f>
        <v>0.14219999999999999</v>
      </c>
      <c r="K49" s="4">
        <f t="shared" si="48"/>
        <v>1</v>
      </c>
      <c r="L49" s="4">
        <f t="shared" si="14"/>
        <v>8.3333333333333329E-2</v>
      </c>
      <c r="M49" s="4">
        <f t="shared" si="50"/>
        <v>1.2700682431607713E-2</v>
      </c>
      <c r="N49">
        <f t="shared" si="15"/>
        <v>8.3864078596568494E-3</v>
      </c>
      <c r="O49" s="21">
        <f t="shared" si="51"/>
        <v>0.65012012837365196</v>
      </c>
      <c r="P49">
        <f>IF(B49&gt;$AJ$2,0,HLOOKUP(C49,Assumptions!$A$12:$J$13,2,TRUE))</f>
        <v>2.98E-2</v>
      </c>
      <c r="Q49">
        <f t="shared" si="52"/>
        <v>1.6410771390264469E-3</v>
      </c>
      <c r="R49">
        <f t="shared" si="16"/>
        <v>8.7594701187672999E-2</v>
      </c>
      <c r="S49">
        <f t="shared" si="44"/>
        <v>4.3529365193196128E-5</v>
      </c>
      <c r="T49">
        <f t="shared" si="45"/>
        <v>1.1059911854074554E-3</v>
      </c>
      <c r="U49">
        <f t="shared" si="17"/>
        <v>3376.5264300000008</v>
      </c>
      <c r="V49">
        <f t="shared" si="18"/>
        <v>1410.2</v>
      </c>
      <c r="W49">
        <f t="shared" si="19"/>
        <v>0.12</v>
      </c>
      <c r="X49">
        <f t="shared" si="9"/>
        <v>185.84336298814722</v>
      </c>
      <c r="Y49">
        <f t="shared" si="20"/>
        <v>144.19727153333341</v>
      </c>
      <c r="Z49">
        <f t="shared" si="21"/>
        <v>6051.7537612666729</v>
      </c>
      <c r="AA49">
        <f t="shared" si="22"/>
        <v>0</v>
      </c>
      <c r="AB49">
        <f t="shared" si="23"/>
        <v>6139.2469290988547</v>
      </c>
      <c r="AC49" s="23">
        <f>IF(B49&gt;$AJ$2,0,HLOOKUP(YEAR(A49),Assumptions!$A$25:$AL$29,4,TRUE)/100)</f>
        <v>7.1549999999999999E-3</v>
      </c>
      <c r="AD49">
        <f t="shared" si="24"/>
        <v>80.288161152309385</v>
      </c>
      <c r="AE49">
        <f t="shared" si="25"/>
        <v>2921.7810876622007</v>
      </c>
      <c r="AF49">
        <f t="shared" si="26"/>
        <v>2862.021808663997</v>
      </c>
      <c r="AG49">
        <f t="shared" si="27"/>
        <v>2982.5707746246962</v>
      </c>
      <c r="AH49">
        <f t="shared" si="28"/>
        <v>57.249344446340565</v>
      </c>
      <c r="AI49">
        <f t="shared" si="29"/>
        <v>56.809473808832735</v>
      </c>
      <c r="AJ49">
        <f t="shared" si="30"/>
        <v>0</v>
      </c>
      <c r="AK49">
        <f t="shared" si="31"/>
        <v>2.1510607213302357</v>
      </c>
      <c r="AL49">
        <f t="shared" si="32"/>
        <v>54.720585972892465</v>
      </c>
      <c r="AM49">
        <f t="shared" si="10"/>
        <v>0</v>
      </c>
      <c r="AN49">
        <f>IF($S$2=0,0,(SUMPRODUCT($K$2:$R$2,Assumptions!$B$34:$I$34)/$U$2+$J$2/$U$2*Assumptions!$A$34*G49)*K49*O48)</f>
        <v>14.244893112591317</v>
      </c>
      <c r="AO49">
        <f t="shared" si="33"/>
        <v>0</v>
      </c>
      <c r="AP49">
        <f t="shared" si="34"/>
        <v>0</v>
      </c>
      <c r="AQ49">
        <f>IF(B49&gt;$AJ$2,0,AQ48*(1+Assumptions!$B$43)^(1/12))</f>
        <v>1.0320110568821113</v>
      </c>
      <c r="AR49" s="27">
        <f>IF(B49&gt;$AJ$2,0,(O48+R48)*Assumptions!$B$39/12*AQ48+AV49*Assumptions!$B$41/12)</f>
        <v>10.088316214301223</v>
      </c>
      <c r="AS49">
        <f t="shared" si="35"/>
        <v>95.239079916112615</v>
      </c>
      <c r="AT49" s="28">
        <f t="shared" si="36"/>
        <v>4247.5111623251769</v>
      </c>
      <c r="AU49">
        <f t="shared" si="37"/>
        <v>9.4891322988875828</v>
      </c>
      <c r="AV49" s="28">
        <f t="shared" si="38"/>
        <v>4294.7927150737369</v>
      </c>
      <c r="AW49" s="28">
        <f t="shared" si="39"/>
        <v>4375.3086819314703</v>
      </c>
      <c r="AX49" s="23">
        <f>HLOOKUP(YEAR(A49),Assumptions!$A$25:$AL$29,2,TRUE)/100</f>
        <v>1.3154999999999998E-2</v>
      </c>
      <c r="AY49" s="29">
        <f>1/(1+HLOOKUP(YEAR(A49),Assumptions!$A$18:$AL$20,3,TRUE))^(1/12)</f>
        <v>0.99890664342887159</v>
      </c>
      <c r="AZ49" s="26">
        <f t="shared" si="40"/>
        <v>-612.49935965261864</v>
      </c>
      <c r="BA49">
        <f t="shared" si="41"/>
        <v>71.116539806814018</v>
      </c>
      <c r="BB49">
        <f t="shared" si="42"/>
        <v>4290.0713361779417</v>
      </c>
      <c r="BC49">
        <f t="shared" si="43"/>
        <v>0</v>
      </c>
    </row>
    <row r="50" spans="1:55" x14ac:dyDescent="0.2">
      <c r="A50" s="3">
        <f t="shared" si="11"/>
        <v>44286</v>
      </c>
      <c r="B50">
        <f t="shared" si="2"/>
        <v>52</v>
      </c>
      <c r="C50">
        <f t="shared" si="46"/>
        <v>4.25</v>
      </c>
      <c r="D50">
        <f t="shared" si="47"/>
        <v>0</v>
      </c>
      <c r="E50">
        <f t="shared" si="5"/>
        <v>60</v>
      </c>
      <c r="F50">
        <f>IF(C50&gt;=$T$2,0,VLOOKUP($E50,'Mortality Table'!$A$3:$C$128,2+AF$2,FALSE))</f>
        <v>6.0185999999999998E-3</v>
      </c>
      <c r="G50">
        <f>F50*Assumptions!$B$1</f>
        <v>6.0185999999999998E-3</v>
      </c>
      <c r="H50">
        <f t="shared" si="12"/>
        <v>5.0293888167574075E-4</v>
      </c>
      <c r="I50">
        <f t="shared" si="49"/>
        <v>3.2489431486804006E-4</v>
      </c>
      <c r="J50">
        <f>IF(B50&gt;$AJ$2,0,HLOOKUP(C50,Assumptions!$A$6:$J$7,2,TRUE))</f>
        <v>0.14219999999999999</v>
      </c>
      <c r="K50" s="4">
        <f t="shared" si="48"/>
        <v>1</v>
      </c>
      <c r="L50" s="4">
        <f t="shared" si="14"/>
        <v>8.3333333333333329E-2</v>
      </c>
      <c r="M50" s="4">
        <f t="shared" si="50"/>
        <v>1.2700682431607713E-2</v>
      </c>
      <c r="N50">
        <f t="shared" si="15"/>
        <v>8.2548929174186981E-3</v>
      </c>
      <c r="O50" s="21">
        <f t="shared" si="51"/>
        <v>0.63992499923591672</v>
      </c>
      <c r="P50">
        <f>IF(B50&gt;$AJ$2,0,HLOOKUP(C50,Assumptions!$A$12:$J$13,2,TRUE))</f>
        <v>2.98E-2</v>
      </c>
      <c r="Q50">
        <f t="shared" si="52"/>
        <v>1.6153419054485939E-3</v>
      </c>
      <c r="R50">
        <f t="shared" si="16"/>
        <v>8.8054035355373123E-2</v>
      </c>
      <c r="S50">
        <f t="shared" si="44"/>
        <v>4.3775018164155496E-5</v>
      </c>
      <c r="T50">
        <f t="shared" si="45"/>
        <v>1.1122327195843122E-3</v>
      </c>
      <c r="U50">
        <f t="shared" si="17"/>
        <v>3376.5264300000008</v>
      </c>
      <c r="V50">
        <f t="shared" si="18"/>
        <v>1410.2</v>
      </c>
      <c r="W50">
        <f t="shared" si="19"/>
        <v>0.12</v>
      </c>
      <c r="X50">
        <f t="shared" si="9"/>
        <v>182.92898301071909</v>
      </c>
      <c r="Y50">
        <f t="shared" si="20"/>
        <v>144.19727153333341</v>
      </c>
      <c r="Z50">
        <f t="shared" si="21"/>
        <v>6195.951032800006</v>
      </c>
      <c r="AA50">
        <f t="shared" si="22"/>
        <v>0</v>
      </c>
      <c r="AB50">
        <f t="shared" si="23"/>
        <v>6287.1784739184222</v>
      </c>
      <c r="AC50" s="23">
        <f>IF(B50&gt;$AJ$2,0,HLOOKUP(YEAR(A50),Assumptions!$A$25:$AL$29,4,TRUE)/100)</f>
        <v>7.1549999999999999E-3</v>
      </c>
      <c r="AD50">
        <f t="shared" si="24"/>
        <v>80.288161152309385</v>
      </c>
      <c r="AE50">
        <f t="shared" si="25"/>
        <v>2981.8453867780354</v>
      </c>
      <c r="AF50">
        <f t="shared" si="26"/>
        <v>2921.7810876622007</v>
      </c>
      <c r="AG50">
        <f t="shared" si="27"/>
        <v>3044.9334862575643</v>
      </c>
      <c r="AH50">
        <f t="shared" si="28"/>
        <v>57.671989086383505</v>
      </c>
      <c r="AI50">
        <f t="shared" si="29"/>
        <v>57.249344446340565</v>
      </c>
      <c r="AJ50">
        <f t="shared" si="30"/>
        <v>0</v>
      </c>
      <c r="AK50">
        <f t="shared" si="31"/>
        <v>2.1695215441442008</v>
      </c>
      <c r="AL50">
        <f t="shared" si="32"/>
        <v>55.190333147364058</v>
      </c>
      <c r="AM50">
        <f t="shared" si="10"/>
        <v>0</v>
      </c>
      <c r="AN50">
        <f>IF($S$2=0,0,(SUMPRODUCT($K$2:$R$2,Assumptions!$B$34:$I$34)/$U$2+$J$2/$U$2*Assumptions!$A$34*G50)*K50*O49)</f>
        <v>14.021505897678576</v>
      </c>
      <c r="AO50">
        <f t="shared" si="33"/>
        <v>0</v>
      </c>
      <c r="AP50">
        <f t="shared" si="34"/>
        <v>0</v>
      </c>
      <c r="AQ50">
        <f>IF(B50&gt;$AJ$2,0,AQ49*(1+Assumptions!$B$43)^(1/12))</f>
        <v>1.0328671493882216</v>
      </c>
      <c r="AR50" s="27">
        <f>IF(B50&gt;$AJ$2,0,(O49+R49)*Assumptions!$B$39/12*AQ49+AV50*Assumptions!$B$41/12)</f>
        <v>9.9848329969592644</v>
      </c>
      <c r="AS50">
        <f t="shared" si="35"/>
        <v>93.745548680381063</v>
      </c>
      <c r="AT50" s="28">
        <f t="shared" si="36"/>
        <v>4283.9641318720023</v>
      </c>
      <c r="AU50">
        <f t="shared" si="37"/>
        <v>14.301142867631919</v>
      </c>
      <c r="AV50" s="28">
        <f t="shared" si="38"/>
        <v>4336.7243374067675</v>
      </c>
      <c r="AW50" s="28">
        <f t="shared" si="39"/>
        <v>4415.9229387401465</v>
      </c>
      <c r="AX50" s="23">
        <f>HLOOKUP(YEAR(A50),Assumptions!$A$25:$AL$29,2,TRUE)/100</f>
        <v>1.3154999999999998E-2</v>
      </c>
      <c r="AY50" s="29">
        <f>1/(1+HLOOKUP(YEAR(A50),Assumptions!$A$18:$AL$20,3,TRUE))^(1/12)</f>
        <v>0.99890664342887159</v>
      </c>
      <c r="AZ50" s="26">
        <f t="shared" si="40"/>
        <v>-511.60698342841181</v>
      </c>
      <c r="BA50">
        <f t="shared" si="41"/>
        <v>71.381360589186841</v>
      </c>
      <c r="BB50">
        <f t="shared" si="42"/>
        <v>4327.2352051078797</v>
      </c>
      <c r="BC50">
        <f t="shared" si="43"/>
        <v>0</v>
      </c>
    </row>
    <row r="51" spans="1:55" x14ac:dyDescent="0.2">
      <c r="A51" s="3">
        <f t="shared" si="11"/>
        <v>44316</v>
      </c>
      <c r="B51">
        <f t="shared" si="2"/>
        <v>53</v>
      </c>
      <c r="C51">
        <f t="shared" si="46"/>
        <v>4.333333333333333</v>
      </c>
      <c r="D51">
        <f t="shared" si="47"/>
        <v>0</v>
      </c>
      <c r="E51">
        <f t="shared" si="5"/>
        <v>60</v>
      </c>
      <c r="F51">
        <f>IF(C51&gt;=$T$2,0,VLOOKUP($E51,'Mortality Table'!$A$3:$C$128,2+AF$2,FALSE))</f>
        <v>6.0185999999999998E-3</v>
      </c>
      <c r="G51">
        <f>F51*Assumptions!$B$1</f>
        <v>6.0185999999999998E-3</v>
      </c>
      <c r="H51">
        <f t="shared" si="12"/>
        <v>5.0293888167574075E-4</v>
      </c>
      <c r="I51">
        <f t="shared" si="49"/>
        <v>3.1979934956603991E-4</v>
      </c>
      <c r="J51">
        <f>IF(B51&gt;$AJ$2,0,HLOOKUP(C51,Assumptions!$A$6:$J$7,2,TRUE))</f>
        <v>0.14219999999999999</v>
      </c>
      <c r="K51" s="4">
        <f t="shared" si="48"/>
        <v>1</v>
      </c>
      <c r="L51" s="4">
        <f t="shared" si="14"/>
        <v>8.3333333333333329E-2</v>
      </c>
      <c r="M51" s="4">
        <f t="shared" si="50"/>
        <v>1.2700682431607713E-2</v>
      </c>
      <c r="N51">
        <f t="shared" si="15"/>
        <v>8.125440381436165E-3</v>
      </c>
      <c r="O51" s="21">
        <f t="shared" si="51"/>
        <v>0.62988974925527674</v>
      </c>
      <c r="P51">
        <f>IF(B51&gt;$AJ$2,0,HLOOKUP(C51,Assumptions!$A$12:$J$13,2,TRUE))</f>
        <v>2.98E-2</v>
      </c>
      <c r="Q51">
        <f t="shared" si="52"/>
        <v>1.5900102496377796E-3</v>
      </c>
      <c r="R51">
        <f t="shared" si="16"/>
        <v>8.8481975926929593E-2</v>
      </c>
      <c r="S51">
        <f t="shared" si="44"/>
        <v>4.4004568139917267E-5</v>
      </c>
      <c r="T51">
        <f t="shared" si="45"/>
        <v>1.1180651099414016E-3</v>
      </c>
      <c r="U51">
        <f t="shared" si="17"/>
        <v>3376.5264300000008</v>
      </c>
      <c r="V51">
        <f t="shared" si="18"/>
        <v>1410.2</v>
      </c>
      <c r="W51">
        <f t="shared" si="19"/>
        <v>0.12</v>
      </c>
      <c r="X51">
        <f t="shared" si="9"/>
        <v>180.06030609481692</v>
      </c>
      <c r="Y51">
        <f t="shared" si="20"/>
        <v>144.19727153333341</v>
      </c>
      <c r="Z51">
        <f t="shared" si="21"/>
        <v>6340.1483043333392</v>
      </c>
      <c r="AA51">
        <f t="shared" si="22"/>
        <v>0</v>
      </c>
      <c r="AB51">
        <f t="shared" si="23"/>
        <v>6435.1979349823887</v>
      </c>
      <c r="AC51" s="23">
        <f>IF(B51&gt;$AJ$2,0,HLOOKUP(YEAR(A51),Assumptions!$A$25:$AL$29,4,TRUE)/100)</f>
        <v>7.1549999999999999E-3</v>
      </c>
      <c r="AD51">
        <f t="shared" si="24"/>
        <v>80.288161152309385</v>
      </c>
      <c r="AE51">
        <f t="shared" si="25"/>
        <v>3042.1936781036156</v>
      </c>
      <c r="AF51">
        <f t="shared" si="26"/>
        <v>2981.8453867780354</v>
      </c>
      <c r="AG51">
        <f t="shared" si="27"/>
        <v>3107.6332186446407</v>
      </c>
      <c r="AH51">
        <f t="shared" si="28"/>
        <v>58.078398923140426</v>
      </c>
      <c r="AI51">
        <f t="shared" si="29"/>
        <v>57.671989086383505</v>
      </c>
      <c r="AJ51">
        <f t="shared" si="30"/>
        <v>0</v>
      </c>
      <c r="AK51">
        <f t="shared" si="31"/>
        <v>2.1870040550710832</v>
      </c>
      <c r="AL51">
        <f t="shared" si="32"/>
        <v>55.635179763751552</v>
      </c>
      <c r="AM51">
        <f t="shared" si="10"/>
        <v>0</v>
      </c>
      <c r="AN51">
        <f>IF($S$2=0,0,(SUMPRODUCT($K$2:$R$2,Assumptions!$B$34:$I$34)/$U$2+$J$2/$U$2*Assumptions!$A$34*G51)*K51*O50)</f>
        <v>13.801621822269379</v>
      </c>
      <c r="AO51">
        <f t="shared" si="33"/>
        <v>0</v>
      </c>
      <c r="AP51">
        <f t="shared" si="34"/>
        <v>0</v>
      </c>
      <c r="AQ51">
        <f>IF(B51&gt;$AJ$2,0,AQ50*(1+Assumptions!$B$43)^(1/12))</f>
        <v>1.0337239520556951</v>
      </c>
      <c r="AR51" s="27">
        <f>IF(B51&gt;$AJ$2,0,(O50+R50)*Assumptions!$B$39/12*AQ50+AV51*Assumptions!$B$41/12)</f>
        <v>9.8823162538803526</v>
      </c>
      <c r="AS51">
        <f t="shared" si="35"/>
        <v>92.275438875789661</v>
      </c>
      <c r="AT51" s="28">
        <f t="shared" si="36"/>
        <v>4318.485314640604</v>
      </c>
      <c r="AU51">
        <f t="shared" si="37"/>
        <v>19.1553450270195</v>
      </c>
      <c r="AV51" s="28">
        <f t="shared" si="38"/>
        <v>4376.7390917931543</v>
      </c>
      <c r="AW51" s="28">
        <f t="shared" si="39"/>
        <v>4454.6416427583017</v>
      </c>
      <c r="AX51" s="23">
        <f>HLOOKUP(YEAR(A51),Assumptions!$A$25:$AL$29,2,TRUE)/100</f>
        <v>1.3154999999999998E-2</v>
      </c>
      <c r="AY51" s="29">
        <f>1/(1+HLOOKUP(YEAR(A51),Assumptions!$A$18:$AL$20,3,TRUE))^(1/12)</f>
        <v>0.99890664342887159</v>
      </c>
      <c r="AZ51" s="26">
        <f t="shared" si="40"/>
        <v>-413.61278034476697</v>
      </c>
      <c r="BA51">
        <f t="shared" si="41"/>
        <v>71.623805641092019</v>
      </c>
      <c r="BB51">
        <f t="shared" si="42"/>
        <v>4362.4379489255225</v>
      </c>
      <c r="BC51">
        <f t="shared" si="43"/>
        <v>0</v>
      </c>
    </row>
    <row r="52" spans="1:55" x14ac:dyDescent="0.2">
      <c r="A52" s="3">
        <f t="shared" si="11"/>
        <v>44347</v>
      </c>
      <c r="B52">
        <f t="shared" si="2"/>
        <v>54</v>
      </c>
      <c r="C52">
        <f t="shared" si="46"/>
        <v>4.416666666666667</v>
      </c>
      <c r="D52">
        <f t="shared" si="47"/>
        <v>0</v>
      </c>
      <c r="E52">
        <f t="shared" si="5"/>
        <v>60</v>
      </c>
      <c r="F52">
        <f>IF(C52&gt;=$T$2,0,VLOOKUP($E52,'Mortality Table'!$A$3:$C$128,2+AF$2,FALSE))</f>
        <v>6.0185999999999998E-3</v>
      </c>
      <c r="G52">
        <f>F52*Assumptions!$B$1</f>
        <v>6.0185999999999998E-3</v>
      </c>
      <c r="H52">
        <f t="shared" si="12"/>
        <v>5.0293888167574075E-4</v>
      </c>
      <c r="I52">
        <f t="shared" si="49"/>
        <v>3.1478428308110302E-4</v>
      </c>
      <c r="J52">
        <f>IF(B52&gt;$AJ$2,0,HLOOKUP(C52,Assumptions!$A$6:$J$7,2,TRUE))</f>
        <v>0.14219999999999999</v>
      </c>
      <c r="K52" s="4">
        <f t="shared" si="48"/>
        <v>1</v>
      </c>
      <c r="L52" s="4">
        <f t="shared" si="14"/>
        <v>8.3333333333333329E-2</v>
      </c>
      <c r="M52" s="4">
        <f t="shared" si="50"/>
        <v>1.2700682431607713E-2</v>
      </c>
      <c r="N52">
        <f t="shared" si="15"/>
        <v>7.9980179092279235E-3</v>
      </c>
      <c r="O52" s="21">
        <f t="shared" si="51"/>
        <v>0.62001187122024626</v>
      </c>
      <c r="P52">
        <f>IF(B52&gt;$AJ$2,0,HLOOKUP(C52,Assumptions!$A$12:$J$13,2,TRUE))</f>
        <v>2.98E-2</v>
      </c>
      <c r="Q52">
        <f t="shared" si="52"/>
        <v>1.5650758427214271E-3</v>
      </c>
      <c r="R52">
        <f t="shared" si="16"/>
        <v>8.8879334459860154E-2</v>
      </c>
      <c r="S52">
        <f t="shared" si="44"/>
        <v>4.4218429321462118E-5</v>
      </c>
      <c r="T52">
        <f t="shared" si="45"/>
        <v>1.1234988804694037E-3</v>
      </c>
      <c r="U52">
        <f t="shared" si="17"/>
        <v>3376.5264300000008</v>
      </c>
      <c r="V52">
        <f t="shared" si="18"/>
        <v>1410.2</v>
      </c>
      <c r="W52">
        <f t="shared" si="19"/>
        <v>0.12</v>
      </c>
      <c r="X52">
        <f t="shared" si="9"/>
        <v>177.23661552887626</v>
      </c>
      <c r="Y52">
        <f t="shared" si="20"/>
        <v>144.19727153333341</v>
      </c>
      <c r="Z52">
        <f t="shared" si="21"/>
        <v>6484.3455758666723</v>
      </c>
      <c r="AA52">
        <f t="shared" si="22"/>
        <v>0</v>
      </c>
      <c r="AB52">
        <f t="shared" si="23"/>
        <v>6583.3053645396913</v>
      </c>
      <c r="AC52" s="23">
        <f>IF(B52&gt;$AJ$2,0,HLOOKUP(YEAR(A52),Assumptions!$A$25:$AL$29,4,TRUE)/100)</f>
        <v>7.1549999999999999E-3</v>
      </c>
      <c r="AD52">
        <f t="shared" si="24"/>
        <v>80.288161152309385</v>
      </c>
      <c r="AE52">
        <f t="shared" si="25"/>
        <v>3102.8065170150007</v>
      </c>
      <c r="AF52">
        <f t="shared" si="26"/>
        <v>3042.1936781036156</v>
      </c>
      <c r="AG52">
        <f t="shared" si="27"/>
        <v>3170.6506713112253</v>
      </c>
      <c r="AH52">
        <f t="shared" si="28"/>
        <v>58.469490536828829</v>
      </c>
      <c r="AI52">
        <f t="shared" si="29"/>
        <v>58.078398923140426</v>
      </c>
      <c r="AJ52">
        <f t="shared" si="30"/>
        <v>0</v>
      </c>
      <c r="AK52">
        <f t="shared" si="31"/>
        <v>2.2035326863128524</v>
      </c>
      <c r="AL52">
        <f t="shared" si="32"/>
        <v>56.055748251538908</v>
      </c>
      <c r="AM52">
        <f t="shared" si="10"/>
        <v>0</v>
      </c>
      <c r="AN52">
        <f>IF($S$2=0,0,(SUMPRODUCT($K$2:$R$2,Assumptions!$B$34:$I$34)/$U$2+$J$2/$U$2*Assumptions!$A$34*G52)*K52*O51)</f>
        <v>13.585185950424858</v>
      </c>
      <c r="AO52">
        <f t="shared" si="33"/>
        <v>0</v>
      </c>
      <c r="AP52">
        <f t="shared" si="34"/>
        <v>0</v>
      </c>
      <c r="AQ52">
        <f>IF(B52&gt;$AJ$2,0,AQ51*(1+Assumptions!$B$43)^(1/12))</f>
        <v>1.0345814654736378</v>
      </c>
      <c r="AR52" s="27">
        <f>IF(B52&gt;$AJ$2,0,(O51+R51)*Assumptions!$B$39/12*AQ51+AV52*Assumptions!$B$41/12)</f>
        <v>9.7807592302801041</v>
      </c>
      <c r="AS52">
        <f t="shared" si="35"/>
        <v>90.828383209426434</v>
      </c>
      <c r="AT52" s="28">
        <f t="shared" si="36"/>
        <v>4351.1229547598268</v>
      </c>
      <c r="AU52">
        <f t="shared" si="37"/>
        <v>24.049723912135899</v>
      </c>
      <c r="AV52" s="28">
        <f t="shared" si="38"/>
        <v>4414.8838569266254</v>
      </c>
      <c r="AW52" s="28">
        <f t="shared" si="39"/>
        <v>4491.5113300157955</v>
      </c>
      <c r="AX52" s="23">
        <f>HLOOKUP(YEAR(A52),Assumptions!$A$25:$AL$29,2,TRUE)/100</f>
        <v>1.3154999999999998E-2</v>
      </c>
      <c r="AY52" s="29">
        <f>1/(1+HLOOKUP(YEAR(A52),Assumptions!$A$18:$AL$20,3,TRUE))^(1/12)</f>
        <v>0.99890664342887159</v>
      </c>
      <c r="AZ52" s="26">
        <f t="shared" si="40"/>
        <v>-318.45411217147949</v>
      </c>
      <c r="BA52">
        <f t="shared" si="41"/>
        <v>71.844466888276628</v>
      </c>
      <c r="BB52">
        <f t="shared" si="42"/>
        <v>4395.728511899606</v>
      </c>
      <c r="BC52">
        <f t="shared" si="43"/>
        <v>0</v>
      </c>
    </row>
    <row r="53" spans="1:55" x14ac:dyDescent="0.2">
      <c r="A53" s="3">
        <f t="shared" si="11"/>
        <v>44377</v>
      </c>
      <c r="B53">
        <f t="shared" si="2"/>
        <v>55</v>
      </c>
      <c r="C53">
        <f t="shared" si="46"/>
        <v>4.5</v>
      </c>
      <c r="D53">
        <f t="shared" si="47"/>
        <v>0</v>
      </c>
      <c r="E53">
        <f t="shared" si="5"/>
        <v>60</v>
      </c>
      <c r="F53">
        <f>IF(C53&gt;=$T$2,0,VLOOKUP($E53,'Mortality Table'!$A$3:$C$128,2+AF$2,FALSE))</f>
        <v>6.0185999999999998E-3</v>
      </c>
      <c r="G53">
        <f>F53*Assumptions!$B$1</f>
        <v>6.0185999999999998E-3</v>
      </c>
      <c r="H53">
        <f t="shared" si="12"/>
        <v>5.0293888167574075E-4</v>
      </c>
      <c r="I53">
        <f t="shared" si="49"/>
        <v>3.0984786244670485E-4</v>
      </c>
      <c r="J53">
        <f>IF(B53&gt;$AJ$2,0,HLOOKUP(C53,Assumptions!$A$6:$J$7,2,TRUE))</f>
        <v>0.14219999999999999</v>
      </c>
      <c r="K53" s="4">
        <f t="shared" si="48"/>
        <v>1</v>
      </c>
      <c r="L53" s="4">
        <f t="shared" si="14"/>
        <v>8.3333333333333329E-2</v>
      </c>
      <c r="M53" s="4">
        <f t="shared" si="50"/>
        <v>1.2700682431607713E-2</v>
      </c>
      <c r="N53">
        <f t="shared" si="15"/>
        <v>7.8725936655047162E-3</v>
      </c>
      <c r="O53" s="21">
        <f t="shared" si="51"/>
        <v>0.61028889723721902</v>
      </c>
      <c r="P53">
        <f>IF(B53&gt;$AJ$2,0,HLOOKUP(C53,Assumptions!$A$12:$J$13,2,TRUE))</f>
        <v>2.98E-2</v>
      </c>
      <c r="Q53">
        <f t="shared" si="52"/>
        <v>1.5405324550758067E-3</v>
      </c>
      <c r="R53">
        <f t="shared" si="16"/>
        <v>8.9246905571744681E-2</v>
      </c>
      <c r="S53">
        <f t="shared" si="44"/>
        <v>4.4417007280640824E-5</v>
      </c>
      <c r="T53">
        <f t="shared" si="45"/>
        <v>1.1285443359106463E-3</v>
      </c>
      <c r="U53">
        <f t="shared" si="17"/>
        <v>3376.5264300000008</v>
      </c>
      <c r="V53">
        <f t="shared" si="18"/>
        <v>1410.2</v>
      </c>
      <c r="W53">
        <f t="shared" si="19"/>
        <v>0.12</v>
      </c>
      <c r="X53">
        <f t="shared" si="9"/>
        <v>174.4572058407432</v>
      </c>
      <c r="Y53">
        <f t="shared" si="20"/>
        <v>144.19727153333341</v>
      </c>
      <c r="Z53">
        <f t="shared" si="21"/>
        <v>6628.5428474000055</v>
      </c>
      <c r="AA53">
        <f t="shared" si="22"/>
        <v>0</v>
      </c>
      <c r="AB53">
        <f t="shared" si="23"/>
        <v>6731.50081487032</v>
      </c>
      <c r="AC53" s="23">
        <f>IF(B53&gt;$AJ$2,0,HLOOKUP(YEAR(A53),Assumptions!$A$25:$AL$29,4,TRUE)/100)</f>
        <v>7.1549999999999999E-3</v>
      </c>
      <c r="AD53">
        <f t="shared" si="24"/>
        <v>80.288161152309385</v>
      </c>
      <c r="AE53">
        <f t="shared" si="25"/>
        <v>3163.6658959503479</v>
      </c>
      <c r="AF53">
        <f t="shared" si="26"/>
        <v>3102.8065170150007</v>
      </c>
      <c r="AG53">
        <f t="shared" si="27"/>
        <v>3233.9679688646647</v>
      </c>
      <c r="AH53">
        <f t="shared" si="28"/>
        <v>58.846112784899226</v>
      </c>
      <c r="AI53">
        <f t="shared" si="29"/>
        <v>58.469490536828829</v>
      </c>
      <c r="AJ53">
        <f t="shared" si="30"/>
        <v>0</v>
      </c>
      <c r="AK53">
        <f t="shared" si="31"/>
        <v>2.2191313669596506</v>
      </c>
      <c r="AL53">
        <f t="shared" si="32"/>
        <v>56.452648175732776</v>
      </c>
      <c r="AM53">
        <f t="shared" si="10"/>
        <v>0</v>
      </c>
      <c r="AN53">
        <f>IF($S$2=0,0,(SUMPRODUCT($K$2:$R$2,Assumptions!$B$34:$I$34)/$U$2+$J$2/$U$2*Assumptions!$A$34*G53)*K53*O52)</f>
        <v>13.372144207706924</v>
      </c>
      <c r="AO53">
        <f t="shared" si="33"/>
        <v>0</v>
      </c>
      <c r="AP53">
        <f t="shared" si="34"/>
        <v>0</v>
      </c>
      <c r="AQ53">
        <f>IF(B53&gt;$AJ$2,0,AQ52*(1+Assumptions!$B$43)^(1/12))</f>
        <v>1.0354396902316443</v>
      </c>
      <c r="AR53" s="27">
        <f>IF(B53&gt;$AJ$2,0,(O52+R52)*Assumptions!$B$39/12*AQ52+AV53*Assumptions!$B$41/12)</f>
        <v>9.6801551702556097</v>
      </c>
      <c r="AS53">
        <f t="shared" si="35"/>
        <v>89.404020148236</v>
      </c>
      <c r="AT53" s="28">
        <f t="shared" si="36"/>
        <v>4381.9243029076597</v>
      </c>
      <c r="AU53">
        <f t="shared" si="37"/>
        <v>28.982314331416163</v>
      </c>
      <c r="AV53" s="28">
        <f t="shared" si="38"/>
        <v>4451.2045546124918</v>
      </c>
      <c r="AW53" s="28">
        <f t="shared" si="39"/>
        <v>4526.5775851347435</v>
      </c>
      <c r="AX53" s="23">
        <f>HLOOKUP(YEAR(A53),Assumptions!$A$25:$AL$29,2,TRUE)/100</f>
        <v>1.3154999999999998E-2</v>
      </c>
      <c r="AY53" s="29">
        <f>1/(1+HLOOKUP(YEAR(A53),Assumptions!$A$18:$AL$20,3,TRUE))^(1/12)</f>
        <v>0.99890664342887159</v>
      </c>
      <c r="AZ53" s="26">
        <f t="shared" si="40"/>
        <v>-226.0695502533722</v>
      </c>
      <c r="BA53">
        <f t="shared" si="41"/>
        <v>72.043923750399358</v>
      </c>
      <c r="BB53">
        <f t="shared" si="42"/>
        <v>4427.1548307003559</v>
      </c>
      <c r="BC53">
        <f t="shared" si="43"/>
        <v>0</v>
      </c>
    </row>
    <row r="54" spans="1:55" x14ac:dyDescent="0.2">
      <c r="A54" s="3">
        <f t="shared" si="11"/>
        <v>44408</v>
      </c>
      <c r="B54">
        <f t="shared" si="2"/>
        <v>56</v>
      </c>
      <c r="C54">
        <f t="shared" si="46"/>
        <v>4.583333333333333</v>
      </c>
      <c r="D54">
        <f t="shared" si="47"/>
        <v>0</v>
      </c>
      <c r="E54">
        <f t="shared" si="5"/>
        <v>60</v>
      </c>
      <c r="F54">
        <f>IF(C54&gt;=$T$2,0,VLOOKUP($E54,'Mortality Table'!$A$3:$C$128,2+AF$2,FALSE))</f>
        <v>6.0185999999999998E-3</v>
      </c>
      <c r="G54">
        <f>F54*Assumptions!$B$1</f>
        <v>6.0185999999999998E-3</v>
      </c>
      <c r="H54">
        <f t="shared" si="12"/>
        <v>5.0293888167574075E-4</v>
      </c>
      <c r="I54">
        <f t="shared" si="49"/>
        <v>3.0498885434523623E-4</v>
      </c>
      <c r="J54">
        <f>IF(B54&gt;$AJ$2,0,HLOOKUP(C54,Assumptions!$A$6:$J$7,2,TRUE))</f>
        <v>0.14219999999999999</v>
      </c>
      <c r="K54" s="4">
        <f t="shared" si="48"/>
        <v>1</v>
      </c>
      <c r="L54" s="4">
        <f t="shared" si="14"/>
        <v>8.3333333333333329E-2</v>
      </c>
      <c r="M54" s="4">
        <f t="shared" si="50"/>
        <v>1.2700682431607713E-2</v>
      </c>
      <c r="N54">
        <f t="shared" si="15"/>
        <v>7.7491363142156208E-3</v>
      </c>
      <c r="O54" s="21">
        <f t="shared" si="51"/>
        <v>0.6007183981138885</v>
      </c>
      <c r="P54">
        <f>IF(B54&gt;$AJ$2,0,HLOOKUP(C54,Assumptions!$A$12:$J$13,2,TRUE))</f>
        <v>2.98E-2</v>
      </c>
      <c r="Q54">
        <f t="shared" si="52"/>
        <v>1.5163739547696242E-3</v>
      </c>
      <c r="R54">
        <f t="shared" si="16"/>
        <v>8.9585467261477869E-2</v>
      </c>
      <c r="S54">
        <f t="shared" si="44"/>
        <v>4.4600699123654144E-5</v>
      </c>
      <c r="T54">
        <f t="shared" si="45"/>
        <v>1.1332115659127907E-3</v>
      </c>
      <c r="U54">
        <f t="shared" si="17"/>
        <v>3376.5264300000008</v>
      </c>
      <c r="V54">
        <f t="shared" si="18"/>
        <v>1410.2</v>
      </c>
      <c r="W54">
        <f t="shared" si="19"/>
        <v>0.12</v>
      </c>
      <c r="X54">
        <f t="shared" si="9"/>
        <v>171.72138262141871</v>
      </c>
      <c r="Y54">
        <f t="shared" si="20"/>
        <v>144.19727153333341</v>
      </c>
      <c r="Z54">
        <f t="shared" si="21"/>
        <v>6772.7401189333386</v>
      </c>
      <c r="AA54">
        <f t="shared" si="22"/>
        <v>0</v>
      </c>
      <c r="AB54">
        <f t="shared" si="23"/>
        <v>6879.7843382853334</v>
      </c>
      <c r="AC54" s="23">
        <f>IF(B54&gt;$AJ$2,0,HLOOKUP(YEAR(A54),Assumptions!$A$25:$AL$29,4,TRUE)/100)</f>
        <v>7.1549999999999999E-3</v>
      </c>
      <c r="AD54">
        <f t="shared" si="24"/>
        <v>80.288161152309385</v>
      </c>
      <c r="AE54">
        <f t="shared" si="25"/>
        <v>3224.7551140998535</v>
      </c>
      <c r="AF54">
        <f t="shared" si="26"/>
        <v>3163.6658959503479</v>
      </c>
      <c r="AG54">
        <f t="shared" si="27"/>
        <v>3297.5685317681923</v>
      </c>
      <c r="AH54">
        <f t="shared" si="28"/>
        <v>59.209052943333077</v>
      </c>
      <c r="AI54">
        <f t="shared" si="29"/>
        <v>58.846112784899226</v>
      </c>
      <c r="AJ54">
        <f t="shared" si="30"/>
        <v>0</v>
      </c>
      <c r="AK54">
        <f t="shared" si="31"/>
        <v>2.2338235324627891</v>
      </c>
      <c r="AL54">
        <f t="shared" si="32"/>
        <v>56.826476483694812</v>
      </c>
      <c r="AM54">
        <f t="shared" si="10"/>
        <v>0</v>
      </c>
      <c r="AN54">
        <f>IF($S$2=0,0,(SUMPRODUCT($K$2:$R$2,Assumptions!$B$34:$I$34)/$U$2+$J$2/$U$2*Assumptions!$A$34*G54)*K54*O53)</f>
        <v>13.162443367668272</v>
      </c>
      <c r="AO54">
        <f t="shared" si="33"/>
        <v>0</v>
      </c>
      <c r="AP54">
        <f t="shared" si="34"/>
        <v>0</v>
      </c>
      <c r="AQ54">
        <f>IF(B54&gt;$AJ$2,0,AQ53*(1+Assumptions!$B$43)^(1/12))</f>
        <v>1.0362986269197982</v>
      </c>
      <c r="AR54" s="27">
        <f>IF(B54&gt;$AJ$2,0,(O53+R53)*Assumptions!$B$39/12*AQ53+AV54*Assumptions!$B$41/12)</f>
        <v>9.5804973181689412</v>
      </c>
      <c r="AS54">
        <f t="shared" si="35"/>
        <v>88.001993828693884</v>
      </c>
      <c r="AT54" s="28">
        <f t="shared" si="36"/>
        <v>4410.9356350167409</v>
      </c>
      <c r="AU54">
        <f t="shared" si="37"/>
        <v>33.95119974934601</v>
      </c>
      <c r="AV54" s="28">
        <f t="shared" si="38"/>
        <v>4485.746167700102</v>
      </c>
      <c r="AW54" s="28">
        <f t="shared" si="39"/>
        <v>4559.8850591746568</v>
      </c>
      <c r="AX54" s="23">
        <f>HLOOKUP(YEAR(A54),Assumptions!$A$25:$AL$29,2,TRUE)/100</f>
        <v>1.3154999999999998E-2</v>
      </c>
      <c r="AY54" s="29">
        <f>1/(1+HLOOKUP(YEAR(A54),Assumptions!$A$18:$AL$20,3,TRUE))^(1/12)</f>
        <v>0.99890664342887159</v>
      </c>
      <c r="AZ54" s="26">
        <f t="shared" si="40"/>
        <v>-136.39885350805696</v>
      </c>
      <c r="BA54">
        <f t="shared" si="41"/>
        <v>72.222743383825872</v>
      </c>
      <c r="BB54">
        <f t="shared" si="42"/>
        <v>4456.7638533686859</v>
      </c>
      <c r="BC54">
        <f t="shared" si="43"/>
        <v>0</v>
      </c>
    </row>
    <row r="55" spans="1:55" x14ac:dyDescent="0.2">
      <c r="A55" s="3">
        <f t="shared" si="11"/>
        <v>44439</v>
      </c>
      <c r="B55">
        <f t="shared" si="2"/>
        <v>57</v>
      </c>
      <c r="C55">
        <f t="shared" si="46"/>
        <v>4.666666666666667</v>
      </c>
      <c r="D55">
        <f t="shared" si="47"/>
        <v>0</v>
      </c>
      <c r="E55">
        <f t="shared" si="5"/>
        <v>60</v>
      </c>
      <c r="F55">
        <f>IF(C55&gt;=$T$2,0,VLOOKUP($E55,'Mortality Table'!$A$3:$C$128,2+AF$2,FALSE))</f>
        <v>6.0185999999999998E-3</v>
      </c>
      <c r="G55">
        <f>F55*Assumptions!$B$1</f>
        <v>6.0185999999999998E-3</v>
      </c>
      <c r="H55">
        <f t="shared" si="12"/>
        <v>5.0293888167574075E-4</v>
      </c>
      <c r="I55">
        <f t="shared" si="49"/>
        <v>3.0020604479987081E-4</v>
      </c>
      <c r="J55">
        <f>IF(B55&gt;$AJ$2,0,HLOOKUP(C55,Assumptions!$A$6:$J$7,2,TRUE))</f>
        <v>0.14219999999999999</v>
      </c>
      <c r="K55" s="4">
        <f t="shared" si="48"/>
        <v>1</v>
      </c>
      <c r="L55" s="4">
        <f t="shared" si="14"/>
        <v>8.3333333333333329E-2</v>
      </c>
      <c r="M55" s="4">
        <f t="shared" si="50"/>
        <v>1.2700682431607713E-2</v>
      </c>
      <c r="N55">
        <f t="shared" si="15"/>
        <v>7.6276150107190211E-3</v>
      </c>
      <c r="O55" s="21">
        <f t="shared" si="51"/>
        <v>0.59129798275233758</v>
      </c>
      <c r="P55">
        <f>IF(B55&gt;$AJ$2,0,HLOOKUP(C55,Assumptions!$A$12:$J$13,2,TRUE))</f>
        <v>2.98E-2</v>
      </c>
      <c r="Q55">
        <f t="shared" si="52"/>
        <v>1.4925943060320149E-3</v>
      </c>
      <c r="R55">
        <f t="shared" si="16"/>
        <v>8.9895781224750365E-2</v>
      </c>
      <c r="S55">
        <f t="shared" si="44"/>
        <v>4.4769893651597151E-5</v>
      </c>
      <c r="T55">
        <f t="shared" si="45"/>
        <v>1.1375104491079307E-3</v>
      </c>
      <c r="U55">
        <f t="shared" si="17"/>
        <v>3376.5264300000008</v>
      </c>
      <c r="V55">
        <f t="shared" si="18"/>
        <v>1410.2</v>
      </c>
      <c r="W55">
        <f t="shared" si="19"/>
        <v>0.12</v>
      </c>
      <c r="X55">
        <f t="shared" si="9"/>
        <v>169.02846235156727</v>
      </c>
      <c r="Y55">
        <f t="shared" si="20"/>
        <v>144.19727153333341</v>
      </c>
      <c r="Z55">
        <f t="shared" si="21"/>
        <v>6916.9373904666718</v>
      </c>
      <c r="AA55">
        <f t="shared" si="22"/>
        <v>0</v>
      </c>
      <c r="AB55">
        <f t="shared" si="23"/>
        <v>7028.1559871268801</v>
      </c>
      <c r="AC55" s="23">
        <f>IF(B55&gt;$AJ$2,0,HLOOKUP(YEAR(A55),Assumptions!$A$25:$AL$29,4,TRUE)/100)</f>
        <v>7.1549999999999999E-3</v>
      </c>
      <c r="AD55">
        <f t="shared" si="24"/>
        <v>80.288161152309385</v>
      </c>
      <c r="AE55">
        <f t="shared" si="25"/>
        <v>3286.0586610233672</v>
      </c>
      <c r="AF55">
        <f t="shared" si="26"/>
        <v>3224.7551140998535</v>
      </c>
      <c r="AG55">
        <f t="shared" si="27"/>
        <v>3361.4369609265991</v>
      </c>
      <c r="AH55">
        <f t="shared" si="28"/>
        <v>59.559042191552521</v>
      </c>
      <c r="AI55">
        <f t="shared" si="29"/>
        <v>59.209052943333077</v>
      </c>
      <c r="AJ55">
        <f t="shared" si="30"/>
        <v>0</v>
      </c>
      <c r="AK55">
        <f t="shared" si="31"/>
        <v>2.2476321339383079</v>
      </c>
      <c r="AL55">
        <f t="shared" si="32"/>
        <v>57.177817747043072</v>
      </c>
      <c r="AM55">
        <f t="shared" si="10"/>
        <v>0</v>
      </c>
      <c r="AN55">
        <f>IF($S$2=0,0,(SUMPRODUCT($K$2:$R$2,Assumptions!$B$34:$I$34)/$U$2+$J$2/$U$2*Assumptions!$A$34*G55)*K55*O54)</f>
        <v>12.956031038554258</v>
      </c>
      <c r="AO55">
        <f t="shared" si="33"/>
        <v>0</v>
      </c>
      <c r="AP55">
        <f t="shared" si="34"/>
        <v>0</v>
      </c>
      <c r="AQ55">
        <f>IF(B55&gt;$AJ$2,0,AQ54*(1+Assumptions!$B$43)^(1/12))</f>
        <v>1.0371582761286728</v>
      </c>
      <c r="AR55" s="27">
        <f>IF(B55&gt;$AJ$2,0,(O54+R54)*Assumptions!$B$39/12*AQ54+AV55*Assumptions!$B$41/12)</f>
        <v>9.481778919991541</v>
      </c>
      <c r="AS55">
        <f t="shared" si="35"/>
        <v>86.621953967897454</v>
      </c>
      <c r="AT55" s="28">
        <f t="shared" si="36"/>
        <v>4438.2022706452763</v>
      </c>
      <c r="AU55">
        <f t="shared" si="37"/>
        <v>38.954511288261756</v>
      </c>
      <c r="AV55" s="28">
        <f t="shared" si="38"/>
        <v>4518.552757695431</v>
      </c>
      <c r="AW55" s="28">
        <f t="shared" si="39"/>
        <v>4591.4774871591089</v>
      </c>
      <c r="AX55" s="23">
        <f>HLOOKUP(YEAR(A55),Assumptions!$A$25:$AL$29,2,TRUE)/100</f>
        <v>1.3154999999999998E-2</v>
      </c>
      <c r="AY55" s="29">
        <f>1/(1+HLOOKUP(YEAR(A55),Assumptions!$A$18:$AL$20,3,TRUE))^(1/12)</f>
        <v>0.99890664342887159</v>
      </c>
      <c r="AZ55" s="26">
        <f t="shared" si="40"/>
        <v>-49.382946812356131</v>
      </c>
      <c r="BA55">
        <f t="shared" si="41"/>
        <v>72.381480919535647</v>
      </c>
      <c r="BB55">
        <f t="shared" si="42"/>
        <v>4484.6015579460845</v>
      </c>
      <c r="BC55">
        <f t="shared" si="43"/>
        <v>0</v>
      </c>
    </row>
    <row r="56" spans="1:55" x14ac:dyDescent="0.2">
      <c r="A56" s="3">
        <f t="shared" si="11"/>
        <v>44469</v>
      </c>
      <c r="B56">
        <f t="shared" si="2"/>
        <v>58</v>
      </c>
      <c r="C56">
        <f t="shared" si="46"/>
        <v>4.75</v>
      </c>
      <c r="D56">
        <f t="shared" si="47"/>
        <v>0</v>
      </c>
      <c r="E56">
        <f t="shared" si="5"/>
        <v>60</v>
      </c>
      <c r="F56">
        <f>IF(C56&gt;=$T$2,0,VLOOKUP($E56,'Mortality Table'!$A$3:$C$128,2+AF$2,FALSE))</f>
        <v>6.0185999999999998E-3</v>
      </c>
      <c r="G56">
        <f>F56*Assumptions!$B$1</f>
        <v>6.0185999999999998E-3</v>
      </c>
      <c r="H56">
        <f t="shared" si="12"/>
        <v>5.0293888167574075E-4</v>
      </c>
      <c r="I56">
        <f t="shared" si="49"/>
        <v>2.9549823887126505E-4</v>
      </c>
      <c r="J56">
        <f>IF(B56&gt;$AJ$2,0,HLOOKUP(C56,Assumptions!$A$6:$J$7,2,TRUE))</f>
        <v>0.14219999999999999</v>
      </c>
      <c r="K56" s="4">
        <f t="shared" si="48"/>
        <v>1</v>
      </c>
      <c r="L56" s="4">
        <f t="shared" si="14"/>
        <v>8.3333333333333329E-2</v>
      </c>
      <c r="M56" s="4">
        <f t="shared" si="50"/>
        <v>1.2700682431607713E-2</v>
      </c>
      <c r="N56">
        <f t="shared" si="15"/>
        <v>7.507999394076377E-3</v>
      </c>
      <c r="O56" s="21">
        <f t="shared" si="51"/>
        <v>0.58202529755164523</v>
      </c>
      <c r="P56">
        <f>IF(B56&gt;$AJ$2,0,HLOOKUP(C56,Assumptions!$A$12:$J$13,2,TRUE))</f>
        <v>2.98E-2</v>
      </c>
      <c r="Q56">
        <f t="shared" si="52"/>
        <v>1.4691875677445658E-3</v>
      </c>
      <c r="R56">
        <f t="shared" si="16"/>
        <v>9.01785931638584E-2</v>
      </c>
      <c r="S56">
        <f t="shared" si="44"/>
        <v>4.4924971518119478E-5</v>
      </c>
      <c r="T56">
        <f t="shared" si="45"/>
        <v>1.141450657118414E-3</v>
      </c>
      <c r="U56">
        <f t="shared" si="17"/>
        <v>3376.5264300000008</v>
      </c>
      <c r="V56">
        <f t="shared" si="18"/>
        <v>1410.2</v>
      </c>
      <c r="W56">
        <f t="shared" si="19"/>
        <v>0.12</v>
      </c>
      <c r="X56">
        <f t="shared" si="9"/>
        <v>166.37777223074605</v>
      </c>
      <c r="Y56">
        <f t="shared" si="20"/>
        <v>144.19727153333341</v>
      </c>
      <c r="Z56">
        <f t="shared" si="21"/>
        <v>7061.1346620000049</v>
      </c>
      <c r="AA56">
        <f t="shared" si="22"/>
        <v>0</v>
      </c>
      <c r="AB56">
        <f t="shared" si="23"/>
        <v>7176.615813768215</v>
      </c>
      <c r="AC56" s="23">
        <f>IF(B56&gt;$AJ$2,0,HLOOKUP(YEAR(A56),Assumptions!$A$25:$AL$29,4,TRUE)/100)</f>
        <v>7.1549999999999999E-3</v>
      </c>
      <c r="AD56">
        <f t="shared" si="24"/>
        <v>80.288161152309385</v>
      </c>
      <c r="AE56">
        <f t="shared" si="25"/>
        <v>3347.5621124893696</v>
      </c>
      <c r="AF56">
        <f t="shared" si="26"/>
        <v>3286.0586610233672</v>
      </c>
      <c r="AG56">
        <f t="shared" si="27"/>
        <v>3425.5589343916254</v>
      </c>
      <c r="AH56">
        <f t="shared" si="28"/>
        <v>59.896760521357294</v>
      </c>
      <c r="AI56">
        <f t="shared" si="29"/>
        <v>59.559042191552521</v>
      </c>
      <c r="AJ56">
        <f t="shared" si="30"/>
        <v>0</v>
      </c>
      <c r="AK56">
        <f t="shared" si="31"/>
        <v>2.260579647304013</v>
      </c>
      <c r="AL56">
        <f t="shared" si="32"/>
        <v>57.507244398772841</v>
      </c>
      <c r="AM56">
        <f t="shared" si="10"/>
        <v>0</v>
      </c>
      <c r="AN56">
        <f>IF($S$2=0,0,(SUMPRODUCT($K$2:$R$2,Assumptions!$B$34:$I$34)/$U$2+$J$2/$U$2*Assumptions!$A$34*G56)*K56*O55)</f>
        <v>12.752855650213334</v>
      </c>
      <c r="AO56">
        <f t="shared" si="33"/>
        <v>0</v>
      </c>
      <c r="AP56">
        <f t="shared" si="34"/>
        <v>0</v>
      </c>
      <c r="AQ56">
        <f>IF(B56&gt;$AJ$2,0,AQ55*(1+Assumptions!$B$43)^(1/12))</f>
        <v>1.0380186384493311</v>
      </c>
      <c r="AR56" s="27">
        <f>IF(B56&gt;$AJ$2,0,(O55+R55)*Assumptions!$B$39/12*AQ55+AV56*Assumptions!$B$41/12)</f>
        <v>9.383993224610288</v>
      </c>
      <c r="AS56">
        <f t="shared" si="35"/>
        <v>85.26355577605112</v>
      </c>
      <c r="AT56" s="28">
        <f t="shared" si="36"/>
        <v>4463.7685910191503</v>
      </c>
      <c r="AU56">
        <f t="shared" si="37"/>
        <v>43.990426748907957</v>
      </c>
      <c r="AV56" s="28">
        <f t="shared" si="38"/>
        <v>4549.6674820593762</v>
      </c>
      <c r="AW56" s="28">
        <f t="shared" si="39"/>
        <v>4621.3977052894606</v>
      </c>
      <c r="AX56" s="23">
        <f>HLOOKUP(YEAR(A56),Assumptions!$A$25:$AL$29,2,TRUE)/100</f>
        <v>1.3154999999999998E-2</v>
      </c>
      <c r="AY56" s="29">
        <f>1/(1+HLOOKUP(YEAR(A56),Assumptions!$A$18:$AL$20,3,TRUE))^(1/12)</f>
        <v>0.99890664342887159</v>
      </c>
      <c r="AZ56" s="26">
        <f t="shared" si="40"/>
        <v>35.036100229688273</v>
      </c>
      <c r="BA56">
        <f t="shared" si="41"/>
        <v>72.520679696290188</v>
      </c>
      <c r="BB56">
        <f t="shared" si="42"/>
        <v>4510.7129707711147</v>
      </c>
      <c r="BC56">
        <f t="shared" si="43"/>
        <v>0</v>
      </c>
    </row>
    <row r="57" spans="1:55" x14ac:dyDescent="0.2">
      <c r="A57" s="3">
        <f t="shared" si="11"/>
        <v>44500</v>
      </c>
      <c r="B57">
        <f t="shared" si="2"/>
        <v>59</v>
      </c>
      <c r="C57">
        <f t="shared" si="46"/>
        <v>4.833333333333333</v>
      </c>
      <c r="D57">
        <f t="shared" si="47"/>
        <v>0</v>
      </c>
      <c r="E57">
        <f t="shared" si="5"/>
        <v>60</v>
      </c>
      <c r="F57">
        <f>IF(C57&gt;=$T$2,0,VLOOKUP($E57,'Mortality Table'!$A$3:$C$128,2+AF$2,FALSE))</f>
        <v>6.0185999999999998E-3</v>
      </c>
      <c r="G57">
        <f>F57*Assumptions!$B$1</f>
        <v>6.0185999999999998E-3</v>
      </c>
      <c r="H57">
        <f t="shared" si="12"/>
        <v>5.0293888167574075E-4</v>
      </c>
      <c r="I57">
        <f t="shared" si="49"/>
        <v>2.9086426035901316E-4</v>
      </c>
      <c r="J57">
        <f>IF(B57&gt;$AJ$2,0,HLOOKUP(C57,Assumptions!$A$6:$J$7,2,TRUE))</f>
        <v>0.14219999999999999</v>
      </c>
      <c r="K57" s="4">
        <f t="shared" si="48"/>
        <v>1</v>
      </c>
      <c r="L57" s="4">
        <f t="shared" si="14"/>
        <v>8.3333333333333329E-2</v>
      </c>
      <c r="M57" s="4">
        <f t="shared" si="50"/>
        <v>1.2700682431607713E-2</v>
      </c>
      <c r="N57">
        <f t="shared" si="15"/>
        <v>7.390259579466831E-3</v>
      </c>
      <c r="O57" s="21">
        <f t="shared" si="51"/>
        <v>0.57289802581986249</v>
      </c>
      <c r="P57">
        <f>IF(B57&gt;$AJ$2,0,HLOOKUP(C57,Assumptions!$A$12:$J$13,2,TRUE))</f>
        <v>2.98E-2</v>
      </c>
      <c r="Q57">
        <f t="shared" si="52"/>
        <v>1.4461478919569823E-3</v>
      </c>
      <c r="R57">
        <f t="shared" si="16"/>
        <v>9.0434633091940483E-2</v>
      </c>
      <c r="S57">
        <f t="shared" si="44"/>
        <v>4.5066305384251048E-5</v>
      </c>
      <c r="T57">
        <f t="shared" si="45"/>
        <v>1.1450416584906442E-3</v>
      </c>
      <c r="U57">
        <f t="shared" si="17"/>
        <v>3376.5264300000008</v>
      </c>
      <c r="V57">
        <f t="shared" si="18"/>
        <v>1410.2</v>
      </c>
      <c r="W57">
        <f t="shared" si="19"/>
        <v>0.12</v>
      </c>
      <c r="X57">
        <f t="shared" si="9"/>
        <v>163.76865000931207</v>
      </c>
      <c r="Y57">
        <f t="shared" si="20"/>
        <v>144.19727153333341</v>
      </c>
      <c r="Z57">
        <f t="shared" si="21"/>
        <v>7205.3319335333381</v>
      </c>
      <c r="AA57">
        <f t="shared" si="22"/>
        <v>0</v>
      </c>
      <c r="AB57">
        <f t="shared" si="23"/>
        <v>7325.1638706137192</v>
      </c>
      <c r="AC57" s="23">
        <f>IF(B57&gt;$AJ$2,0,HLOOKUP(YEAR(A57),Assumptions!$A$25:$AL$29,4,TRUE)/100)</f>
        <v>7.1549999999999999E-3</v>
      </c>
      <c r="AD57">
        <f t="shared" si="24"/>
        <v>80.288161152309385</v>
      </c>
      <c r="AE57">
        <f t="shared" si="25"/>
        <v>3409.2520370637994</v>
      </c>
      <c r="AF57">
        <f t="shared" si="26"/>
        <v>3347.5621124893696</v>
      </c>
      <c r="AG57">
        <f t="shared" si="27"/>
        <v>3489.9211147277892</v>
      </c>
      <c r="AH57">
        <f t="shared" si="28"/>
        <v>60.222841139238746</v>
      </c>
      <c r="AI57">
        <f t="shared" si="29"/>
        <v>59.896760521357294</v>
      </c>
      <c r="AJ57">
        <f t="shared" si="30"/>
        <v>0</v>
      </c>
      <c r="AK57">
        <f t="shared" si="31"/>
        <v>2.2726880822528819</v>
      </c>
      <c r="AL57">
        <f t="shared" si="32"/>
        <v>57.815316965735889</v>
      </c>
      <c r="AM57">
        <f t="shared" si="10"/>
        <v>0</v>
      </c>
      <c r="AN57">
        <f>IF($S$2=0,0,(SUMPRODUCT($K$2:$R$2,Assumptions!$B$34:$I$34)/$U$2+$J$2/$U$2*Assumptions!$A$34*G57)*K57*O56)</f>
        <v>12.55286644121272</v>
      </c>
      <c r="AO57">
        <f t="shared" si="33"/>
        <v>0</v>
      </c>
      <c r="AP57">
        <f t="shared" si="34"/>
        <v>0</v>
      </c>
      <c r="AQ57">
        <f>IF(B57&gt;$AJ$2,0,AQ56*(1+Assumptions!$B$43)^(1/12))</f>
        <v>1.0388797144733264</v>
      </c>
      <c r="AR57" s="27">
        <f>IF(B57&gt;$AJ$2,0,(O56+R56)*Assumptions!$B$39/12*AQ56+AV57*Assumptions!$B$41/12)</f>
        <v>9.2871334850960903</v>
      </c>
      <c r="AS57">
        <f t="shared" si="35"/>
        <v>83.926459870323754</v>
      </c>
      <c r="AT57" s="28">
        <f t="shared" si="36"/>
        <v>4487.678056750924</v>
      </c>
      <c r="AU57">
        <f t="shared" si="37"/>
        <v>49.057169649417645</v>
      </c>
      <c r="AV57" s="28">
        <f t="shared" si="38"/>
        <v>4579.1326111971694</v>
      </c>
      <c r="AW57" s="28">
        <f t="shared" si="39"/>
        <v>4649.6876678510616</v>
      </c>
      <c r="AX57" s="23">
        <f>HLOOKUP(YEAR(A57),Assumptions!$A$25:$AL$29,2,TRUE)/100</f>
        <v>1.3154999999999998E-2</v>
      </c>
      <c r="AY57" s="29">
        <f>1/(1+HLOOKUP(YEAR(A57),Assumptions!$A$18:$AL$20,3,TRUE))^(1/12)</f>
        <v>0.99890664342887159</v>
      </c>
      <c r="AZ57" s="26">
        <f t="shared" si="40"/>
        <v>116.9150941441149</v>
      </c>
      <c r="BA57">
        <f t="shared" si="41"/>
        <v>72.640871489201487</v>
      </c>
      <c r="BB57">
        <f t="shared" si="42"/>
        <v>4535.1421844482611</v>
      </c>
      <c r="BC57">
        <f t="shared" si="43"/>
        <v>0</v>
      </c>
    </row>
    <row r="58" spans="1:55" x14ac:dyDescent="0.2">
      <c r="A58" s="3">
        <f t="shared" si="11"/>
        <v>44530</v>
      </c>
      <c r="B58">
        <f t="shared" si="2"/>
        <v>60</v>
      </c>
      <c r="C58">
        <f t="shared" si="46"/>
        <v>4.916666666666667</v>
      </c>
      <c r="D58">
        <f t="shared" si="47"/>
        <v>0</v>
      </c>
      <c r="E58">
        <f t="shared" si="5"/>
        <v>60</v>
      </c>
      <c r="F58">
        <f>IF(C58&gt;=$T$2,0,VLOOKUP($E58,'Mortality Table'!$A$3:$C$128,2+AF$2,FALSE))</f>
        <v>6.0185999999999998E-3</v>
      </c>
      <c r="G58">
        <f>F58*Assumptions!$B$1</f>
        <v>6.0185999999999998E-3</v>
      </c>
      <c r="H58">
        <f t="shared" si="12"/>
        <v>5.0293888167574075E-4</v>
      </c>
      <c r="I58">
        <f t="shared" si="49"/>
        <v>2.8630295150778554E-4</v>
      </c>
      <c r="J58">
        <f>IF(B58&gt;$AJ$2,0,HLOOKUP(C58,Assumptions!$A$6:$J$7,2,TRUE))</f>
        <v>0.14219999999999999</v>
      </c>
      <c r="K58" s="4">
        <f t="shared" si="48"/>
        <v>1</v>
      </c>
      <c r="L58" s="4">
        <f t="shared" si="14"/>
        <v>8.3333333333333329E-2</v>
      </c>
      <c r="M58" s="4">
        <f t="shared" si="50"/>
        <v>1.2700682431607713E-2</v>
      </c>
      <c r="N58">
        <f t="shared" si="15"/>
        <v>7.2743661507207735E-3</v>
      </c>
      <c r="O58" s="21">
        <f t="shared" si="51"/>
        <v>0.56391388719520796</v>
      </c>
      <c r="P58">
        <f>IF(B58&gt;$AJ$2,0,HLOOKUP(C58,Assumptions!$A$12:$J$13,2,TRUE))</f>
        <v>2.98E-2</v>
      </c>
      <c r="Q58">
        <f t="shared" si="52"/>
        <v>1.4234695224260342E-3</v>
      </c>
      <c r="R58">
        <f t="shared" si="16"/>
        <v>9.0664615631737944E-2</v>
      </c>
      <c r="S58">
        <f t="shared" si="44"/>
        <v>4.5194260070442959E-5</v>
      </c>
      <c r="T58">
        <f t="shared" si="45"/>
        <v>1.1482927225581244E-3</v>
      </c>
      <c r="U58">
        <f t="shared" si="17"/>
        <v>3376.5264300000008</v>
      </c>
      <c r="V58">
        <f t="shared" si="18"/>
        <v>1410.2</v>
      </c>
      <c r="W58">
        <f t="shared" si="19"/>
        <v>0.12</v>
      </c>
      <c r="X58">
        <f t="shared" si="9"/>
        <v>161.20044382296572</v>
      </c>
      <c r="Y58">
        <f t="shared" si="20"/>
        <v>144.19727153333341</v>
      </c>
      <c r="Z58">
        <f t="shared" si="21"/>
        <v>7349.5292050666712</v>
      </c>
      <c r="AA58">
        <f t="shared" si="22"/>
        <v>0</v>
      </c>
      <c r="AB58">
        <f t="shared" si="23"/>
        <v>7473.800210098917</v>
      </c>
      <c r="AC58" s="23">
        <f>IF(B58&gt;$AJ$2,0,HLOOKUP(YEAR(A58),Assumptions!$A$25:$AL$29,4,TRUE)/100)</f>
        <v>7.1549999999999999E-3</v>
      </c>
      <c r="AD58">
        <f t="shared" si="24"/>
        <v>80.288161152309385</v>
      </c>
      <c r="AE58">
        <f t="shared" si="25"/>
        <v>3471.1159121762844</v>
      </c>
      <c r="AF58">
        <f t="shared" si="26"/>
        <v>3409.2520370637994</v>
      </c>
      <c r="AG58">
        <f t="shared" si="27"/>
        <v>3554.5110657767973</v>
      </c>
      <c r="AH58">
        <f t="shared" si="28"/>
        <v>60.537874422039465</v>
      </c>
      <c r="AI58">
        <f t="shared" si="29"/>
        <v>60.222841139238746</v>
      </c>
      <c r="AJ58">
        <f t="shared" si="30"/>
        <v>0</v>
      </c>
      <c r="AK58">
        <f t="shared" si="31"/>
        <v>2.283978991065672</v>
      </c>
      <c r="AL58">
        <f t="shared" si="32"/>
        <v>58.102584296606423</v>
      </c>
      <c r="AM58">
        <f t="shared" si="10"/>
        <v>0</v>
      </c>
      <c r="AN58">
        <f>IF($S$2=0,0,(SUMPRODUCT($K$2:$R$2,Assumptions!$B$34:$I$34)/$U$2+$J$2/$U$2*Assumptions!$A$34*G58)*K58*O57)</f>
        <v>12.356013446156163</v>
      </c>
      <c r="AO58">
        <f t="shared" si="33"/>
        <v>0</v>
      </c>
      <c r="AP58">
        <f t="shared" si="34"/>
        <v>0</v>
      </c>
      <c r="AQ58">
        <f>IF(B58&gt;$AJ$2,0,AQ57*(1+Assumptions!$B$43)^(1/12))</f>
        <v>1.039741504792703</v>
      </c>
      <c r="AR58" s="27">
        <f>IF(B58&gt;$AJ$2,0,(O57+R57)*Assumptions!$B$39/12*AQ57+AV58*Assumptions!$B$41/12)</f>
        <v>9.1911929599357816</v>
      </c>
      <c r="AS58">
        <f t="shared" si="35"/>
        <v>82.610332190057363</v>
      </c>
      <c r="AT58" s="28">
        <f t="shared" si="36"/>
        <v>4509.973225241316</v>
      </c>
      <c r="AU58">
        <f t="shared" si="37"/>
        <v>54.153008282385855</v>
      </c>
      <c r="AV58" s="28">
        <f t="shared" si="38"/>
        <v>4606.9895451442435</v>
      </c>
      <c r="AW58" s="28">
        <f t="shared" si="39"/>
        <v>4676.3884638172167</v>
      </c>
      <c r="AX58" s="23">
        <f>HLOOKUP(YEAR(A58),Assumptions!$A$25:$AL$29,2,TRUE)/100</f>
        <v>1.3154999999999998E-2</v>
      </c>
      <c r="AY58" s="29">
        <f>1/(1+HLOOKUP(YEAR(A58),Assumptions!$A$18:$AL$20,3,TRUE))^(1/12)</f>
        <v>0.99890664342887159</v>
      </c>
      <c r="AZ58" s="26">
        <f t="shared" si="40"/>
        <v>196.30973807638824</v>
      </c>
      <c r="BA58">
        <f t="shared" si="41"/>
        <v>72.742576733828258</v>
      </c>
      <c r="BB58">
        <f t="shared" si="42"/>
        <v>4557.9323754948255</v>
      </c>
      <c r="BC58">
        <f t="shared" si="43"/>
        <v>0</v>
      </c>
    </row>
    <row r="59" spans="1:55" x14ac:dyDescent="0.2">
      <c r="A59" s="3">
        <f t="shared" si="11"/>
        <v>44561</v>
      </c>
      <c r="B59">
        <f t="shared" si="2"/>
        <v>61</v>
      </c>
      <c r="C59">
        <f t="shared" si="46"/>
        <v>5</v>
      </c>
      <c r="D59">
        <f t="shared" si="47"/>
        <v>1</v>
      </c>
      <c r="E59">
        <f t="shared" si="5"/>
        <v>61</v>
      </c>
      <c r="F59">
        <f>IF(C59&gt;=$T$2,0,VLOOKUP($E59,'Mortality Table'!$A$3:$C$128,2+AF$2,FALSE))</f>
        <v>6.4713000000000001E-3</v>
      </c>
      <c r="G59">
        <f>F59*Assumptions!$B$1</f>
        <v>6.4713000000000001E-3</v>
      </c>
      <c r="H59">
        <f t="shared" si="12"/>
        <v>5.4088114077910365E-4</v>
      </c>
      <c r="I59">
        <f t="shared" si="49"/>
        <v>3.0415322617180756E-4</v>
      </c>
      <c r="J59">
        <f>IF(B59&gt;$AJ$2,0,HLOOKUP(C59,Assumptions!$A$6:$J$7,2,TRUE))</f>
        <v>6.54E-2</v>
      </c>
      <c r="K59" s="4">
        <f t="shared" si="48"/>
        <v>1</v>
      </c>
      <c r="L59" s="4">
        <f t="shared" si="14"/>
        <v>8.3333333333333329E-2</v>
      </c>
      <c r="M59" s="4">
        <f t="shared" si="50"/>
        <v>5.6205327631602131E-3</v>
      </c>
      <c r="N59">
        <f t="shared" si="15"/>
        <v>3.1686393181461839E-3</v>
      </c>
      <c r="O59" s="21">
        <f t="shared" si="51"/>
        <v>0.55819727803028962</v>
      </c>
      <c r="P59">
        <f>IF(B59&gt;$AJ$2,0,HLOOKUP(C59,Assumptions!$A$12:$J$13,2,TRUE))</f>
        <v>4.7E-2</v>
      </c>
      <c r="Q59">
        <f t="shared" si="52"/>
        <v>2.2438166206003103E-3</v>
      </c>
      <c r="R59">
        <f t="shared" si="16"/>
        <v>9.2350085653063324E-2</v>
      </c>
      <c r="S59">
        <f t="shared" si="44"/>
        <v>4.8900968694310824E-5</v>
      </c>
      <c r="T59">
        <f t="shared" si="45"/>
        <v>5.0944563058062827E-4</v>
      </c>
      <c r="U59">
        <f t="shared" si="17"/>
        <v>3477.8222229000007</v>
      </c>
      <c r="V59">
        <f t="shared" si="18"/>
        <v>1410.2</v>
      </c>
      <c r="W59">
        <f t="shared" si="19"/>
        <v>0.12</v>
      </c>
      <c r="X59">
        <f t="shared" si="9"/>
        <v>163.43268739078485</v>
      </c>
      <c r="Y59">
        <f t="shared" si="20"/>
        <v>151.62562967933337</v>
      </c>
      <c r="Z59">
        <f t="shared" si="21"/>
        <v>7501.1548347460048</v>
      </c>
      <c r="AA59">
        <f t="shared" si="22"/>
        <v>0</v>
      </c>
      <c r="AB59">
        <f t="shared" si="23"/>
        <v>7629.9576575362216</v>
      </c>
      <c r="AC59" s="23">
        <f>IF(B59&gt;$AJ$2,0,HLOOKUP(YEAR(A59),Assumptions!$A$25:$AL$29,4,TRUE)/100)</f>
        <v>7.1549999999999999E-3</v>
      </c>
      <c r="AD59">
        <f t="shared" si="24"/>
        <v>80.288161152309385</v>
      </c>
      <c r="AE59">
        <f t="shared" si="25"/>
        <v>3569.0331826604634</v>
      </c>
      <c r="AF59">
        <f t="shared" si="26"/>
        <v>3471.1159121762844</v>
      </c>
      <c r="AG59">
        <f t="shared" si="27"/>
        <v>3655.5927323023966</v>
      </c>
      <c r="AH59">
        <f t="shared" si="28"/>
        <v>61.017744270709514</v>
      </c>
      <c r="AI59">
        <f t="shared" si="29"/>
        <v>60.537874422039465</v>
      </c>
      <c r="AJ59">
        <f t="shared" si="30"/>
        <v>0</v>
      </c>
      <c r="AK59">
        <f t="shared" si="31"/>
        <v>2.478621637497715</v>
      </c>
      <c r="AL59">
        <f t="shared" si="32"/>
        <v>25.872171948597643</v>
      </c>
      <c r="AM59">
        <f t="shared" si="10"/>
        <v>0</v>
      </c>
      <c r="AN59">
        <f>IF($S$2=0,0,(SUMPRODUCT($K$2:$R$2,Assumptions!$B$34:$I$34)/$U$2+$J$2/$U$2*Assumptions!$A$34*G59)*K59*O58)</f>
        <v>12.173843750575648</v>
      </c>
      <c r="AO59">
        <f t="shared" si="33"/>
        <v>0</v>
      </c>
      <c r="AP59">
        <f t="shared" si="34"/>
        <v>0</v>
      </c>
      <c r="AQ59">
        <f>IF(B59&gt;$AJ$2,0,AQ58*(1+Assumptions!$B$43)^(1/12))</f>
        <v>1.0406040099999962</v>
      </c>
      <c r="AR59" s="27">
        <f>IF(B59&gt;$AJ$2,0,(O58+R58)*Assumptions!$B$39/12*AQ58+AV59*Assumptions!$B$41/12)</f>
        <v>9.0971048197894522</v>
      </c>
      <c r="AS59">
        <f t="shared" si="35"/>
        <v>85.503798230893977</v>
      </c>
      <c r="AT59" s="28">
        <f t="shared" si="36"/>
        <v>4596.6158978639269</v>
      </c>
      <c r="AU59">
        <f t="shared" si="37"/>
        <v>0</v>
      </c>
      <c r="AV59" s="28">
        <f t="shared" si="38"/>
        <v>4637.4561880040201</v>
      </c>
      <c r="AW59" s="28">
        <f t="shared" si="39"/>
        <v>4706.287972344121</v>
      </c>
      <c r="AX59" s="23">
        <f>HLOOKUP(YEAR(A59),Assumptions!$A$25:$AL$29,2,TRUE)/100</f>
        <v>1.3154999999999998E-2</v>
      </c>
      <c r="AY59" s="29">
        <f>1/(1+HLOOKUP(YEAR(A59),Assumptions!$A$18:$AL$20,3,TRUE))^(1/12)</f>
        <v>0.99890664342887159</v>
      </c>
      <c r="AZ59" s="26">
        <f t="shared" si="40"/>
        <v>310.33555478395215</v>
      </c>
      <c r="BA59">
        <f t="shared" si="41"/>
        <v>40.524637336671006</v>
      </c>
      <c r="BB59">
        <f t="shared" si="42"/>
        <v>4583.3031797216345</v>
      </c>
      <c r="BC59">
        <f t="shared" si="43"/>
        <v>0</v>
      </c>
    </row>
    <row r="60" spans="1:55" x14ac:dyDescent="0.2">
      <c r="A60" s="3">
        <f t="shared" si="11"/>
        <v>44592</v>
      </c>
      <c r="B60">
        <f t="shared" si="2"/>
        <v>62</v>
      </c>
      <c r="C60">
        <f t="shared" si="46"/>
        <v>5.083333333333333</v>
      </c>
      <c r="D60">
        <f t="shared" si="47"/>
        <v>0</v>
      </c>
      <c r="E60">
        <f t="shared" si="5"/>
        <v>61</v>
      </c>
      <c r="F60">
        <f>IF(C60&gt;=$T$2,0,VLOOKUP($E60,'Mortality Table'!$A$3:$C$128,2+AF$2,FALSE))</f>
        <v>6.4713000000000001E-3</v>
      </c>
      <c r="G60">
        <f>F60*Assumptions!$B$1</f>
        <v>6.4713000000000001E-3</v>
      </c>
      <c r="H60">
        <f t="shared" si="12"/>
        <v>5.4088114077910365E-4</v>
      </c>
      <c r="I60">
        <f t="shared" si="49"/>
        <v>3.0106990944605481E-4</v>
      </c>
      <c r="J60">
        <f>IF(B60&gt;$AJ$2,0,HLOOKUP(C60,Assumptions!$A$6:$J$7,2,TRUE))</f>
        <v>6.54E-2</v>
      </c>
      <c r="K60" s="4">
        <f t="shared" si="48"/>
        <v>1</v>
      </c>
      <c r="L60" s="4">
        <f t="shared" si="14"/>
        <v>8.3333333333333329E-2</v>
      </c>
      <c r="M60" s="4">
        <f t="shared" si="50"/>
        <v>5.6205327631602131E-3</v>
      </c>
      <c r="N60">
        <f t="shared" si="15"/>
        <v>3.136517618401335E-3</v>
      </c>
      <c r="O60" s="21">
        <f t="shared" si="51"/>
        <v>0.55253862030279211</v>
      </c>
      <c r="P60">
        <f>IF(B60&gt;$AJ$2,0,HLOOKUP(C60,Assumptions!$A$12:$J$13,2,TRUE))</f>
        <v>4.7E-2</v>
      </c>
      <c r="Q60">
        <f t="shared" si="52"/>
        <v>2.2210701996502632E-3</v>
      </c>
      <c r="R60">
        <f t="shared" si="16"/>
        <v>9.4002429498911161E-2</v>
      </c>
      <c r="S60">
        <f t="shared" si="44"/>
        <v>4.9810045693906896E-5</v>
      </c>
      <c r="T60">
        <f t="shared" si="45"/>
        <v>5.189163081085245E-4</v>
      </c>
      <c r="U60">
        <f t="shared" si="17"/>
        <v>3477.8222229000007</v>
      </c>
      <c r="V60">
        <f t="shared" si="18"/>
        <v>1410.2</v>
      </c>
      <c r="W60">
        <f t="shared" si="19"/>
        <v>0.12</v>
      </c>
      <c r="X60">
        <f t="shared" si="9"/>
        <v>161.77590819133596</v>
      </c>
      <c r="Y60">
        <f t="shared" si="20"/>
        <v>151.62562967933337</v>
      </c>
      <c r="Z60">
        <f t="shared" si="21"/>
        <v>7652.7804644253383</v>
      </c>
      <c r="AA60">
        <f t="shared" si="22"/>
        <v>48.514661637907921</v>
      </c>
      <c r="AB60">
        <f t="shared" si="23"/>
        <v>7785.5736925949004</v>
      </c>
      <c r="AC60" s="23">
        <f>IF(B60&gt;$AJ$2,0,HLOOKUP(YEAR(A60),Assumptions!$A$25:$AL$29,4,TRUE)/100)</f>
        <v>6.1709999999999994E-3</v>
      </c>
      <c r="AD60">
        <f t="shared" si="24"/>
        <v>128.80282279021731</v>
      </c>
      <c r="AE60">
        <f t="shared" si="25"/>
        <v>3665.5231291307914</v>
      </c>
      <c r="AF60">
        <f t="shared" si="26"/>
        <v>3569.0331826604634</v>
      </c>
      <c r="AG60">
        <f t="shared" si="27"/>
        <v>3755.0053785989489</v>
      </c>
      <c r="AH60">
        <f t="shared" si="28"/>
        <v>87.557665069645964</v>
      </c>
      <c r="AI60">
        <f t="shared" si="29"/>
        <v>86.559549641933245</v>
      </c>
      <c r="AJ60">
        <f t="shared" si="30"/>
        <v>25.541805371223731</v>
      </c>
      <c r="AK60">
        <f t="shared" si="31"/>
        <v>2.5248858166632173</v>
      </c>
      <c r="AL60">
        <f t="shared" si="32"/>
        <v>26.354607909168465</v>
      </c>
      <c r="AM60">
        <f t="shared" si="10"/>
        <v>0</v>
      </c>
      <c r="AN60">
        <f>IF($S$2=0,0,(SUMPRODUCT($K$2:$R$2,Assumptions!$B$34:$I$34)/$U$2+$J$2/$U$2*Assumptions!$A$34*G60)*K60*O59)</f>
        <v>12.050432874665201</v>
      </c>
      <c r="AO60">
        <f t="shared" si="33"/>
        <v>0</v>
      </c>
      <c r="AP60">
        <f t="shared" si="34"/>
        <v>0</v>
      </c>
      <c r="AQ60">
        <f>IF(B60&gt;$AJ$2,0,AQ59*(1+Assumptions!$B$43)^(1/12))</f>
        <v>1.0414672306882327</v>
      </c>
      <c r="AR60" s="27">
        <f>IF(B60&gt;$AJ$2,0,(O59+R59)*Assumptions!$B$39/12*AQ59+AV60*Assumptions!$B$41/12)</f>
        <v>9.0612898692886503</v>
      </c>
      <c r="AS60">
        <f t="shared" si="35"/>
        <v>84.637013766632577</v>
      </c>
      <c r="AT60" s="28">
        <f t="shared" si="36"/>
        <v>4652.4240060498923</v>
      </c>
      <c r="AU60">
        <f t="shared" si="37"/>
        <v>4.7781900095249732</v>
      </c>
      <c r="AV60" s="28">
        <f t="shared" si="38"/>
        <v>4669.2024787558939</v>
      </c>
      <c r="AW60" s="28">
        <f t="shared" si="39"/>
        <v>4737.2800833113088</v>
      </c>
      <c r="AX60" s="23">
        <f>HLOOKUP(YEAR(A60),Assumptions!$A$25:$AL$29,2,TRUE)/100</f>
        <v>1.2171000000000001E-2</v>
      </c>
      <c r="AY60" s="29">
        <f>1/(1+HLOOKUP(YEAR(A60),Assumptions!$A$18:$AL$20,3,TRUE))^(1/12)</f>
        <v>0.99891140865959827</v>
      </c>
      <c r="AZ60" s="26">
        <f t="shared" si="40"/>
        <v>422.45844326111859</v>
      </c>
      <c r="BA60">
        <f t="shared" si="41"/>
        <v>40.929926600496884</v>
      </c>
      <c r="BB60">
        <f t="shared" si="42"/>
        <v>4669.2024787558939</v>
      </c>
      <c r="BC60">
        <f t="shared" si="43"/>
        <v>0</v>
      </c>
    </row>
    <row r="61" spans="1:55" x14ac:dyDescent="0.2">
      <c r="A61" s="3">
        <f t="shared" si="11"/>
        <v>44620</v>
      </c>
      <c r="B61">
        <f t="shared" si="2"/>
        <v>63</v>
      </c>
      <c r="C61">
        <f t="shared" si="46"/>
        <v>5.166666666666667</v>
      </c>
      <c r="D61">
        <f t="shared" si="47"/>
        <v>0</v>
      </c>
      <c r="E61">
        <f t="shared" si="5"/>
        <v>61</v>
      </c>
      <c r="F61">
        <f>IF(C61&gt;=$T$2,0,VLOOKUP($E61,'Mortality Table'!$A$3:$C$128,2+AF$2,FALSE))</f>
        <v>6.4713000000000001E-3</v>
      </c>
      <c r="G61">
        <f>F61*Assumptions!$B$1</f>
        <v>6.4713000000000001E-3</v>
      </c>
      <c r="H61">
        <f t="shared" si="12"/>
        <v>5.4088114077910365E-4</v>
      </c>
      <c r="I61">
        <f t="shared" si="49"/>
        <v>2.980178494725351E-4</v>
      </c>
      <c r="J61">
        <f>IF(B61&gt;$AJ$2,0,HLOOKUP(C61,Assumptions!$A$6:$J$7,2,TRUE))</f>
        <v>6.54E-2</v>
      </c>
      <c r="K61" s="4">
        <f t="shared" si="48"/>
        <v>1</v>
      </c>
      <c r="L61" s="4">
        <f t="shared" si="14"/>
        <v>8.3333333333333329E-2</v>
      </c>
      <c r="M61" s="4">
        <f t="shared" si="50"/>
        <v>5.6205327631602131E-3</v>
      </c>
      <c r="N61">
        <f t="shared" si="15"/>
        <v>3.1047215485218329E-3</v>
      </c>
      <c r="O61" s="21">
        <f t="shared" si="51"/>
        <v>0.54693732653699256</v>
      </c>
      <c r="P61">
        <f>IF(B61&gt;$AJ$2,0,HLOOKUP(C61,Assumptions!$A$12:$J$13,2,TRUE))</f>
        <v>4.7E-2</v>
      </c>
      <c r="Q61">
        <f t="shared" si="52"/>
        <v>2.198554367805086E-3</v>
      </c>
      <c r="R61">
        <f t="shared" si="16"/>
        <v>9.5622081761759584E-2</v>
      </c>
      <c r="S61">
        <f t="shared" si="44"/>
        <v>5.0701255722373142E-5</v>
      </c>
      <c r="T61">
        <f t="shared" si="45"/>
        <v>5.2820084923428309E-4</v>
      </c>
      <c r="U61">
        <f t="shared" si="17"/>
        <v>3477.8222229000007</v>
      </c>
      <c r="V61">
        <f t="shared" si="18"/>
        <v>1410.2</v>
      </c>
      <c r="W61">
        <f t="shared" si="19"/>
        <v>0.12</v>
      </c>
      <c r="X61">
        <f t="shared" si="9"/>
        <v>160.13592439162966</v>
      </c>
      <c r="Y61">
        <f t="shared" si="20"/>
        <v>151.62562967933337</v>
      </c>
      <c r="Z61">
        <f t="shared" si="21"/>
        <v>7804.4060941046719</v>
      </c>
      <c r="AA61">
        <f t="shared" si="22"/>
        <v>0</v>
      </c>
      <c r="AB61">
        <f t="shared" si="23"/>
        <v>7941.2695277457315</v>
      </c>
      <c r="AC61" s="23">
        <f>IF(B61&gt;$AJ$2,0,HLOOKUP(YEAR(A61),Assumptions!$A$25:$AL$29,4,TRUE)/100)</f>
        <v>6.1709999999999994E-3</v>
      </c>
      <c r="AD61">
        <f t="shared" si="24"/>
        <v>128.80282279021731</v>
      </c>
      <c r="AE61">
        <f t="shared" si="25"/>
        <v>3760.6848224638102</v>
      </c>
      <c r="AF61">
        <f t="shared" si="26"/>
        <v>3665.5231291307914</v>
      </c>
      <c r="AG61">
        <f t="shared" si="27"/>
        <v>3853.1377641598183</v>
      </c>
      <c r="AH61">
        <f t="shared" si="28"/>
        <v>88.505978680756186</v>
      </c>
      <c r="AI61">
        <f t="shared" si="29"/>
        <v>87.557665069645964</v>
      </c>
      <c r="AJ61">
        <f t="shared" si="30"/>
        <v>0</v>
      </c>
      <c r="AK61">
        <f t="shared" si="31"/>
        <v>2.5545237699228385</v>
      </c>
      <c r="AL61">
        <f t="shared" si="32"/>
        <v>26.663550523238463</v>
      </c>
      <c r="AM61">
        <f t="shared" si="10"/>
        <v>0</v>
      </c>
      <c r="AN61">
        <f>IF($S$2=0,0,(SUMPRODUCT($K$2:$R$2,Assumptions!$B$34:$I$34)/$U$2+$J$2/$U$2*Assumptions!$A$34*G61)*K61*O60)</f>
        <v>11.928273061656917</v>
      </c>
      <c r="AO61">
        <f t="shared" si="33"/>
        <v>0</v>
      </c>
      <c r="AP61">
        <f t="shared" si="34"/>
        <v>0</v>
      </c>
      <c r="AQ61">
        <f>IF(B61&gt;$AJ$2,0,AQ60*(1+Assumptions!$B$43)^(1/12))</f>
        <v>1.042331167450931</v>
      </c>
      <c r="AR61" s="27">
        <f>IF(B61&gt;$AJ$2,0,(O60+R60)*Assumptions!$B$39/12*AQ60+AV61*Assumptions!$B$41/12)</f>
        <v>9.0320274918402852</v>
      </c>
      <c r="AS61">
        <f t="shared" si="35"/>
        <v>83.779016225560952</v>
      </c>
      <c r="AT61" s="28">
        <f t="shared" si="36"/>
        <v>4707.0357133695798</v>
      </c>
      <c r="AU61">
        <f t="shared" si="37"/>
        <v>9.6159881084125942</v>
      </c>
      <c r="AV61" s="28">
        <f t="shared" si="38"/>
        <v>4729.0529392233211</v>
      </c>
      <c r="AW61" s="28">
        <f t="shared" si="39"/>
        <v>4796.3778198975497</v>
      </c>
      <c r="AX61" s="23">
        <f>HLOOKUP(YEAR(A61),Assumptions!$A$25:$AL$29,2,TRUE)/100</f>
        <v>1.2171000000000001E-2</v>
      </c>
      <c r="AY61" s="29">
        <f>1/(1+HLOOKUP(YEAR(A61),Assumptions!$A$18:$AL$20,3,TRUE))^(1/12)</f>
        <v>0.99891140865959827</v>
      </c>
      <c r="AZ61" s="26">
        <f t="shared" si="40"/>
        <v>532.87637858107132</v>
      </c>
      <c r="BA61">
        <f t="shared" si="41"/>
        <v>41.146347354818218</v>
      </c>
      <c r="BB61">
        <f t="shared" si="42"/>
        <v>4724.274749213796</v>
      </c>
      <c r="BC61">
        <f t="shared" si="43"/>
        <v>0</v>
      </c>
    </row>
    <row r="62" spans="1:55" x14ac:dyDescent="0.2">
      <c r="A62" s="3">
        <f t="shared" si="11"/>
        <v>44651</v>
      </c>
      <c r="B62">
        <f t="shared" si="2"/>
        <v>64</v>
      </c>
      <c r="C62">
        <f t="shared" si="46"/>
        <v>5.25</v>
      </c>
      <c r="D62">
        <f t="shared" si="47"/>
        <v>0</v>
      </c>
      <c r="E62">
        <f t="shared" si="5"/>
        <v>61</v>
      </c>
      <c r="F62">
        <f>IF(C62&gt;=$T$2,0,VLOOKUP($E62,'Mortality Table'!$A$3:$C$128,2+AF$2,FALSE))</f>
        <v>6.4713000000000001E-3</v>
      </c>
      <c r="G62">
        <f>F62*Assumptions!$B$1</f>
        <v>6.4713000000000001E-3</v>
      </c>
      <c r="H62">
        <f t="shared" si="12"/>
        <v>5.4088114077910365E-4</v>
      </c>
      <c r="I62">
        <f t="shared" si="49"/>
        <v>2.9499672938968418E-4</v>
      </c>
      <c r="J62">
        <f>IF(B62&gt;$AJ$2,0,HLOOKUP(C62,Assumptions!$A$6:$J$7,2,TRUE))</f>
        <v>6.54E-2</v>
      </c>
      <c r="K62" s="4">
        <f t="shared" si="48"/>
        <v>1</v>
      </c>
      <c r="L62" s="4">
        <f t="shared" si="14"/>
        <v>8.3333333333333329E-2</v>
      </c>
      <c r="M62" s="4">
        <f t="shared" si="50"/>
        <v>5.6205327631602131E-3</v>
      </c>
      <c r="N62">
        <f t="shared" si="15"/>
        <v>3.0732478074741052E-3</v>
      </c>
      <c r="O62" s="21">
        <f t="shared" si="51"/>
        <v>0.54139281521263327</v>
      </c>
      <c r="P62">
        <f>IF(B62&gt;$AJ$2,0,HLOOKUP(C62,Assumptions!$A$12:$J$13,2,TRUE))</f>
        <v>4.7E-2</v>
      </c>
      <c r="Q62">
        <f t="shared" si="52"/>
        <v>2.176266787495479E-3</v>
      </c>
      <c r="R62">
        <f t="shared" si="16"/>
        <v>9.7209472020134496E-2</v>
      </c>
      <c r="S62">
        <f t="shared" si="44"/>
        <v>5.1574833181995596E-5</v>
      </c>
      <c r="T62">
        <f t="shared" si="45"/>
        <v>5.3730169593857674E-4</v>
      </c>
      <c r="U62">
        <f t="shared" si="17"/>
        <v>3477.8222229000007</v>
      </c>
      <c r="V62">
        <f t="shared" si="18"/>
        <v>1410.2</v>
      </c>
      <c r="W62">
        <f t="shared" si="19"/>
        <v>0.12</v>
      </c>
      <c r="X62">
        <f t="shared" si="9"/>
        <v>158.51256573032225</v>
      </c>
      <c r="Y62">
        <f t="shared" si="20"/>
        <v>151.62562967933337</v>
      </c>
      <c r="Z62">
        <f t="shared" si="21"/>
        <v>7956.0317237840054</v>
      </c>
      <c r="AA62">
        <f t="shared" si="22"/>
        <v>0</v>
      </c>
      <c r="AB62">
        <f t="shared" si="23"/>
        <v>8097.0452039102993</v>
      </c>
      <c r="AC62" s="23">
        <f>IF(B62&gt;$AJ$2,0,HLOOKUP(YEAR(A62),Assumptions!$A$25:$AL$29,4,TRUE)/100)</f>
        <v>6.1709999999999994E-3</v>
      </c>
      <c r="AD62">
        <f t="shared" si="24"/>
        <v>128.80282279021731</v>
      </c>
      <c r="AE62">
        <f t="shared" si="25"/>
        <v>3854.6077081006551</v>
      </c>
      <c r="AF62">
        <f t="shared" si="26"/>
        <v>3760.6848224638102</v>
      </c>
      <c r="AG62">
        <f t="shared" si="27"/>
        <v>3950.0794523439467</v>
      </c>
      <c r="AH62">
        <f t="shared" si="28"/>
        <v>89.408120022066413</v>
      </c>
      <c r="AI62">
        <f t="shared" si="29"/>
        <v>88.505978680756186</v>
      </c>
      <c r="AJ62">
        <f t="shared" si="30"/>
        <v>0</v>
      </c>
      <c r="AK62">
        <f t="shared" si="31"/>
        <v>2.5835211223508288</v>
      </c>
      <c r="AL62">
        <f t="shared" si="32"/>
        <v>26.965826437309058</v>
      </c>
      <c r="AM62">
        <f t="shared" si="10"/>
        <v>0</v>
      </c>
      <c r="AN62">
        <f>IF($S$2=0,0,(SUMPRODUCT($K$2:$R$2,Assumptions!$B$34:$I$34)/$U$2+$J$2/$U$2*Assumptions!$A$34*G62)*K62*O61)</f>
        <v>11.807351629051174</v>
      </c>
      <c r="AO62">
        <f t="shared" si="33"/>
        <v>0</v>
      </c>
      <c r="AP62">
        <f t="shared" si="34"/>
        <v>0</v>
      </c>
      <c r="AQ62">
        <f>IF(B62&gt;$AJ$2,0,AQ61*(1+Assumptions!$B$43)^(1/12))</f>
        <v>1.0431958208821024</v>
      </c>
      <c r="AR62" s="27">
        <f>IF(B62&gt;$AJ$2,0,(O61+R61)*Assumptions!$B$39/12*AQ61+AV62*Assumptions!$B$41/12)</f>
        <v>9.0027389270708653</v>
      </c>
      <c r="AS62">
        <f t="shared" si="35"/>
        <v>82.929716531302674</v>
      </c>
      <c r="AT62" s="28">
        <f t="shared" si="36"/>
        <v>4760.4670319890347</v>
      </c>
      <c r="AU62">
        <f t="shared" si="37"/>
        <v>14.512263232884916</v>
      </c>
      <c r="AV62" s="28">
        <f t="shared" si="38"/>
        <v>4787.7740663802433</v>
      </c>
      <c r="AW62" s="28">
        <f t="shared" si="39"/>
        <v>4854.3541766521921</v>
      </c>
      <c r="AX62" s="23">
        <f>HLOOKUP(YEAR(A62),Assumptions!$A$25:$AL$29,2,TRUE)/100</f>
        <v>1.2171000000000001E-2</v>
      </c>
      <c r="AY62" s="29">
        <f>1/(1+HLOOKUP(YEAR(A62),Assumptions!$A$18:$AL$20,3,TRUE))^(1/12)</f>
        <v>0.99891140865959827</v>
      </c>
      <c r="AZ62" s="26">
        <f t="shared" si="40"/>
        <v>641.61022297009151</v>
      </c>
      <c r="BA62">
        <f t="shared" si="41"/>
        <v>41.356699188711062</v>
      </c>
      <c r="BB62">
        <f t="shared" si="42"/>
        <v>4778.1580782718311</v>
      </c>
      <c r="BC62">
        <f t="shared" si="43"/>
        <v>0</v>
      </c>
    </row>
    <row r="63" spans="1:55" x14ac:dyDescent="0.2">
      <c r="A63" s="3">
        <f t="shared" si="11"/>
        <v>44681</v>
      </c>
      <c r="B63">
        <f t="shared" si="2"/>
        <v>65</v>
      </c>
      <c r="C63">
        <f t="shared" si="46"/>
        <v>5.333333333333333</v>
      </c>
      <c r="D63">
        <f t="shared" si="47"/>
        <v>0</v>
      </c>
      <c r="E63">
        <f t="shared" si="5"/>
        <v>61</v>
      </c>
      <c r="F63">
        <f>IF(C63&gt;=$T$2,0,VLOOKUP($E63,'Mortality Table'!$A$3:$C$128,2+AF$2,FALSE))</f>
        <v>6.4713000000000001E-3</v>
      </c>
      <c r="G63">
        <f>F63*Assumptions!$B$1</f>
        <v>6.4713000000000001E-3</v>
      </c>
      <c r="H63">
        <f t="shared" si="12"/>
        <v>5.4088114077910365E-4</v>
      </c>
      <c r="I63">
        <f t="shared" si="49"/>
        <v>2.9200623554808417E-4</v>
      </c>
      <c r="J63">
        <f>IF(B63&gt;$AJ$2,0,HLOOKUP(C63,Assumptions!$A$6:$J$7,2,TRUE))</f>
        <v>6.54E-2</v>
      </c>
      <c r="K63" s="4">
        <f t="shared" si="48"/>
        <v>1</v>
      </c>
      <c r="L63" s="4">
        <f t="shared" si="14"/>
        <v>8.3333333333333329E-2</v>
      </c>
      <c r="M63" s="4">
        <f t="shared" si="50"/>
        <v>5.6205327631602131E-3</v>
      </c>
      <c r="N63">
        <f t="shared" si="15"/>
        <v>3.0420931276884133E-3</v>
      </c>
      <c r="O63" s="21">
        <f t="shared" si="51"/>
        <v>0.53590451070454781</v>
      </c>
      <c r="P63">
        <f>IF(B63&gt;$AJ$2,0,HLOOKUP(C63,Assumptions!$A$12:$J$13,2,TRUE))</f>
        <v>4.7E-2</v>
      </c>
      <c r="Q63">
        <f t="shared" si="52"/>
        <v>2.1542051448489707E-3</v>
      </c>
      <c r="R63">
        <f t="shared" si="16"/>
        <v>9.8765024893184117E-2</v>
      </c>
      <c r="S63">
        <f t="shared" si="44"/>
        <v>5.2431009770729439E-5</v>
      </c>
      <c r="T63">
        <f t="shared" si="45"/>
        <v>5.4622126202861674E-4</v>
      </c>
      <c r="U63">
        <f t="shared" si="17"/>
        <v>3477.8222229000007</v>
      </c>
      <c r="V63">
        <f t="shared" si="18"/>
        <v>1410.2</v>
      </c>
      <c r="W63">
        <f t="shared" si="19"/>
        <v>0.12</v>
      </c>
      <c r="X63">
        <f t="shared" si="9"/>
        <v>156.90566367207413</v>
      </c>
      <c r="Y63">
        <f t="shared" si="20"/>
        <v>151.62562967933337</v>
      </c>
      <c r="Z63">
        <f t="shared" si="21"/>
        <v>8107.6573534633389</v>
      </c>
      <c r="AA63">
        <f t="shared" si="22"/>
        <v>0</v>
      </c>
      <c r="AB63">
        <f t="shared" si="23"/>
        <v>8252.9007620311731</v>
      </c>
      <c r="AC63" s="23">
        <f>IF(B63&gt;$AJ$2,0,HLOOKUP(YEAR(A63),Assumptions!$A$25:$AL$29,4,TRUE)/100)</f>
        <v>6.1709999999999994E-3</v>
      </c>
      <c r="AD63">
        <f t="shared" si="24"/>
        <v>128.80282279021731</v>
      </c>
      <c r="AE63">
        <f t="shared" si="25"/>
        <v>3947.3727475186797</v>
      </c>
      <c r="AF63">
        <f t="shared" si="26"/>
        <v>3854.6077081006551</v>
      </c>
      <c r="AG63">
        <f t="shared" si="27"/>
        <v>4045.9115065110605</v>
      </c>
      <c r="AH63">
        <f t="shared" si="28"/>
        <v>90.267374312486822</v>
      </c>
      <c r="AI63">
        <f t="shared" si="29"/>
        <v>89.408120022066413</v>
      </c>
      <c r="AJ63">
        <f t="shared" si="30"/>
        <v>0</v>
      </c>
      <c r="AK63">
        <f t="shared" si="31"/>
        <v>2.6118864627297249</v>
      </c>
      <c r="AL63">
        <f t="shared" si="32"/>
        <v>27.261523781624241</v>
      </c>
      <c r="AM63">
        <f t="shared" si="10"/>
        <v>0</v>
      </c>
      <c r="AN63">
        <f>IF($S$2=0,0,(SUMPRODUCT($K$2:$R$2,Assumptions!$B$34:$I$34)/$U$2+$J$2/$U$2*Assumptions!$A$34*G63)*K63*O62)</f>
        <v>11.687656022915691</v>
      </c>
      <c r="AO63">
        <f t="shared" si="33"/>
        <v>0</v>
      </c>
      <c r="AP63">
        <f t="shared" si="34"/>
        <v>0</v>
      </c>
      <c r="AQ63">
        <f>IF(B63&gt;$AJ$2,0,AQ62*(1+Assumptions!$B$43)^(1/12))</f>
        <v>1.0440611915762508</v>
      </c>
      <c r="AR63" s="27">
        <f>IF(B63&gt;$AJ$2,0,(O62+R62)*Assumptions!$B$39/12*AQ62+AV63*Assumptions!$B$41/12)</f>
        <v>8.9734262905405089</v>
      </c>
      <c r="AS63">
        <f t="shared" si="35"/>
        <v>82.089026510482498</v>
      </c>
      <c r="AT63" s="28">
        <f t="shared" si="36"/>
        <v>4812.7337878350309</v>
      </c>
      <c r="AU63">
        <f t="shared" si="37"/>
        <v>19.46589916931336</v>
      </c>
      <c r="AV63" s="28">
        <f t="shared" si="38"/>
        <v>4845.3806657094865</v>
      </c>
      <c r="AW63" s="28">
        <f t="shared" si="39"/>
        <v>4911.2238765805378</v>
      </c>
      <c r="AX63" s="23">
        <f>HLOOKUP(YEAR(A63),Assumptions!$A$25:$AL$29,2,TRUE)/100</f>
        <v>1.2171000000000001E-2</v>
      </c>
      <c r="AY63" s="29">
        <f>1/(1+HLOOKUP(YEAR(A63),Assumptions!$A$18:$AL$20,3,TRUE))^(1/12)</f>
        <v>0.99891140865959827</v>
      </c>
      <c r="AZ63" s="26">
        <f t="shared" si="40"/>
        <v>748.68060657365481</v>
      </c>
      <c r="BA63">
        <f t="shared" si="41"/>
        <v>41.561066267269659</v>
      </c>
      <c r="BB63">
        <f t="shared" si="42"/>
        <v>4830.8684024766017</v>
      </c>
      <c r="BC63">
        <f t="shared" si="43"/>
        <v>0</v>
      </c>
    </row>
    <row r="64" spans="1:55" x14ac:dyDescent="0.2">
      <c r="A64" s="3">
        <f t="shared" si="11"/>
        <v>44712</v>
      </c>
      <c r="B64">
        <f t="shared" si="2"/>
        <v>66</v>
      </c>
      <c r="C64">
        <f t="shared" si="46"/>
        <v>5.416666666666667</v>
      </c>
      <c r="D64">
        <f t="shared" si="47"/>
        <v>0</v>
      </c>
      <c r="E64">
        <f t="shared" si="5"/>
        <v>61</v>
      </c>
      <c r="F64">
        <f>IF(C64&gt;=$T$2,0,VLOOKUP($E64,'Mortality Table'!$A$3:$C$128,2+AF$2,FALSE))</f>
        <v>6.4713000000000001E-3</v>
      </c>
      <c r="G64">
        <f>F64*Assumptions!$B$1</f>
        <v>6.4713000000000001E-3</v>
      </c>
      <c r="H64">
        <f t="shared" si="12"/>
        <v>5.4088114077910365E-4</v>
      </c>
      <c r="I64">
        <f t="shared" si="49"/>
        <v>2.8904605747790015E-4</v>
      </c>
      <c r="J64">
        <f>IF(B64&gt;$AJ$2,0,HLOOKUP(C64,Assumptions!$A$6:$J$7,2,TRUE))</f>
        <v>6.54E-2</v>
      </c>
      <c r="K64" s="4">
        <f t="shared" si="48"/>
        <v>1</v>
      </c>
      <c r="L64" s="4">
        <f t="shared" si="14"/>
        <v>8.3333333333333329E-2</v>
      </c>
      <c r="M64" s="4">
        <f t="shared" si="50"/>
        <v>5.6205327631602131E-3</v>
      </c>
      <c r="N64">
        <f t="shared" si="15"/>
        <v>3.0112542747196113E-3</v>
      </c>
      <c r="O64" s="21">
        <f t="shared" si="51"/>
        <v>0.53047184322290064</v>
      </c>
      <c r="P64">
        <f>IF(B64&gt;$AJ$2,0,HLOOKUP(C64,Assumptions!$A$12:$J$13,2,TRUE))</f>
        <v>4.7E-2</v>
      </c>
      <c r="Q64">
        <f t="shared" si="52"/>
        <v>2.1323671494496931E-3</v>
      </c>
      <c r="R64">
        <f t="shared" si="16"/>
        <v>0.10028916009467737</v>
      </c>
      <c r="S64">
        <f t="shared" si="44"/>
        <v>5.3270014511634295E-5</v>
      </c>
      <c r="T64">
        <f t="shared" si="45"/>
        <v>5.5496193344480775E-4</v>
      </c>
      <c r="U64">
        <f t="shared" si="17"/>
        <v>3477.8222229000007</v>
      </c>
      <c r="V64">
        <f t="shared" si="18"/>
        <v>1410.2</v>
      </c>
      <c r="W64">
        <f t="shared" si="19"/>
        <v>0.12</v>
      </c>
      <c r="X64">
        <f t="shared" si="9"/>
        <v>155.3150513900523</v>
      </c>
      <c r="Y64">
        <f t="shared" si="20"/>
        <v>151.62562967933337</v>
      </c>
      <c r="Z64">
        <f t="shared" si="21"/>
        <v>8259.2829831426716</v>
      </c>
      <c r="AA64">
        <f t="shared" si="22"/>
        <v>0</v>
      </c>
      <c r="AB64">
        <f t="shared" si="23"/>
        <v>8408.8362430719153</v>
      </c>
      <c r="AC64" s="23">
        <f>IF(B64&gt;$AJ$2,0,HLOOKUP(YEAR(A64),Assumptions!$A$25:$AL$29,4,TRUE)/100)</f>
        <v>6.1709999999999994E-3</v>
      </c>
      <c r="AD64">
        <f t="shared" si="24"/>
        <v>128.80282279021731</v>
      </c>
      <c r="AE64">
        <f t="shared" si="25"/>
        <v>4039.0534010323831</v>
      </c>
      <c r="AF64">
        <f t="shared" si="26"/>
        <v>3947.3727475186797</v>
      </c>
      <c r="AG64">
        <f t="shared" si="27"/>
        <v>4140.7074746737007</v>
      </c>
      <c r="AH64">
        <f t="shared" si="28"/>
        <v>91.086722329218148</v>
      </c>
      <c r="AI64">
        <f t="shared" si="29"/>
        <v>90.267374312486822</v>
      </c>
      <c r="AJ64">
        <f t="shared" si="30"/>
        <v>0</v>
      </c>
      <c r="AK64">
        <f t="shared" si="31"/>
        <v>2.6396282798739397</v>
      </c>
      <c r="AL64">
        <f t="shared" si="32"/>
        <v>27.55072978808904</v>
      </c>
      <c r="AM64">
        <f t="shared" si="10"/>
        <v>0</v>
      </c>
      <c r="AN64">
        <f>IF($S$2=0,0,(SUMPRODUCT($K$2:$R$2,Assumptions!$B$34:$I$34)/$U$2+$J$2/$U$2*Assumptions!$A$34*G64)*K64*O63)</f>
        <v>11.569173816582149</v>
      </c>
      <c r="AO64">
        <f t="shared" si="33"/>
        <v>0</v>
      </c>
      <c r="AP64">
        <f t="shared" si="34"/>
        <v>0</v>
      </c>
      <c r="AQ64">
        <f>IF(B64&gt;$AJ$2,0,AQ63*(1+Assumptions!$B$43)^(1/12))</f>
        <v>1.0449272801283729</v>
      </c>
      <c r="AR64" s="27">
        <f>IF(B64&gt;$AJ$2,0,(O63+R63)*Assumptions!$B$39/12*AQ63+AV64*Assumptions!$B$41/12)</f>
        <v>8.9440916659035956</v>
      </c>
      <c r="AS64">
        <f t="shared" si="35"/>
        <v>81.256858883572107</v>
      </c>
      <c r="AT64" s="28">
        <f t="shared" si="36"/>
        <v>4863.8516226303318</v>
      </c>
      <c r="AU64">
        <f t="shared" si="37"/>
        <v>24.475794382976598</v>
      </c>
      <c r="AV64" s="28">
        <f t="shared" si="38"/>
        <v>4901.8873720713336</v>
      </c>
      <c r="AW64" s="28">
        <f t="shared" si="39"/>
        <v>4967.0014729119102</v>
      </c>
      <c r="AX64" s="23">
        <f>HLOOKUP(YEAR(A64),Assumptions!$A$25:$AL$29,2,TRUE)/100</f>
        <v>1.2171000000000001E-2</v>
      </c>
      <c r="AY64" s="29">
        <f>1/(1+HLOOKUP(YEAR(A64),Assumptions!$A$18:$AL$20,3,TRUE))^(1/12)</f>
        <v>0.99891140865959827</v>
      </c>
      <c r="AZ64" s="26">
        <f t="shared" si="40"/>
        <v>854.10792981497025</v>
      </c>
      <c r="BA64">
        <f t="shared" si="41"/>
        <v>41.759531884545126</v>
      </c>
      <c r="BB64">
        <f t="shared" si="42"/>
        <v>4882.4214729020205</v>
      </c>
      <c r="BC64">
        <f t="shared" si="43"/>
        <v>0</v>
      </c>
    </row>
    <row r="65" spans="1:58" x14ac:dyDescent="0.2">
      <c r="A65" s="3">
        <f t="shared" si="11"/>
        <v>44742</v>
      </c>
      <c r="B65">
        <f t="shared" si="2"/>
        <v>67</v>
      </c>
      <c r="C65">
        <f t="shared" si="46"/>
        <v>5.5</v>
      </c>
      <c r="D65">
        <f t="shared" si="47"/>
        <v>0</v>
      </c>
      <c r="E65">
        <f t="shared" si="5"/>
        <v>61</v>
      </c>
      <c r="F65">
        <f>IF(C65&gt;=$T$2,0,VLOOKUP($E65,'Mortality Table'!$A$3:$C$128,2+AF$2,FALSE))</f>
        <v>6.4713000000000001E-3</v>
      </c>
      <c r="G65">
        <f>F65*Assumptions!$B$1</f>
        <v>6.4713000000000001E-3</v>
      </c>
      <c r="H65">
        <f t="shared" si="12"/>
        <v>5.4088114077910365E-4</v>
      </c>
      <c r="I65">
        <f t="shared" si="49"/>
        <v>2.8611588785664794E-4</v>
      </c>
      <c r="J65">
        <f>IF(B65&gt;$AJ$2,0,HLOOKUP(C65,Assumptions!$A$6:$J$7,2,TRUE))</f>
        <v>6.54E-2</v>
      </c>
      <c r="K65" s="4">
        <f t="shared" si="48"/>
        <v>1</v>
      </c>
      <c r="L65" s="4">
        <f t="shared" si="14"/>
        <v>8.3333333333333329E-2</v>
      </c>
      <c r="M65" s="4">
        <f t="shared" si="50"/>
        <v>5.6205327631602131E-3</v>
      </c>
      <c r="N65">
        <f t="shared" si="15"/>
        <v>2.980728046911353E-3</v>
      </c>
      <c r="O65" s="21">
        <f t="shared" si="51"/>
        <v>0.52509424875403199</v>
      </c>
      <c r="P65">
        <f>IF(B65&gt;$AJ$2,0,HLOOKUP(C65,Assumptions!$A$12:$J$13,2,TRUE))</f>
        <v>4.7E-2</v>
      </c>
      <c r="Q65">
        <f t="shared" si="52"/>
        <v>2.1107505341005925E-3</v>
      </c>
      <c r="R65">
        <f t="shared" si="16"/>
        <v>0.10178229248643179</v>
      </c>
      <c r="S65">
        <f t="shared" si="44"/>
        <v>5.4092073781998946E-5</v>
      </c>
      <c r="T65">
        <f t="shared" si="45"/>
        <v>5.6352606856416559E-4</v>
      </c>
      <c r="U65">
        <f t="shared" si="17"/>
        <v>3477.8222229000007</v>
      </c>
      <c r="V65">
        <f t="shared" si="18"/>
        <v>1410.2</v>
      </c>
      <c r="W65">
        <f t="shared" si="19"/>
        <v>0.12</v>
      </c>
      <c r="X65">
        <f t="shared" si="9"/>
        <v>153.74056374861073</v>
      </c>
      <c r="Y65">
        <f t="shared" si="20"/>
        <v>151.62562967933337</v>
      </c>
      <c r="Z65">
        <f t="shared" si="21"/>
        <v>8410.9086128220042</v>
      </c>
      <c r="AA65">
        <f t="shared" si="22"/>
        <v>0</v>
      </c>
      <c r="AB65">
        <f t="shared" si="23"/>
        <v>8564.8516880170991</v>
      </c>
      <c r="AC65" s="23">
        <f>IF(B65&gt;$AJ$2,0,HLOOKUP(YEAR(A65),Assumptions!$A$25:$AL$29,4,TRUE)/100)</f>
        <v>6.1709999999999994E-3</v>
      </c>
      <c r="AD65">
        <f t="shared" si="24"/>
        <v>128.80282279021731</v>
      </c>
      <c r="AE65">
        <f t="shared" si="25"/>
        <v>4129.716477073096</v>
      </c>
      <c r="AF65">
        <f t="shared" si="26"/>
        <v>4039.0534010323831</v>
      </c>
      <c r="AG65">
        <f t="shared" si="27"/>
        <v>4234.5342403765681</v>
      </c>
      <c r="AH65">
        <f t="shared" si="28"/>
        <v>91.868874875083222</v>
      </c>
      <c r="AI65">
        <f t="shared" si="29"/>
        <v>91.086722329218148</v>
      </c>
      <c r="AJ65">
        <f t="shared" si="30"/>
        <v>0</v>
      </c>
      <c r="AK65">
        <f t="shared" si="31"/>
        <v>2.6667549637226307</v>
      </c>
      <c r="AL65">
        <f t="shared" si="32"/>
        <v>27.833530785150394</v>
      </c>
      <c r="AM65">
        <f t="shared" si="10"/>
        <v>0</v>
      </c>
      <c r="AN65">
        <f>IF($S$2=0,0,(SUMPRODUCT($K$2:$R$2,Assumptions!$B$34:$I$34)/$U$2+$J$2/$U$2*Assumptions!$A$34*G65)*K65*O64)</f>
        <v>11.451892709356088</v>
      </c>
      <c r="AO65">
        <f t="shared" si="33"/>
        <v>0</v>
      </c>
      <c r="AP65">
        <f t="shared" si="34"/>
        <v>0</v>
      </c>
      <c r="AQ65">
        <f>IF(B65&gt;$AJ$2,0,AQ64*(1+Assumptions!$B$43)^(1/12))</f>
        <v>1.0457940871339595</v>
      </c>
      <c r="AR65" s="27">
        <f>IF(B65&gt;$AJ$2,0,(O64+R64)*Assumptions!$B$39/12*AQ64+AV65*Assumptions!$B$41/12)</f>
        <v>8.9147371052918345</v>
      </c>
      <c r="AS65">
        <f t="shared" si="35"/>
        <v>80.433127255828921</v>
      </c>
      <c r="AT65" s="28">
        <f t="shared" si="36"/>
        <v>4913.8359959074405</v>
      </c>
      <c r="AU65">
        <f t="shared" si="37"/>
        <v>29.540861848682006</v>
      </c>
      <c r="AV65" s="28">
        <f t="shared" si="38"/>
        <v>4957.3086515597815</v>
      </c>
      <c r="AW65" s="28">
        <f t="shared" si="39"/>
        <v>5021.7013509472708</v>
      </c>
      <c r="AX65" s="23">
        <f>HLOOKUP(YEAR(A65),Assumptions!$A$25:$AL$29,2,TRUE)/100</f>
        <v>1.2171000000000001E-2</v>
      </c>
      <c r="AY65" s="29">
        <f>1/(1+HLOOKUP(YEAR(A65),Assumptions!$A$18:$AL$20,3,TRUE))^(1/12)</f>
        <v>0.99891140865959827</v>
      </c>
      <c r="AZ65" s="26">
        <f t="shared" si="40"/>
        <v>957.91236574370259</v>
      </c>
      <c r="BA65">
        <f t="shared" si="41"/>
        <v>41.952178458229113</v>
      </c>
      <c r="BB65">
        <f t="shared" si="42"/>
        <v>4932.8328571768052</v>
      </c>
      <c r="BC65">
        <f t="shared" si="43"/>
        <v>0</v>
      </c>
    </row>
    <row r="66" spans="1:58" x14ac:dyDescent="0.2">
      <c r="A66" s="3">
        <f t="shared" si="11"/>
        <v>44773</v>
      </c>
      <c r="B66">
        <f t="shared" si="2"/>
        <v>68</v>
      </c>
      <c r="C66">
        <f t="shared" si="46"/>
        <v>5.583333333333333</v>
      </c>
      <c r="D66">
        <f t="shared" si="47"/>
        <v>0</v>
      </c>
      <c r="E66">
        <f t="shared" si="5"/>
        <v>61</v>
      </c>
      <c r="F66">
        <f>IF(C66&gt;=$T$2,0,VLOOKUP($E66,'Mortality Table'!$A$3:$C$128,2+AF$2,FALSE))</f>
        <v>6.4713000000000001E-3</v>
      </c>
      <c r="G66">
        <f>F66*Assumptions!$B$1</f>
        <v>6.4713000000000001E-3</v>
      </c>
      <c r="H66">
        <f t="shared" si="12"/>
        <v>5.4088114077910365E-4</v>
      </c>
      <c r="I66">
        <f t="shared" si="49"/>
        <v>2.8321542247728787E-4</v>
      </c>
      <c r="J66">
        <f>IF(B66&gt;$AJ$2,0,HLOOKUP(C66,Assumptions!$A$6:$J$7,2,TRUE))</f>
        <v>6.54E-2</v>
      </c>
      <c r="K66" s="4">
        <f t="shared" si="48"/>
        <v>1</v>
      </c>
      <c r="L66" s="4">
        <f t="shared" si="14"/>
        <v>8.3333333333333329E-2</v>
      </c>
      <c r="M66" s="4">
        <f t="shared" si="50"/>
        <v>5.6205327631602131E-3</v>
      </c>
      <c r="N66">
        <f t="shared" si="15"/>
        <v>2.9505112750636965E-3</v>
      </c>
      <c r="O66" s="21">
        <f t="shared" si="51"/>
        <v>0.5197711690019029</v>
      </c>
      <c r="P66">
        <f>IF(B66&gt;$AJ$2,0,HLOOKUP(C66,Assumptions!$A$12:$J$13,2,TRUE))</f>
        <v>4.7E-2</v>
      </c>
      <c r="Q66">
        <f t="shared" si="52"/>
        <v>2.0893530545880532E-3</v>
      </c>
      <c r="R66">
        <f t="shared" si="16"/>
        <v>0.10324483213117717</v>
      </c>
      <c r="S66">
        <f t="shared" si="44"/>
        <v>5.4897411342158245E-5</v>
      </c>
      <c r="T66">
        <f t="shared" si="45"/>
        <v>5.7191599850053019E-4</v>
      </c>
      <c r="U66">
        <f t="shared" si="17"/>
        <v>3477.8222229000007</v>
      </c>
      <c r="V66">
        <f t="shared" si="18"/>
        <v>1410.2</v>
      </c>
      <c r="W66">
        <f t="shared" si="19"/>
        <v>0.12</v>
      </c>
      <c r="X66">
        <f t="shared" si="9"/>
        <v>152.18203728614611</v>
      </c>
      <c r="Y66">
        <f t="shared" si="20"/>
        <v>151.62562967933337</v>
      </c>
      <c r="Z66">
        <f t="shared" si="21"/>
        <v>8562.5342425013368</v>
      </c>
      <c r="AA66">
        <f t="shared" si="22"/>
        <v>0</v>
      </c>
      <c r="AB66">
        <f t="shared" si="23"/>
        <v>8720.9471378723101</v>
      </c>
      <c r="AC66" s="23">
        <f>IF(B66&gt;$AJ$2,0,HLOOKUP(YEAR(A66),Assumptions!$A$25:$AL$29,4,TRUE)/100)</f>
        <v>6.1709999999999994E-3</v>
      </c>
      <c r="AD66">
        <f t="shared" si="24"/>
        <v>128.80282279021731</v>
      </c>
      <c r="AE66">
        <f t="shared" si="25"/>
        <v>4219.4228686420438</v>
      </c>
      <c r="AF66">
        <f t="shared" si="26"/>
        <v>4129.716477073096</v>
      </c>
      <c r="AG66">
        <f t="shared" si="27"/>
        <v>4327.4527605367857</v>
      </c>
      <c r="AH66">
        <f t="shared" si="28"/>
        <v>92.61630266688239</v>
      </c>
      <c r="AI66">
        <f t="shared" si="29"/>
        <v>91.868874875083222</v>
      </c>
      <c r="AJ66">
        <f t="shared" si="30"/>
        <v>0</v>
      </c>
      <c r="AK66">
        <f t="shared" si="31"/>
        <v>2.6932748064209879</v>
      </c>
      <c r="AL66">
        <f t="shared" si="32"/>
        <v>28.110012194754297</v>
      </c>
      <c r="AM66">
        <f t="shared" si="10"/>
        <v>0</v>
      </c>
      <c r="AN66">
        <f>IF($S$2=0,0,(SUMPRODUCT($K$2:$R$2,Assumptions!$B$34:$I$34)/$U$2+$J$2/$U$2*Assumptions!$A$34*G66)*K66*O65)</f>
        <v>11.335800525239854</v>
      </c>
      <c r="AO66">
        <f t="shared" si="33"/>
        <v>0</v>
      </c>
      <c r="AP66">
        <f t="shared" si="34"/>
        <v>0</v>
      </c>
      <c r="AQ66">
        <f>IF(B66&gt;$AJ$2,0,AQ65*(1+Assumptions!$B$43)^(1/12))</f>
        <v>1.046661613188995</v>
      </c>
      <c r="AR66" s="27">
        <f>IF(B66&gt;$AJ$2,0,(O65+R65)*Assumptions!$B$39/12*AQ65+AV66*Assumptions!$B$41/12)</f>
        <v>8.8853646296931199</v>
      </c>
      <c r="AS66">
        <f t="shared" si="35"/>
        <v>79.617746108326614</v>
      </c>
      <c r="AT66" s="28">
        <f t="shared" si="36"/>
        <v>4962.7021870010103</v>
      </c>
      <c r="AU66">
        <f t="shared" si="37"/>
        <v>34.660028883231014</v>
      </c>
      <c r="AV66" s="28">
        <f t="shared" si="38"/>
        <v>5011.6588033392081</v>
      </c>
      <c r="AW66" s="28">
        <f t="shared" si="39"/>
        <v>5075.3377298873347</v>
      </c>
      <c r="AX66" s="23">
        <f>HLOOKUP(YEAR(A66),Assumptions!$A$25:$AL$29,2,TRUE)/100</f>
        <v>1.2171000000000001E-2</v>
      </c>
      <c r="AY66" s="29">
        <f>1/(1+HLOOKUP(YEAR(A66),Assumptions!$A$18:$AL$20,3,TRUE))^(1/12)</f>
        <v>0.99891140865959827</v>
      </c>
      <c r="AZ66" s="26">
        <f t="shared" si="40"/>
        <v>1060.113862372971</v>
      </c>
      <c r="BA66">
        <f t="shared" si="41"/>
        <v>42.139087526415139</v>
      </c>
      <c r="BB66">
        <f t="shared" si="42"/>
        <v>4982.1179414905264</v>
      </c>
      <c r="BC66">
        <f t="shared" si="43"/>
        <v>0</v>
      </c>
    </row>
    <row r="67" spans="1:58" x14ac:dyDescent="0.2">
      <c r="A67" s="3">
        <f t="shared" si="11"/>
        <v>44804</v>
      </c>
      <c r="B67">
        <f t="shared" si="2"/>
        <v>69</v>
      </c>
      <c r="C67">
        <f t="shared" si="46"/>
        <v>5.666666666666667</v>
      </c>
      <c r="D67">
        <f t="shared" si="47"/>
        <v>0</v>
      </c>
      <c r="E67">
        <f t="shared" si="5"/>
        <v>61</v>
      </c>
      <c r="F67">
        <f>IF(C67&gt;=$T$2,0,VLOOKUP($E67,'Mortality Table'!$A$3:$C$128,2+AF$2,FALSE))</f>
        <v>6.4713000000000001E-3</v>
      </c>
      <c r="G67">
        <f>F67*Assumptions!$B$1</f>
        <v>6.4713000000000001E-3</v>
      </c>
      <c r="H67">
        <f t="shared" si="12"/>
        <v>5.4088114077910365E-4</v>
      </c>
      <c r="I67">
        <f t="shared" si="49"/>
        <v>2.8034436021664267E-4</v>
      </c>
      <c r="J67">
        <f>IF(B67&gt;$AJ$2,0,HLOOKUP(C67,Assumptions!$A$6:$J$7,2,TRUE))</f>
        <v>6.54E-2</v>
      </c>
      <c r="K67" s="4">
        <f t="shared" si="48"/>
        <v>1</v>
      </c>
      <c r="L67" s="4">
        <f t="shared" si="14"/>
        <v>8.3333333333333329E-2</v>
      </c>
      <c r="M67" s="4">
        <f t="shared" si="50"/>
        <v>5.6205327631602131E-3</v>
      </c>
      <c r="N67">
        <f t="shared" si="15"/>
        <v>2.9206008221040851E-3</v>
      </c>
      <c r="O67" s="21">
        <f t="shared" si="51"/>
        <v>0.51450205133013327</v>
      </c>
      <c r="P67">
        <f>IF(B67&gt;$AJ$2,0,HLOOKUP(C67,Assumptions!$A$12:$J$13,2,TRUE))</f>
        <v>4.7E-2</v>
      </c>
      <c r="Q67">
        <f t="shared" si="52"/>
        <v>2.0681724894489055E-3</v>
      </c>
      <c r="R67">
        <f t="shared" si="16"/>
        <v>0.10467718434486047</v>
      </c>
      <c r="S67">
        <f t="shared" si="44"/>
        <v>5.568624836400568E-5</v>
      </c>
      <c r="T67">
        <f t="shared" si="45"/>
        <v>5.8013402740160513E-4</v>
      </c>
      <c r="U67">
        <f t="shared" si="17"/>
        <v>3477.8222229000007</v>
      </c>
      <c r="V67">
        <f t="shared" si="18"/>
        <v>1410.2</v>
      </c>
      <c r="W67">
        <f t="shared" si="19"/>
        <v>0.12</v>
      </c>
      <c r="X67">
        <f t="shared" si="9"/>
        <v>150.63931019812748</v>
      </c>
      <c r="Y67">
        <f t="shared" si="20"/>
        <v>151.62562967933337</v>
      </c>
      <c r="Z67">
        <f t="shared" si="21"/>
        <v>8714.1598721806695</v>
      </c>
      <c r="AA67">
        <f t="shared" si="22"/>
        <v>0</v>
      </c>
      <c r="AB67">
        <f t="shared" si="23"/>
        <v>8877.1226336641648</v>
      </c>
      <c r="AC67" s="23">
        <f>IF(B67&gt;$AJ$2,0,HLOOKUP(YEAR(A67),Assumptions!$A$25:$AL$29,4,TRUE)/100)</f>
        <v>6.1709999999999994E-3</v>
      </c>
      <c r="AD67">
        <f t="shared" si="24"/>
        <v>128.80282279021731</v>
      </c>
      <c r="AE67">
        <f t="shared" si="25"/>
        <v>4308.228194045153</v>
      </c>
      <c r="AF67">
        <f t="shared" si="26"/>
        <v>4219.4228686420438</v>
      </c>
      <c r="AG67">
        <f t="shared" si="27"/>
        <v>4419.5187073856559</v>
      </c>
      <c r="AH67">
        <f t="shared" si="28"/>
        <v>93.331262339101016</v>
      </c>
      <c r="AI67">
        <f t="shared" si="29"/>
        <v>92.61630266688239</v>
      </c>
      <c r="AJ67">
        <f t="shared" si="30"/>
        <v>0</v>
      </c>
      <c r="AK67">
        <f t="shared" si="31"/>
        <v>2.7191960033900817</v>
      </c>
      <c r="AL67">
        <f t="shared" si="32"/>
        <v>28.380258531047549</v>
      </c>
      <c r="AM67">
        <f t="shared" si="10"/>
        <v>0</v>
      </c>
      <c r="AN67">
        <f>IF($S$2=0,0,(SUMPRODUCT($K$2:$R$2,Assumptions!$B$34:$I$34)/$U$2+$J$2/$U$2*Assumptions!$A$34*G67)*K67*O66)</f>
        <v>11.220885211668511</v>
      </c>
      <c r="AO67">
        <f t="shared" si="33"/>
        <v>0</v>
      </c>
      <c r="AP67">
        <f t="shared" si="34"/>
        <v>0</v>
      </c>
      <c r="AQ67">
        <f>IF(B67&gt;$AJ$2,0,AQ66*(1+Assumptions!$B$43)^(1/12))</f>
        <v>1.0475298588899582</v>
      </c>
      <c r="AR67" s="27">
        <f>IF(B67&gt;$AJ$2,0,(O66+R66)*Assumptions!$B$39/12*AQ66+AV67*Assumptions!$B$41/12)</f>
        <v>8.8559762293261972</v>
      </c>
      <c r="AS67">
        <f t="shared" si="35"/>
        <v>78.810630789076725</v>
      </c>
      <c r="AT67" s="28">
        <f t="shared" si="36"/>
        <v>5010.4652970191628</v>
      </c>
      <c r="AU67">
        <f t="shared" si="37"/>
        <v>39.832236979708888</v>
      </c>
      <c r="AV67" s="28">
        <f t="shared" si="38"/>
        <v>5064.9519614616502</v>
      </c>
      <c r="AW67" s="28">
        <f t="shared" si="39"/>
        <v>5127.9246646413749</v>
      </c>
      <c r="AX67" s="23">
        <f>HLOOKUP(YEAR(A67),Assumptions!$A$25:$AL$29,2,TRUE)/100</f>
        <v>1.2171000000000001E-2</v>
      </c>
      <c r="AY67" s="29">
        <f>1/(1+HLOOKUP(YEAR(A67),Assumptions!$A$18:$AL$20,3,TRUE))^(1/12)</f>
        <v>0.99891140865959827</v>
      </c>
      <c r="AZ67" s="26">
        <f t="shared" si="40"/>
        <v>1160.7321450030411</v>
      </c>
      <c r="BA67">
        <f t="shared" si="41"/>
        <v>42.320339746106143</v>
      </c>
      <c r="BB67">
        <f t="shared" si="42"/>
        <v>5030.2919325784187</v>
      </c>
      <c r="BC67">
        <f t="shared" si="43"/>
        <v>0</v>
      </c>
    </row>
    <row r="68" spans="1:58" x14ac:dyDescent="0.2">
      <c r="A68" s="3">
        <f t="shared" si="11"/>
        <v>44834</v>
      </c>
      <c r="B68">
        <f t="shared" si="2"/>
        <v>70</v>
      </c>
      <c r="C68">
        <f t="shared" si="46"/>
        <v>5.75</v>
      </c>
      <c r="D68">
        <f t="shared" si="47"/>
        <v>0</v>
      </c>
      <c r="E68">
        <f t="shared" si="5"/>
        <v>61</v>
      </c>
      <c r="F68">
        <f>IF(C68&gt;=$T$2,0,VLOOKUP($E68,'Mortality Table'!$A$3:$C$128,2+AF$2,FALSE))</f>
        <v>6.4713000000000001E-3</v>
      </c>
      <c r="G68">
        <f>F68*Assumptions!$B$1</f>
        <v>6.4713000000000001E-3</v>
      </c>
      <c r="H68">
        <f t="shared" si="12"/>
        <v>5.4088114077910365E-4</v>
      </c>
      <c r="I68">
        <f t="shared" si="49"/>
        <v>2.7750240300413511E-4</v>
      </c>
      <c r="J68">
        <f>IF(B68&gt;$AJ$2,0,HLOOKUP(C68,Assumptions!$A$6:$J$7,2,TRUE))</f>
        <v>6.54E-2</v>
      </c>
      <c r="K68" s="4">
        <f t="shared" si="48"/>
        <v>1</v>
      </c>
      <c r="L68" s="4">
        <f t="shared" si="14"/>
        <v>8.3333333333333329E-2</v>
      </c>
      <c r="M68" s="4">
        <f t="shared" si="50"/>
        <v>5.6205327631602131E-3</v>
      </c>
      <c r="N68">
        <f t="shared" si="15"/>
        <v>2.8909935827616555E-3</v>
      </c>
      <c r="O68" s="21">
        <f t="shared" si="51"/>
        <v>0.50928634870462763</v>
      </c>
      <c r="P68">
        <f>IF(B68&gt;$AJ$2,0,HLOOKUP(C68,Assumptions!$A$12:$J$13,2,TRUE))</f>
        <v>4.7E-2</v>
      </c>
      <c r="Q68">
        <f t="shared" si="52"/>
        <v>2.0472066397397939E-3</v>
      </c>
      <c r="R68">
        <f t="shared" si="16"/>
        <v>0.10607974974839819</v>
      </c>
      <c r="S68">
        <f t="shared" si="44"/>
        <v>5.6458803459204632E-5</v>
      </c>
      <c r="T68">
        <f t="shared" si="45"/>
        <v>5.8818243274286165E-4</v>
      </c>
      <c r="U68">
        <f t="shared" si="17"/>
        <v>3477.8222229000007</v>
      </c>
      <c r="V68">
        <f t="shared" si="18"/>
        <v>1410.2</v>
      </c>
      <c r="W68">
        <f t="shared" si="19"/>
        <v>0.12</v>
      </c>
      <c r="X68">
        <f t="shared" si="9"/>
        <v>149.11222232029786</v>
      </c>
      <c r="Y68">
        <f t="shared" si="20"/>
        <v>151.62562967933337</v>
      </c>
      <c r="Z68">
        <f t="shared" si="21"/>
        <v>8865.7855018600021</v>
      </c>
      <c r="AA68">
        <f t="shared" si="22"/>
        <v>0</v>
      </c>
      <c r="AB68">
        <f t="shared" si="23"/>
        <v>9033.3782164403165</v>
      </c>
      <c r="AC68" s="23">
        <f>IF(B68&gt;$AJ$2,0,HLOOKUP(YEAR(A68),Assumptions!$A$25:$AL$29,4,TRUE)/100)</f>
        <v>6.1709999999999994E-3</v>
      </c>
      <c r="AD68">
        <f t="shared" si="24"/>
        <v>128.80282279021731</v>
      </c>
      <c r="AE68">
        <f t="shared" si="25"/>
        <v>4396.1833561159801</v>
      </c>
      <c r="AF68">
        <f t="shared" si="26"/>
        <v>4308.228194045153</v>
      </c>
      <c r="AG68">
        <f t="shared" si="27"/>
        <v>4510.7830287450452</v>
      </c>
      <c r="AH68">
        <f t="shared" si="28"/>
        <v>94.015819139524211</v>
      </c>
      <c r="AI68">
        <f t="shared" si="29"/>
        <v>93.331262339101016</v>
      </c>
      <c r="AJ68">
        <f t="shared" si="30"/>
        <v>0</v>
      </c>
      <c r="AK68">
        <f t="shared" si="31"/>
        <v>2.7445266543853757</v>
      </c>
      <c r="AL68">
        <f t="shared" si="32"/>
        <v>28.644353400548468</v>
      </c>
      <c r="AM68">
        <f t="shared" si="10"/>
        <v>0</v>
      </c>
      <c r="AN68">
        <f>IF($S$2=0,0,(SUMPRODUCT($K$2:$R$2,Assumptions!$B$34:$I$34)/$U$2+$J$2/$U$2*Assumptions!$A$34*G68)*K68*O67)</f>
        <v>11.107134838258546</v>
      </c>
      <c r="AO68">
        <f t="shared" si="33"/>
        <v>0</v>
      </c>
      <c r="AP68">
        <f t="shared" si="34"/>
        <v>0</v>
      </c>
      <c r="AQ68">
        <f>IF(B68&gt;$AJ$2,0,AQ67*(1+Assumptions!$B$43)^(1/12))</f>
        <v>1.0483988248338232</v>
      </c>
      <c r="AR68" s="27">
        <f>IF(B68&gt;$AJ$2,0,(O67+R67)*Assumptions!$B$39/12*AQ67+AV68*Assumptions!$B$41/12)</f>
        <v>8.8265738640111753</v>
      </c>
      <c r="AS68">
        <f t="shared" si="35"/>
        <v>78.011697504240161</v>
      </c>
      <c r="AT68" s="28">
        <f t="shared" si="36"/>
        <v>5057.140250793952</v>
      </c>
      <c r="AU68">
        <f t="shared" si="37"/>
        <v>45.056441643579639</v>
      </c>
      <c r="AV68" s="28">
        <f t="shared" si="38"/>
        <v>5117.2020966648533</v>
      </c>
      <c r="AW68" s="28">
        <f t="shared" si="39"/>
        <v>5179.4760476168995</v>
      </c>
      <c r="AX68" s="23">
        <f>HLOOKUP(YEAR(A68),Assumptions!$A$25:$AL$29,2,TRUE)/100</f>
        <v>1.2171000000000001E-2</v>
      </c>
      <c r="AY68" s="29">
        <f>1/(1+HLOOKUP(YEAR(A68),Assumptions!$A$18:$AL$20,3,TRUE))^(1/12)</f>
        <v>0.99891140865959827</v>
      </c>
      <c r="AZ68" s="26">
        <f t="shared" si="40"/>
        <v>1259.786718530403</v>
      </c>
      <c r="BA68">
        <f t="shared" si="41"/>
        <v>42.496014893192388</v>
      </c>
      <c r="BB68">
        <f t="shared" si="42"/>
        <v>5077.3698596851445</v>
      </c>
      <c r="BC68">
        <f t="shared" si="43"/>
        <v>0</v>
      </c>
    </row>
    <row r="69" spans="1:58" x14ac:dyDescent="0.2">
      <c r="A69" s="3">
        <f t="shared" si="11"/>
        <v>44865</v>
      </c>
      <c r="B69">
        <f t="shared" si="2"/>
        <v>71</v>
      </c>
      <c r="C69">
        <f t="shared" si="46"/>
        <v>5.833333333333333</v>
      </c>
      <c r="D69">
        <f t="shared" si="47"/>
        <v>0</v>
      </c>
      <c r="E69">
        <f t="shared" si="5"/>
        <v>61</v>
      </c>
      <c r="F69">
        <f>IF(C69&gt;=$T$2,0,VLOOKUP($E69,'Mortality Table'!$A$3:$C$128,2+AF$2,FALSE))</f>
        <v>6.4713000000000001E-3</v>
      </c>
      <c r="G69">
        <f>F69*Assumptions!$B$1</f>
        <v>6.4713000000000001E-3</v>
      </c>
      <c r="H69">
        <f t="shared" si="12"/>
        <v>5.4088114077910365E-4</v>
      </c>
      <c r="I69">
        <f t="shared" si="49"/>
        <v>2.7468925579084228E-4</v>
      </c>
      <c r="J69">
        <f>IF(B69&gt;$AJ$2,0,HLOOKUP(C69,Assumptions!$A$6:$J$7,2,TRUE))</f>
        <v>6.54E-2</v>
      </c>
      <c r="K69" s="4">
        <f t="shared" si="48"/>
        <v>1</v>
      </c>
      <c r="L69" s="4">
        <f t="shared" si="14"/>
        <v>8.3333333333333329E-2</v>
      </c>
      <c r="M69" s="4">
        <f t="shared" si="50"/>
        <v>5.6205327631602131E-3</v>
      </c>
      <c r="N69">
        <f t="shared" si="15"/>
        <v>2.8616864832448556E-3</v>
      </c>
      <c r="O69" s="21">
        <f t="shared" si="51"/>
        <v>0.50412351963678304</v>
      </c>
      <c r="P69">
        <f>IF(B69&gt;$AJ$2,0,HLOOKUP(C69,Assumptions!$A$12:$J$13,2,TRUE))</f>
        <v>4.7E-2</v>
      </c>
      <c r="Q69">
        <f t="shared" si="52"/>
        <v>2.0264533288088878E-3</v>
      </c>
      <c r="R69">
        <f t="shared" si="16"/>
        <v>0.10745292431888165</v>
      </c>
      <c r="S69">
        <f t="shared" si="44"/>
        <v>5.7215292707101606E-5</v>
      </c>
      <c r="T69">
        <f t="shared" si="45"/>
        <v>5.9606346561833455E-4</v>
      </c>
      <c r="U69">
        <f t="shared" si="17"/>
        <v>3477.8222229000007</v>
      </c>
      <c r="V69">
        <f t="shared" si="18"/>
        <v>1410.2</v>
      </c>
      <c r="W69">
        <f t="shared" si="19"/>
        <v>0.12</v>
      </c>
      <c r="X69">
        <f t="shared" si="9"/>
        <v>147.60061511204609</v>
      </c>
      <c r="Y69">
        <f t="shared" si="20"/>
        <v>151.62562967933337</v>
      </c>
      <c r="Z69">
        <f t="shared" si="21"/>
        <v>9017.4111315393347</v>
      </c>
      <c r="AA69">
        <f t="shared" si="22"/>
        <v>0</v>
      </c>
      <c r="AB69">
        <f t="shared" si="23"/>
        <v>9189.7139272694676</v>
      </c>
      <c r="AC69" s="23">
        <f>IF(B69&gt;$AJ$2,0,HLOOKUP(YEAR(A69),Assumptions!$A$25:$AL$29,4,TRUE)/100)</f>
        <v>6.1709999999999994E-3</v>
      </c>
      <c r="AD69">
        <f t="shared" si="24"/>
        <v>128.80282279021731</v>
      </c>
      <c r="AE69">
        <f t="shared" si="25"/>
        <v>4483.3350317734958</v>
      </c>
      <c r="AF69">
        <f t="shared" si="26"/>
        <v>4396.1833561159801</v>
      </c>
      <c r="AG69">
        <f t="shared" si="27"/>
        <v>4601.2924385074339</v>
      </c>
      <c r="AH69">
        <f t="shared" si="28"/>
        <v>94.671866797548219</v>
      </c>
      <c r="AI69">
        <f t="shared" si="29"/>
        <v>94.015819139524211</v>
      </c>
      <c r="AJ69">
        <f t="shared" si="30"/>
        <v>0</v>
      </c>
      <c r="AK69">
        <f t="shared" si="31"/>
        <v>2.769274764544031</v>
      </c>
      <c r="AL69">
        <f t="shared" si="32"/>
        <v>28.902379503557263</v>
      </c>
      <c r="AM69">
        <f t="shared" si="10"/>
        <v>0</v>
      </c>
      <c r="AN69">
        <f>IF($S$2=0,0,(SUMPRODUCT($K$2:$R$2,Assumptions!$B$34:$I$34)/$U$2+$J$2/$U$2*Assumptions!$A$34*G69)*K69*O68)</f>
        <v>10.994537595569268</v>
      </c>
      <c r="AO69">
        <f t="shared" si="33"/>
        <v>0</v>
      </c>
      <c r="AP69">
        <f t="shared" si="34"/>
        <v>0</v>
      </c>
      <c r="AQ69">
        <f>IF(B69&gt;$AJ$2,0,AQ68*(1+Assumptions!$B$43)^(1/12))</f>
        <v>1.0492685116180587</v>
      </c>
      <c r="AR69" s="27">
        <f>IF(B69&gt;$AJ$2,0,(O68+R68)*Assumptions!$B$39/12*AQ68+AV69*Assumptions!$B$41/12)</f>
        <v>8.7971594635359978</v>
      </c>
      <c r="AS69">
        <f t="shared" si="35"/>
        <v>77.220863309427713</v>
      </c>
      <c r="AT69" s="28">
        <f t="shared" si="36"/>
        <v>5102.7417988111456</v>
      </c>
      <c r="AU69">
        <f t="shared" si="37"/>
        <v>50.33161223056706</v>
      </c>
      <c r="AV69" s="28">
        <f t="shared" si="38"/>
        <v>5168.4230181513904</v>
      </c>
      <c r="AW69" s="28">
        <f t="shared" si="39"/>
        <v>5230.0056104904725</v>
      </c>
      <c r="AX69" s="23">
        <f>HLOOKUP(YEAR(A69),Assumptions!$A$25:$AL$29,2,TRUE)/100</f>
        <v>1.2171000000000001E-2</v>
      </c>
      <c r="AY69" s="29">
        <f>1/(1+HLOOKUP(YEAR(A69),Assumptions!$A$18:$AL$20,3,TRUE))^(1/12)</f>
        <v>0.99891140865959827</v>
      </c>
      <c r="AZ69" s="26">
        <f t="shared" si="40"/>
        <v>1357.2968697411511</v>
      </c>
      <c r="BA69">
        <f t="shared" si="41"/>
        <v>42.666191863670562</v>
      </c>
      <c r="BB69">
        <f t="shared" si="42"/>
        <v>5123.3665765078104</v>
      </c>
      <c r="BC69">
        <f t="shared" si="43"/>
        <v>0</v>
      </c>
    </row>
    <row r="70" spans="1:58" x14ac:dyDescent="0.2">
      <c r="A70" s="3">
        <f t="shared" si="11"/>
        <v>44895</v>
      </c>
      <c r="B70">
        <f t="shared" si="2"/>
        <v>72</v>
      </c>
      <c r="C70">
        <f t="shared" si="46"/>
        <v>5.916666666666667</v>
      </c>
      <c r="D70">
        <f t="shared" si="47"/>
        <v>0</v>
      </c>
      <c r="E70">
        <f t="shared" si="5"/>
        <v>61</v>
      </c>
      <c r="F70">
        <f>IF(C70&gt;=$T$2,0,VLOOKUP($E70,'Mortality Table'!$A$3:$C$128,2+AF$2,FALSE))</f>
        <v>6.4713000000000001E-3</v>
      </c>
      <c r="G70">
        <f>F70*Assumptions!$B$1</f>
        <v>6.4713000000000001E-3</v>
      </c>
      <c r="H70">
        <f t="shared" si="12"/>
        <v>5.4088114077910365E-4</v>
      </c>
      <c r="I70">
        <f t="shared" si="49"/>
        <v>2.7190462651886452E-4</v>
      </c>
      <c r="J70">
        <f>IF(B70&gt;$AJ$2,0,HLOOKUP(C70,Assumptions!$A$6:$J$7,2,TRUE))</f>
        <v>6.54E-2</v>
      </c>
      <c r="K70" s="4">
        <f t="shared" si="48"/>
        <v>1</v>
      </c>
      <c r="L70" s="4">
        <f t="shared" si="14"/>
        <v>8.3333333333333329E-2</v>
      </c>
      <c r="M70" s="4">
        <f t="shared" si="50"/>
        <v>5.6205327631602131E-3</v>
      </c>
      <c r="N70">
        <f t="shared" si="15"/>
        <v>2.8326764809223247E-3</v>
      </c>
      <c r="O70" s="21">
        <f t="shared" si="51"/>
        <v>0.499013028127272</v>
      </c>
      <c r="P70">
        <f>IF(B70&gt;$AJ$2,0,HLOOKUP(C70,Assumptions!$A$12:$J$13,2,TRUE))</f>
        <v>4.7E-2</v>
      </c>
      <c r="Q70">
        <f t="shared" si="52"/>
        <v>2.0059104020699017E-3</v>
      </c>
      <c r="R70">
        <f t="shared" si="16"/>
        <v>0.10879709944024087</v>
      </c>
      <c r="S70">
        <f t="shared" si="44"/>
        <v>5.7955929682344336E-5</v>
      </c>
      <c r="T70">
        <f t="shared" si="45"/>
        <v>6.0377935102834607E-4</v>
      </c>
      <c r="U70">
        <f t="shared" si="17"/>
        <v>3477.8222229000007</v>
      </c>
      <c r="V70">
        <f t="shared" si="18"/>
        <v>1410.2</v>
      </c>
      <c r="W70">
        <f t="shared" si="19"/>
        <v>0.12</v>
      </c>
      <c r="X70">
        <f t="shared" si="9"/>
        <v>146.10433163994739</v>
      </c>
      <c r="Y70">
        <f t="shared" si="20"/>
        <v>151.62562967933337</v>
      </c>
      <c r="Z70">
        <f t="shared" si="21"/>
        <v>9169.0367612186674</v>
      </c>
      <c r="AA70">
        <f t="shared" si="22"/>
        <v>0</v>
      </c>
      <c r="AB70">
        <f t="shared" si="23"/>
        <v>9346.1298072413829</v>
      </c>
      <c r="AC70" s="23">
        <f>IF(B70&gt;$AJ$2,0,HLOOKUP(YEAR(A70),Assumptions!$A$25:$AL$29,4,TRUE)/100)</f>
        <v>6.1709999999999994E-3</v>
      </c>
      <c r="AD70">
        <f t="shared" si="24"/>
        <v>128.80282279021731</v>
      </c>
      <c r="AE70">
        <f t="shared" si="25"/>
        <v>4569.7261018337194</v>
      </c>
      <c r="AF70">
        <f t="shared" si="26"/>
        <v>4483.3350317734958</v>
      </c>
      <c r="AG70">
        <f t="shared" si="27"/>
        <v>4691.0898472573153</v>
      </c>
      <c r="AH70">
        <f t="shared" si="28"/>
        <v>95.301144967743284</v>
      </c>
      <c r="AI70">
        <f t="shared" si="29"/>
        <v>94.671866797548219</v>
      </c>
      <c r="AJ70">
        <f t="shared" si="30"/>
        <v>0</v>
      </c>
      <c r="AK70">
        <f t="shared" si="31"/>
        <v>2.7934482454211214</v>
      </c>
      <c r="AL70">
        <f t="shared" si="32"/>
        <v>29.154418636613919</v>
      </c>
      <c r="AM70">
        <f t="shared" si="10"/>
        <v>0</v>
      </c>
      <c r="AN70">
        <f>IF($S$2=0,0,(SUMPRODUCT($K$2:$R$2,Assumptions!$B$34:$I$34)/$U$2+$J$2/$U$2*Assumptions!$A$34*G70)*K70*O69)</f>
        <v>10.883081793876778</v>
      </c>
      <c r="AO70">
        <f t="shared" si="33"/>
        <v>0</v>
      </c>
      <c r="AP70">
        <f t="shared" si="34"/>
        <v>0</v>
      </c>
      <c r="AQ70">
        <f>IF(B70&gt;$AJ$2,0,AQ69*(1+Assumptions!$B$43)^(1/12))</f>
        <v>1.050138919840629</v>
      </c>
      <c r="AR70" s="27">
        <f>IF(B70&gt;$AJ$2,0,(O69+R69)*Assumptions!$B$39/12*AQ69+AV70*Assumptions!$B$41/12)</f>
        <v>8.7677349280188075</v>
      </c>
      <c r="AS70">
        <f t="shared" si="35"/>
        <v>76.438046101089014</v>
      </c>
      <c r="AT70" s="28">
        <f t="shared" si="36"/>
        <v>5147.2845191195811</v>
      </c>
      <c r="AU70">
        <f t="shared" si="37"/>
        <v>55.65673178630292</v>
      </c>
      <c r="AV70" s="28">
        <f t="shared" si="38"/>
        <v>5218.6283753489242</v>
      </c>
      <c r="AW70" s="28">
        <f t="shared" si="39"/>
        <v>5279.5269259597644</v>
      </c>
      <c r="AX70" s="23">
        <f>HLOOKUP(YEAR(A70),Assumptions!$A$25:$AL$29,2,TRUE)/100</f>
        <v>1.2171000000000001E-2</v>
      </c>
      <c r="AY70" s="29">
        <f>1/(1+HLOOKUP(YEAR(A70),Assumptions!$A$18:$AL$20,3,TRUE))^(1/12)</f>
        <v>0.99891140865959827</v>
      </c>
      <c r="AZ70" s="26">
        <f t="shared" si="40"/>
        <v>1453.2816695877746</v>
      </c>
      <c r="BA70">
        <f t="shared" si="41"/>
        <v>42.83094867591182</v>
      </c>
      <c r="BB70">
        <f t="shared" si="42"/>
        <v>5168.2967631183574</v>
      </c>
      <c r="BC70">
        <f t="shared" si="43"/>
        <v>0</v>
      </c>
    </row>
    <row r="71" spans="1:58" x14ac:dyDescent="0.2">
      <c r="A71" s="3">
        <f t="shared" si="11"/>
        <v>44926</v>
      </c>
      <c r="B71">
        <f t="shared" si="2"/>
        <v>73</v>
      </c>
      <c r="C71">
        <f t="shared" si="46"/>
        <v>6</v>
      </c>
      <c r="D71">
        <f t="shared" si="47"/>
        <v>1</v>
      </c>
      <c r="E71">
        <f t="shared" si="5"/>
        <v>62</v>
      </c>
      <c r="F71">
        <f>IF(C71&gt;=$T$2,0,VLOOKUP($E71,'Mortality Table'!$A$3:$C$128,2+AF$2,FALSE))</f>
        <v>6.9176000000000003E-3</v>
      </c>
      <c r="G71">
        <f>F71*Assumptions!$B$1</f>
        <v>6.9176000000000003E-3</v>
      </c>
      <c r="H71">
        <f t="shared" si="12"/>
        <v>5.7830251140866817E-4</v>
      </c>
      <c r="I71">
        <f t="shared" si="49"/>
        <v>2.8752282847748655E-4</v>
      </c>
      <c r="J71">
        <f>IF(B71&gt;$AJ$2,0,HLOOKUP(C71,Assumptions!$A$6:$J$7,2,TRUE))</f>
        <v>8.4500000000000006E-2</v>
      </c>
      <c r="K71" s="4">
        <f t="shared" si="48"/>
        <v>1</v>
      </c>
      <c r="L71" s="4">
        <f t="shared" si="14"/>
        <v>8.3333333333333329E-2</v>
      </c>
      <c r="M71" s="4">
        <f t="shared" si="50"/>
        <v>7.3300792005651649E-3</v>
      </c>
      <c r="N71">
        <f t="shared" si="15"/>
        <v>3.6567473593725965E-3</v>
      </c>
      <c r="O71" s="21">
        <f t="shared" si="51"/>
        <v>0.49472918282101674</v>
      </c>
      <c r="P71">
        <f>IF(B71&gt;$AJ$2,0,HLOOKUP(C71,Assumptions!$A$12:$J$13,2,TRUE))</f>
        <v>8.2000000000000007E-3</v>
      </c>
      <c r="Q71">
        <f t="shared" si="52"/>
        <v>3.3957511840516794E-4</v>
      </c>
      <c r="R71">
        <f t="shared" si="16"/>
        <v>0.10827672675837087</v>
      </c>
      <c r="S71">
        <f t="shared" si="44"/>
        <v>6.268704021335915E-5</v>
      </c>
      <c r="T71">
        <f t="shared" si="45"/>
        <v>7.9726076006181876E-4</v>
      </c>
      <c r="U71">
        <f t="shared" si="17"/>
        <v>3582.1568895870009</v>
      </c>
      <c r="V71">
        <f t="shared" si="18"/>
        <v>1410.2</v>
      </c>
      <c r="W71">
        <f t="shared" si="19"/>
        <v>0.12</v>
      </c>
      <c r="X71">
        <f t="shared" si="9"/>
        <v>148.96191305831493</v>
      </c>
      <c r="Y71">
        <f t="shared" si="20"/>
        <v>159.27683856971339</v>
      </c>
      <c r="Z71">
        <f t="shared" si="21"/>
        <v>9328.3135997883801</v>
      </c>
      <c r="AA71">
        <f t="shared" si="22"/>
        <v>0</v>
      </c>
      <c r="AB71">
        <f t="shared" si="23"/>
        <v>9510.2810299065059</v>
      </c>
      <c r="AC71" s="23">
        <f>IF(B71&gt;$AJ$2,0,HLOOKUP(YEAR(A71),Assumptions!$A$25:$AL$29,4,TRUE)/100)</f>
        <v>6.1709999999999994E-3</v>
      </c>
      <c r="AD71">
        <f t="shared" si="24"/>
        <v>128.80282279021731</v>
      </c>
      <c r="AE71">
        <f t="shared" si="25"/>
        <v>4584.6498805758065</v>
      </c>
      <c r="AF71">
        <f t="shared" si="26"/>
        <v>4569.7261018337194</v>
      </c>
      <c r="AG71">
        <f t="shared" si="27"/>
        <v>4708.601742161537</v>
      </c>
      <c r="AH71">
        <f t="shared" si="28"/>
        <v>95.406212201985838</v>
      </c>
      <c r="AI71">
        <f t="shared" si="29"/>
        <v>95.301144967743284</v>
      </c>
      <c r="AJ71">
        <f t="shared" si="30"/>
        <v>0</v>
      </c>
      <c r="AK71">
        <f t="shared" si="31"/>
        <v>3.011573613677347</v>
      </c>
      <c r="AL71">
        <f t="shared" si="32"/>
        <v>38.313510583203474</v>
      </c>
      <c r="AM71">
        <f t="shared" si="10"/>
        <v>0</v>
      </c>
      <c r="AN71">
        <f>IF($S$2=0,0,(SUMPRODUCT($K$2:$R$2,Assumptions!$B$34:$I$34)/$U$2+$J$2/$U$2*Assumptions!$A$34*G71)*K71*O70)</f>
        <v>10.782872441654378</v>
      </c>
      <c r="AO71">
        <f t="shared" si="33"/>
        <v>0</v>
      </c>
      <c r="AP71">
        <f t="shared" si="34"/>
        <v>0</v>
      </c>
      <c r="AQ71">
        <f>IF(B71&gt;$AJ$2,0,AQ70*(1+Assumptions!$B$43)^(1/12))</f>
        <v>1.051010050099995</v>
      </c>
      <c r="AR71" s="27">
        <f>IF(B71&gt;$AJ$2,0,(O70+R70)*Assumptions!$B$39/12*AQ70+AV71*Assumptions!$B$41/12)</f>
        <v>8.7391589139422816</v>
      </c>
      <c r="AS71">
        <f t="shared" si="35"/>
        <v>79.481217525211349</v>
      </c>
      <c r="AT71" s="28">
        <f t="shared" si="36"/>
        <v>5214.8455465738771</v>
      </c>
      <c r="AU71">
        <f t="shared" si="37"/>
        <v>0</v>
      </c>
      <c r="AV71" s="28">
        <f t="shared" si="38"/>
        <v>5271.6395959894407</v>
      </c>
      <c r="AW71" s="28">
        <f t="shared" si="39"/>
        <v>5332.3811326086025</v>
      </c>
      <c r="AX71" s="23">
        <f>HLOOKUP(YEAR(A71),Assumptions!$A$25:$AL$29,2,TRUE)/100</f>
        <v>1.2171000000000001E-2</v>
      </c>
      <c r="AY71" s="29">
        <f>1/(1+HLOOKUP(YEAR(A71),Assumptions!$A$18:$AL$20,3,TRUE))^(1/12)</f>
        <v>0.99891140865959827</v>
      </c>
      <c r="AZ71" s="26">
        <f t="shared" si="40"/>
        <v>1542.9802209950724</v>
      </c>
      <c r="BA71">
        <f t="shared" si="41"/>
        <v>52.1079566385352</v>
      </c>
      <c r="BB71">
        <f t="shared" si="42"/>
        <v>5215.982864203138</v>
      </c>
      <c r="BC71">
        <f t="shared" si="43"/>
        <v>0</v>
      </c>
    </row>
    <row r="72" spans="1:58" x14ac:dyDescent="0.2">
      <c r="A72" s="3">
        <f t="shared" si="11"/>
        <v>44957</v>
      </c>
      <c r="B72">
        <f t="shared" si="2"/>
        <v>74</v>
      </c>
      <c r="C72">
        <f t="shared" si="46"/>
        <v>6.083333333333333</v>
      </c>
      <c r="D72">
        <f t="shared" si="47"/>
        <v>0</v>
      </c>
      <c r="E72">
        <f t="shared" si="5"/>
        <v>62</v>
      </c>
      <c r="F72">
        <f>IF(C72&gt;=$T$2,0,VLOOKUP($E72,'Mortality Table'!$A$3:$C$128,2+AF$2,FALSE))</f>
        <v>6.9176000000000003E-3</v>
      </c>
      <c r="G72">
        <f>F72*Assumptions!$B$1</f>
        <v>6.9176000000000003E-3</v>
      </c>
      <c r="H72">
        <f t="shared" si="12"/>
        <v>5.7830251140866817E-4</v>
      </c>
      <c r="I72">
        <f t="shared" si="49"/>
        <v>2.8505454959539618E-4</v>
      </c>
      <c r="J72">
        <f>IF(B72&gt;$AJ$2,0,HLOOKUP(C72,Assumptions!$A$6:$J$7,2,TRUE))</f>
        <v>8.4500000000000006E-2</v>
      </c>
      <c r="K72" s="4">
        <f t="shared" si="48"/>
        <v>1</v>
      </c>
      <c r="L72" s="4">
        <f t="shared" si="14"/>
        <v>8.3333333333333329E-2</v>
      </c>
      <c r="M72" s="4">
        <f t="shared" si="50"/>
        <v>7.3300792005651649E-3</v>
      </c>
      <c r="N72">
        <f t="shared" si="15"/>
        <v>3.6253555136117797E-3</v>
      </c>
      <c r="O72" s="21">
        <f t="shared" si="51"/>
        <v>0.49048211276825904</v>
      </c>
      <c r="P72">
        <f>IF(B72&gt;$AJ$2,0,HLOOKUP(C72,Assumptions!$A$12:$J$13,2,TRUE))</f>
        <v>8.2000000000000007E-3</v>
      </c>
      <c r="Q72">
        <f t="shared" si="52"/>
        <v>3.366599895505962E-4</v>
      </c>
      <c r="R72">
        <f t="shared" si="16"/>
        <v>0.10775755204758553</v>
      </c>
      <c r="S72">
        <f t="shared" si="44"/>
        <v>6.2387210315299814E-5</v>
      </c>
      <c r="T72">
        <f t="shared" si="45"/>
        <v>7.934474900206358E-4</v>
      </c>
      <c r="U72">
        <f t="shared" si="17"/>
        <v>3582.1568895870009</v>
      </c>
      <c r="V72">
        <f t="shared" si="18"/>
        <v>1410.2</v>
      </c>
      <c r="W72">
        <f t="shared" si="19"/>
        <v>0.12</v>
      </c>
      <c r="X72">
        <f t="shared" si="9"/>
        <v>147.68312922683768</v>
      </c>
      <c r="Y72">
        <f t="shared" si="20"/>
        <v>159.27683856971339</v>
      </c>
      <c r="Z72">
        <f t="shared" si="21"/>
        <v>9487.5904383580928</v>
      </c>
      <c r="AA72">
        <f t="shared" si="22"/>
        <v>53.164607327908016</v>
      </c>
      <c r="AB72">
        <f t="shared" si="23"/>
        <v>9674.7135186473424</v>
      </c>
      <c r="AC72" s="23">
        <f>IF(B72&gt;$AJ$2,0,HLOOKUP(YEAR(A72),Assumptions!$A$25:$AL$29,4,TRUE)/100)</f>
        <v>6.4170000000000008E-3</v>
      </c>
      <c r="AD72">
        <f t="shared" si="24"/>
        <v>181.96743011812532</v>
      </c>
      <c r="AE72">
        <f t="shared" si="25"/>
        <v>4599.9678224331092</v>
      </c>
      <c r="AF72">
        <f t="shared" si="26"/>
        <v>4584.6498805758065</v>
      </c>
      <c r="AG72">
        <f t="shared" si="27"/>
        <v>4726.6197517159762</v>
      </c>
      <c r="AH72">
        <f t="shared" si="28"/>
        <v>124.13311589528705</v>
      </c>
      <c r="AI72">
        <f t="shared" si="29"/>
        <v>123.95186158573051</v>
      </c>
      <c r="AJ72">
        <f t="shared" si="30"/>
        <v>28.545649383744674</v>
      </c>
      <c r="AK72">
        <f t="shared" si="31"/>
        <v>3.0501079901643267</v>
      </c>
      <c r="AL72">
        <f t="shared" si="32"/>
        <v>38.803910964789218</v>
      </c>
      <c r="AM72">
        <f t="shared" si="10"/>
        <v>0</v>
      </c>
      <c r="AN72">
        <f>IF($S$2=0,0,(SUMPRODUCT($K$2:$R$2,Assumptions!$B$34:$I$34)/$U$2+$J$2/$U$2*Assumptions!$A$34*G72)*K72*O71)</f>
        <v>10.690305404536163</v>
      </c>
      <c r="AO72">
        <f t="shared" si="33"/>
        <v>0</v>
      </c>
      <c r="AP72">
        <f t="shared" si="34"/>
        <v>0</v>
      </c>
      <c r="AQ72">
        <f>IF(B72&gt;$AJ$2,0,AQ71*(1+Assumptions!$B$43)^(1/12))</f>
        <v>1.0518819029951139</v>
      </c>
      <c r="AR72" s="27">
        <f>IF(B72&gt;$AJ$2,0,(O71+R71)*Assumptions!$B$39/12*AQ71+AV72*Assumptions!$B$41/12)</f>
        <v>8.6882203914506135</v>
      </c>
      <c r="AS72">
        <f t="shared" si="35"/>
        <v>78.798900187909311</v>
      </c>
      <c r="AT72" s="28">
        <f t="shared" si="36"/>
        <v>5251.8027256051291</v>
      </c>
      <c r="AU72">
        <f t="shared" si="37"/>
        <v>5.4976067637419526</v>
      </c>
      <c r="AV72" s="28">
        <f t="shared" si="38"/>
        <v>5282.9541413572506</v>
      </c>
      <c r="AW72" s="28">
        <f t="shared" si="39"/>
        <v>5343.1501500047289</v>
      </c>
      <c r="AX72" s="23">
        <f>HLOOKUP(YEAR(A72),Assumptions!$A$25:$AL$29,2,TRUE)/100</f>
        <v>1.2417000000000001E-2</v>
      </c>
      <c r="AY72" s="29">
        <f>1/(1+HLOOKUP(YEAR(A72),Assumptions!$A$18:$AL$20,3,TRUE))^(1/12)</f>
        <v>0.99899238057946116</v>
      </c>
      <c r="AZ72" s="26">
        <f t="shared" si="40"/>
        <v>1630.9871104702934</v>
      </c>
      <c r="BA72">
        <f t="shared" si="41"/>
        <v>52.544324359489707</v>
      </c>
      <c r="BB72">
        <f t="shared" si="42"/>
        <v>5282.9541413572506</v>
      </c>
      <c r="BC72">
        <f t="shared" si="43"/>
        <v>0</v>
      </c>
      <c r="BE72">
        <f>IF($AJ$2+1=B72,O71*(Z71+AD71)+R71*(AF71+AH71),0)</f>
        <v>0</v>
      </c>
      <c r="BF72">
        <f>AB71-AD71-Z71</f>
        <v>53.164607327908016</v>
      </c>
    </row>
    <row r="73" spans="1:58" x14ac:dyDescent="0.2">
      <c r="A73" s="3">
        <f t="shared" si="11"/>
        <v>44985</v>
      </c>
      <c r="B73">
        <f t="shared" si="2"/>
        <v>75</v>
      </c>
      <c r="C73">
        <f t="shared" si="46"/>
        <v>6.166666666666667</v>
      </c>
      <c r="D73">
        <f t="shared" si="47"/>
        <v>0</v>
      </c>
      <c r="E73">
        <f t="shared" si="5"/>
        <v>62</v>
      </c>
      <c r="F73">
        <f>IF(C73&gt;=$T$2,0,VLOOKUP($E73,'Mortality Table'!$A$3:$C$128,2+AF$2,FALSE))</f>
        <v>6.9176000000000003E-3</v>
      </c>
      <c r="G73">
        <f>F73*Assumptions!$B$1</f>
        <v>6.9176000000000003E-3</v>
      </c>
      <c r="H73">
        <f t="shared" si="12"/>
        <v>5.7830251140866817E-4</v>
      </c>
      <c r="I73">
        <f t="shared" si="49"/>
        <v>2.8260745998955224E-4</v>
      </c>
      <c r="J73">
        <f>IF(B73&gt;$AJ$2,0,HLOOKUP(C73,Assumptions!$A$6:$J$7,2,TRUE))</f>
        <v>8.4500000000000006E-2</v>
      </c>
      <c r="K73" s="4">
        <f t="shared" si="48"/>
        <v>1</v>
      </c>
      <c r="L73" s="4">
        <f t="shared" si="14"/>
        <v>8.3333333333333329E-2</v>
      </c>
      <c r="M73" s="4">
        <f t="shared" si="50"/>
        <v>7.3300792005651649E-3</v>
      </c>
      <c r="N73">
        <f t="shared" si="15"/>
        <v>3.5942331554265116E-3</v>
      </c>
      <c r="O73" s="21">
        <f t="shared" si="51"/>
        <v>0.48627150226682625</v>
      </c>
      <c r="P73">
        <f>IF(B73&gt;$AJ$2,0,HLOOKUP(C73,Assumptions!$A$12:$J$13,2,TRUE))</f>
        <v>8.2000000000000007E-3</v>
      </c>
      <c r="Q73">
        <f t="shared" si="52"/>
        <v>3.3376988601672129E-4</v>
      </c>
      <c r="R73">
        <f t="shared" si="16"/>
        <v>0.10723959086427114</v>
      </c>
      <c r="S73">
        <f t="shared" si="44"/>
        <v>6.208807066782571E-5</v>
      </c>
      <c r="T73">
        <f t="shared" si="45"/>
        <v>7.8964299866328153E-4</v>
      </c>
      <c r="U73">
        <f t="shared" si="17"/>
        <v>3582.1568895870009</v>
      </c>
      <c r="V73">
        <f t="shared" si="18"/>
        <v>1410.2</v>
      </c>
      <c r="W73">
        <f t="shared" si="19"/>
        <v>0.12</v>
      </c>
      <c r="X73">
        <f t="shared" si="9"/>
        <v>146.41532328933397</v>
      </c>
      <c r="Y73">
        <f t="shared" si="20"/>
        <v>159.27683856971339</v>
      </c>
      <c r="Z73">
        <f t="shared" si="21"/>
        <v>9646.8672769278055</v>
      </c>
      <c r="AA73">
        <f t="shared" si="22"/>
        <v>0</v>
      </c>
      <c r="AB73">
        <f t="shared" si="23"/>
        <v>9839.2336801029232</v>
      </c>
      <c r="AC73" s="23">
        <f>IF(B73&gt;$AJ$2,0,HLOOKUP(YEAR(A73),Assumptions!$A$25:$AL$29,4,TRUE)/100)</f>
        <v>6.4170000000000008E-3</v>
      </c>
      <c r="AD73">
        <f t="shared" si="24"/>
        <v>181.96743011812532</v>
      </c>
      <c r="AE73">
        <f t="shared" si="25"/>
        <v>4615.6756691536038</v>
      </c>
      <c r="AF73">
        <f t="shared" si="26"/>
        <v>4599.9678224331092</v>
      </c>
      <c r="AG73">
        <f t="shared" si="27"/>
        <v>4745.0444392660947</v>
      </c>
      <c r="AH73">
        <f t="shared" si="28"/>
        <v>124.31311800374756</v>
      </c>
      <c r="AI73">
        <f t="shared" si="29"/>
        <v>124.13311589528705</v>
      </c>
      <c r="AJ73">
        <f t="shared" si="30"/>
        <v>0</v>
      </c>
      <c r="AK73">
        <f t="shared" si="31"/>
        <v>3.071012324116281</v>
      </c>
      <c r="AL73">
        <f t="shared" si="32"/>
        <v>39.070022542792572</v>
      </c>
      <c r="AM73">
        <f t="shared" si="10"/>
        <v>0</v>
      </c>
      <c r="AN73">
        <f>IF($S$2=0,0,(SUMPRODUCT($K$2:$R$2,Assumptions!$B$34:$I$34)/$U$2+$J$2/$U$2*Assumptions!$A$34*G73)*K73*O72)</f>
        <v>10.598533021755856</v>
      </c>
      <c r="AO73">
        <f t="shared" si="33"/>
        <v>0</v>
      </c>
      <c r="AP73">
        <f t="shared" si="34"/>
        <v>0</v>
      </c>
      <c r="AQ73">
        <f>IF(B73&gt;$AJ$2,0,AQ72*(1+Assumptions!$B$43)^(1/12))</f>
        <v>1.0527544791254393</v>
      </c>
      <c r="AR73" s="27">
        <f>IF(B73&gt;$AJ$2,0,(O72+R72)*Assumptions!$B$39/12*AQ72+AV73*Assumptions!$B$41/12)</f>
        <v>8.6445355992913839</v>
      </c>
      <c r="AS73">
        <f t="shared" si="35"/>
        <v>78.122440296721948</v>
      </c>
      <c r="AT73" s="28">
        <f t="shared" si="36"/>
        <v>5287.7966767635335</v>
      </c>
      <c r="AU73">
        <f t="shared" si="37"/>
        <v>11.037730489003991</v>
      </c>
      <c r="AV73" s="28">
        <f t="shared" si="38"/>
        <v>5324.8242396438372</v>
      </c>
      <c r="AW73" s="28">
        <f t="shared" si="39"/>
        <v>5384.4725870371585</v>
      </c>
      <c r="AX73" s="23">
        <f>HLOOKUP(YEAR(A73),Assumptions!$A$25:$AL$29,2,TRUE)/100</f>
        <v>1.2417000000000001E-2</v>
      </c>
      <c r="AY73" s="29">
        <f>1/(1+HLOOKUP(YEAR(A73),Assumptions!$A$18:$AL$20,3,TRUE))^(1/12)</f>
        <v>0.99899238057946116</v>
      </c>
      <c r="AZ73" s="26">
        <f t="shared" si="40"/>
        <v>1717.663402165218</v>
      </c>
      <c r="BA73">
        <f t="shared" si="41"/>
        <v>52.739567888664709</v>
      </c>
      <c r="BB73">
        <f t="shared" si="42"/>
        <v>5319.3266328800955</v>
      </c>
      <c r="BC73">
        <f t="shared" si="43"/>
        <v>0</v>
      </c>
    </row>
    <row r="74" spans="1:58" x14ac:dyDescent="0.2">
      <c r="A74" s="3">
        <f t="shared" si="11"/>
        <v>45016</v>
      </c>
      <c r="B74">
        <f t="shared" si="2"/>
        <v>76</v>
      </c>
      <c r="C74">
        <f t="shared" si="46"/>
        <v>6.25</v>
      </c>
      <c r="D74">
        <f t="shared" si="47"/>
        <v>0</v>
      </c>
      <c r="E74">
        <f t="shared" si="5"/>
        <v>62</v>
      </c>
      <c r="F74">
        <f>IF(C74&gt;=$T$2,0,VLOOKUP($E74,'Mortality Table'!$A$3:$C$128,2+AF$2,FALSE))</f>
        <v>6.9176000000000003E-3</v>
      </c>
      <c r="G74">
        <f>F74*Assumptions!$B$1</f>
        <v>6.9176000000000003E-3</v>
      </c>
      <c r="H74">
        <f t="shared" si="12"/>
        <v>5.7830251140866817E-4</v>
      </c>
      <c r="I74">
        <f t="shared" si="49"/>
        <v>2.8018137775772685E-4</v>
      </c>
      <c r="J74">
        <f>IF(B74&gt;$AJ$2,0,HLOOKUP(C74,Assumptions!$A$6:$J$7,2,TRUE))</f>
        <v>8.4500000000000006E-2</v>
      </c>
      <c r="K74" s="4">
        <f t="shared" si="48"/>
        <v>1</v>
      </c>
      <c r="L74" s="4">
        <f t="shared" si="14"/>
        <v>8.3333333333333329E-2</v>
      </c>
      <c r="M74" s="4">
        <f t="shared" si="50"/>
        <v>7.3300792005651649E-3</v>
      </c>
      <c r="N74">
        <f t="shared" si="15"/>
        <v>3.5633779713639948E-3</v>
      </c>
      <c r="O74" s="21">
        <f t="shared" si="51"/>
        <v>0.48209703832473433</v>
      </c>
      <c r="P74">
        <f>IF(B74&gt;$AJ$2,0,HLOOKUP(C74,Assumptions!$A$12:$J$13,2,TRUE))</f>
        <v>8.2000000000000007E-3</v>
      </c>
      <c r="Q74">
        <f t="shared" si="52"/>
        <v>3.3090459297026922E-4</v>
      </c>
      <c r="R74">
        <f t="shared" si="16"/>
        <v>0.10672285842702081</v>
      </c>
      <c r="S74">
        <f t="shared" si="44"/>
        <v>6.178963023426228E-5</v>
      </c>
      <c r="T74">
        <f t="shared" si="45"/>
        <v>7.8584739998632813E-4</v>
      </c>
      <c r="U74">
        <f t="shared" si="17"/>
        <v>3582.1568895870009</v>
      </c>
      <c r="V74">
        <f t="shared" si="18"/>
        <v>1410.2</v>
      </c>
      <c r="W74">
        <f t="shared" si="19"/>
        <v>0.12</v>
      </c>
      <c r="X74">
        <f t="shared" si="9"/>
        <v>145.15840100457771</v>
      </c>
      <c r="Y74">
        <f t="shared" si="20"/>
        <v>159.27683856971339</v>
      </c>
      <c r="Z74">
        <f t="shared" si="21"/>
        <v>9806.1441154975182</v>
      </c>
      <c r="AA74">
        <f t="shared" si="22"/>
        <v>0</v>
      </c>
      <c r="AB74">
        <f t="shared" si="23"/>
        <v>10003.841561018908</v>
      </c>
      <c r="AC74" s="23">
        <f>IF(B74&gt;$AJ$2,0,HLOOKUP(YEAR(A74),Assumptions!$A$25:$AL$29,4,TRUE)/100)</f>
        <v>6.4170000000000008E-3</v>
      </c>
      <c r="AD74">
        <f t="shared" si="24"/>
        <v>181.96743011812532</v>
      </c>
      <c r="AE74">
        <f t="shared" si="25"/>
        <v>4631.7692209369543</v>
      </c>
      <c r="AF74">
        <f t="shared" si="26"/>
        <v>4615.6756691536038</v>
      </c>
      <c r="AG74">
        <f t="shared" si="27"/>
        <v>4763.8719864178265</v>
      </c>
      <c r="AH74">
        <f t="shared" si="28"/>
        <v>124.49188080081259</v>
      </c>
      <c r="AI74">
        <f t="shared" si="29"/>
        <v>124.31311800374756</v>
      </c>
      <c r="AJ74">
        <f t="shared" si="30"/>
        <v>0</v>
      </c>
      <c r="AK74">
        <f t="shared" si="31"/>
        <v>3.0913650085214517</v>
      </c>
      <c r="AL74">
        <f t="shared" si="32"/>
        <v>39.329112077629901</v>
      </c>
      <c r="AM74">
        <f t="shared" si="10"/>
        <v>0</v>
      </c>
      <c r="AN74">
        <f>IF($S$2=0,0,(SUMPRODUCT($K$2:$R$2,Assumptions!$B$34:$I$34)/$U$2+$J$2/$U$2*Assumptions!$A$34*G74)*K74*O73)</f>
        <v>10.507548471495054</v>
      </c>
      <c r="AO74">
        <f t="shared" si="33"/>
        <v>0</v>
      </c>
      <c r="AP74">
        <f t="shared" si="34"/>
        <v>0</v>
      </c>
      <c r="AQ74">
        <f>IF(B74&gt;$AJ$2,0,AQ73*(1+Assumptions!$B$43)^(1/12))</f>
        <v>1.0536277790909225</v>
      </c>
      <c r="AR74" s="27">
        <f>IF(B74&gt;$AJ$2,0,(O73+R73)*Assumptions!$B$39/12*AQ73+AV74*Assumptions!$B$41/12)</f>
        <v>8.6010208255971623</v>
      </c>
      <c r="AS74">
        <f t="shared" si="35"/>
        <v>77.451787567605308</v>
      </c>
      <c r="AT74" s="28">
        <f t="shared" si="36"/>
        <v>5322.8407748010923</v>
      </c>
      <c r="AU74">
        <f t="shared" si="37"/>
        <v>16.619434062241091</v>
      </c>
      <c r="AV74" s="28">
        <f t="shared" si="38"/>
        <v>5365.7786463486482</v>
      </c>
      <c r="AW74" s="28">
        <f t="shared" si="39"/>
        <v>5424.8842389600231</v>
      </c>
      <c r="AX74" s="23">
        <f>HLOOKUP(YEAR(A74),Assumptions!$A$25:$AL$29,2,TRUE)/100</f>
        <v>1.2417000000000001E-2</v>
      </c>
      <c r="AY74" s="29">
        <f>1/(1+HLOOKUP(YEAR(A74),Assumptions!$A$18:$AL$20,3,TRUE))^(1/12)</f>
        <v>0.99899238057946116</v>
      </c>
      <c r="AZ74" s="26">
        <f t="shared" si="40"/>
        <v>1803.025253485843</v>
      </c>
      <c r="BA74">
        <f t="shared" si="41"/>
        <v>52.928025557646407</v>
      </c>
      <c r="BB74">
        <f t="shared" si="42"/>
        <v>5354.7409158596438</v>
      </c>
      <c r="BC74">
        <f t="shared" si="43"/>
        <v>0</v>
      </c>
    </row>
    <row r="75" spans="1:58" x14ac:dyDescent="0.2">
      <c r="A75" s="3">
        <f t="shared" si="11"/>
        <v>45046</v>
      </c>
      <c r="B75">
        <f t="shared" si="2"/>
        <v>77</v>
      </c>
      <c r="C75">
        <f t="shared" si="46"/>
        <v>6.333333333333333</v>
      </c>
      <c r="D75">
        <f t="shared" si="47"/>
        <v>0</v>
      </c>
      <c r="E75">
        <f t="shared" si="5"/>
        <v>62</v>
      </c>
      <c r="F75">
        <f>IF(C75&gt;=$T$2,0,VLOOKUP($E75,'Mortality Table'!$A$3:$C$128,2+AF$2,FALSE))</f>
        <v>6.9176000000000003E-3</v>
      </c>
      <c r="G75">
        <f>F75*Assumptions!$B$1</f>
        <v>6.9176000000000003E-3</v>
      </c>
      <c r="H75">
        <f t="shared" si="12"/>
        <v>5.7830251140866817E-4</v>
      </c>
      <c r="I75">
        <f t="shared" si="49"/>
        <v>2.777761225592565E-4</v>
      </c>
      <c r="J75">
        <f>IF(B75&gt;$AJ$2,0,HLOOKUP(C75,Assumptions!$A$6:$J$7,2,TRUE))</f>
        <v>8.4500000000000006E-2</v>
      </c>
      <c r="K75" s="4">
        <f t="shared" ref="K75:K106" si="53">IF(B75&gt;$AJ$2,0,IF(($U$2*(B75+11))/12-INT(($U$2*(B75+11))/12)=0,1,0))</f>
        <v>1</v>
      </c>
      <c r="L75" s="4">
        <f t="shared" si="14"/>
        <v>8.3333333333333329E-2</v>
      </c>
      <c r="M75" s="4">
        <f t="shared" si="50"/>
        <v>7.3300792005651649E-3</v>
      </c>
      <c r="N75">
        <f t="shared" si="15"/>
        <v>3.5327876678315838E-3</v>
      </c>
      <c r="O75" s="21">
        <f t="shared" si="51"/>
        <v>0.47795841063692124</v>
      </c>
      <c r="P75">
        <f>IF(B75&gt;$AJ$2,0,HLOOKUP(C75,Assumptions!$A$12:$J$13,2,TRUE))</f>
        <v>8.2000000000000007E-3</v>
      </c>
      <c r="Q75">
        <f t="shared" si="52"/>
        <v>3.2806389742223144E-4</v>
      </c>
      <c r="R75">
        <f t="shared" si="16"/>
        <v>0.10620736962114874</v>
      </c>
      <c r="S75">
        <f t="shared" si="44"/>
        <v>6.1491897783304348E-5</v>
      </c>
      <c r="T75">
        <f t="shared" si="45"/>
        <v>7.8206080551101239E-4</v>
      </c>
      <c r="U75">
        <f t="shared" si="17"/>
        <v>3582.1568895870009</v>
      </c>
      <c r="V75">
        <f t="shared" si="18"/>
        <v>1410.2</v>
      </c>
      <c r="W75">
        <f t="shared" si="19"/>
        <v>0.12</v>
      </c>
      <c r="X75">
        <f t="shared" si="9"/>
        <v>143.91226894036964</v>
      </c>
      <c r="Y75">
        <f t="shared" si="20"/>
        <v>159.27683856971339</v>
      </c>
      <c r="Z75">
        <f t="shared" si="21"/>
        <v>9965.4209540672309</v>
      </c>
      <c r="AA75">
        <f t="shared" si="22"/>
        <v>0</v>
      </c>
      <c r="AB75">
        <f t="shared" si="23"/>
        <v>10168.537208165879</v>
      </c>
      <c r="AC75" s="23">
        <f>IF(B75&gt;$AJ$2,0,HLOOKUP(YEAR(A75),Assumptions!$A$25:$AL$29,4,TRUE)/100)</f>
        <v>6.4170000000000008E-3</v>
      </c>
      <c r="AD75">
        <f t="shared" si="24"/>
        <v>181.96743011812532</v>
      </c>
      <c r="AE75">
        <f t="shared" si="25"/>
        <v>4648.2443354351772</v>
      </c>
      <c r="AF75">
        <f t="shared" si="26"/>
        <v>4631.7692209369543</v>
      </c>
      <c r="AG75">
        <f t="shared" si="27"/>
        <v>4783.0986272475757</v>
      </c>
      <c r="AH75">
        <f t="shared" si="28"/>
        <v>124.66941699988034</v>
      </c>
      <c r="AI75">
        <f t="shared" si="29"/>
        <v>124.49188080081259</v>
      </c>
      <c r="AJ75">
        <f t="shared" si="30"/>
        <v>0</v>
      </c>
      <c r="AK75">
        <f t="shared" si="31"/>
        <v>3.111173720960613</v>
      </c>
      <c r="AL75">
        <f t="shared" si="32"/>
        <v>39.581277318211434</v>
      </c>
      <c r="AM75">
        <f t="shared" si="10"/>
        <v>0</v>
      </c>
      <c r="AN75">
        <f>IF($S$2=0,0,(SUMPRODUCT($K$2:$R$2,Assumptions!$B$34:$I$34)/$U$2+$J$2/$U$2*Assumptions!$A$34*G75)*K75*O74)</f>
        <v>10.417344990498197</v>
      </c>
      <c r="AO75">
        <f t="shared" si="33"/>
        <v>0</v>
      </c>
      <c r="AP75">
        <f t="shared" si="34"/>
        <v>0</v>
      </c>
      <c r="AQ75">
        <f>IF(B75&gt;$AJ$2,0,AQ74*(1+Assumptions!$B$43)^(1/12))</f>
        <v>1.0545018034920124</v>
      </c>
      <c r="AR75" s="27">
        <f>IF(B75&gt;$AJ$2,0,(O74+R74)*Assumptions!$B$39/12*AQ74+AV75*Assumptions!$B$41/12)</f>
        <v>8.5576761962773897</v>
      </c>
      <c r="AS75">
        <f t="shared" si="35"/>
        <v>76.786892148185643</v>
      </c>
      <c r="AT75" s="28">
        <f t="shared" si="36"/>
        <v>5356.9482392955233</v>
      </c>
      <c r="AU75">
        <f t="shared" si="37"/>
        <v>22.241793077782692</v>
      </c>
      <c r="AV75" s="28">
        <f t="shared" si="38"/>
        <v>5405.8297560210212</v>
      </c>
      <c r="AW75" s="28">
        <f t="shared" si="39"/>
        <v>5464.3974566169272</v>
      </c>
      <c r="AX75" s="23">
        <f>HLOOKUP(YEAR(A75),Assumptions!$A$25:$AL$29,2,TRUE)/100</f>
        <v>1.2417000000000001E-2</v>
      </c>
      <c r="AY75" s="29">
        <f>1/(1+HLOOKUP(YEAR(A75),Assumptions!$A$18:$AL$20,3,TRUE))^(1/12)</f>
        <v>0.99899238057946116</v>
      </c>
      <c r="AZ75" s="26">
        <f t="shared" si="40"/>
        <v>1887.0886459137582</v>
      </c>
      <c r="BA75">
        <f t="shared" si="41"/>
        <v>53.10979602967025</v>
      </c>
      <c r="BB75">
        <f t="shared" si="42"/>
        <v>5389.2103219587798</v>
      </c>
      <c r="BC75">
        <f t="shared" si="43"/>
        <v>0</v>
      </c>
      <c r="BE75" s="29">
        <f>O71</f>
        <v>0.49472918282101674</v>
      </c>
      <c r="BF75">
        <f>(Z71+AD71)</f>
        <v>9457.1164225785978</v>
      </c>
    </row>
    <row r="76" spans="1:58" x14ac:dyDescent="0.2">
      <c r="A76" s="3">
        <f t="shared" si="11"/>
        <v>45077</v>
      </c>
      <c r="B76">
        <f t="shared" ref="B76:B139" si="54">B75+1</f>
        <v>78</v>
      </c>
      <c r="C76">
        <f t="shared" si="46"/>
        <v>6.416666666666667</v>
      </c>
      <c r="D76">
        <f t="shared" si="47"/>
        <v>0</v>
      </c>
      <c r="E76">
        <f t="shared" ref="E76:E139" si="55">$C$2+INT($C76)</f>
        <v>62</v>
      </c>
      <c r="F76">
        <f>IF(C76&gt;=$T$2,0,VLOOKUP($E76,'Mortality Table'!$A$3:$C$128,2+AF$2,FALSE))</f>
        <v>6.9176000000000003E-3</v>
      </c>
      <c r="G76">
        <f>F76*Assumptions!$B$1</f>
        <v>6.9176000000000003E-3</v>
      </c>
      <c r="H76">
        <f t="shared" si="12"/>
        <v>5.7830251140866817E-4</v>
      </c>
      <c r="I76">
        <f t="shared" ref="I76:I107" si="56">H76*O75*(1-M76/2)</f>
        <v>2.7539151560163663E-4</v>
      </c>
      <c r="J76">
        <f>IF(B76&gt;$AJ$2,0,HLOOKUP(C76,Assumptions!$A$6:$J$7,2,TRUE))</f>
        <v>8.4500000000000006E-2</v>
      </c>
      <c r="K76" s="4">
        <f t="shared" si="53"/>
        <v>1</v>
      </c>
      <c r="L76" s="4">
        <f t="shared" si="14"/>
        <v>8.3333333333333329E-2</v>
      </c>
      <c r="M76" s="4">
        <f t="shared" ref="M76:M107" si="57">(1-(1-J76)^L76)</f>
        <v>7.3300792005651649E-3</v>
      </c>
      <c r="N76">
        <f t="shared" si="15"/>
        <v>3.5024599709262898E-3</v>
      </c>
      <c r="O76" s="21">
        <f t="shared" ref="O76:O107" si="58">IF(B76&gt;$AJ$2,0,O75-I76-N76-Q76)</f>
        <v>0.4738553115621813</v>
      </c>
      <c r="P76">
        <f>IF(B76&gt;$AJ$2,0,HLOOKUP(C76,Assumptions!$A$12:$J$13,2,TRUE))</f>
        <v>8.2000000000000007E-3</v>
      </c>
      <c r="Q76">
        <f t="shared" ref="Q76:Q107" si="59">(1-(1-P76)^L76)*(O75-I76-N76)</f>
        <v>3.2524758821203266E-4</v>
      </c>
      <c r="R76">
        <f t="shared" si="16"/>
        <v>0.10569313900315284</v>
      </c>
      <c r="S76">
        <f t="shared" si="44"/>
        <v>6.1194881891617008E-5</v>
      </c>
      <c r="T76">
        <f t="shared" si="45"/>
        <v>7.7828332431631691E-4</v>
      </c>
      <c r="U76">
        <f t="shared" si="17"/>
        <v>3582.1568895870009</v>
      </c>
      <c r="V76">
        <f t="shared" si="18"/>
        <v>1410.2</v>
      </c>
      <c r="W76">
        <f t="shared" si="19"/>
        <v>0.12</v>
      </c>
      <c r="X76">
        <f t="shared" ref="X76:X139" si="60">U76/$U$2*K76*O75</f>
        <v>142.67683446659171</v>
      </c>
      <c r="Y76">
        <f t="shared" si="20"/>
        <v>159.27683856971339</v>
      </c>
      <c r="Z76">
        <f t="shared" si="21"/>
        <v>10124.697792636944</v>
      </c>
      <c r="AA76">
        <f t="shared" si="22"/>
        <v>0</v>
      </c>
      <c r="AB76">
        <f t="shared" si="23"/>
        <v>10333.320668339355</v>
      </c>
      <c r="AC76" s="23">
        <f>IF(B76&gt;$AJ$2,0,HLOOKUP(YEAR(A76),Assumptions!$A$25:$AL$29,4,TRUE)/100)</f>
        <v>6.4170000000000008E-3</v>
      </c>
      <c r="AD76">
        <f t="shared" si="24"/>
        <v>181.96743011812532</v>
      </c>
      <c r="AE76">
        <f t="shared" si="25"/>
        <v>4665.0969267737419</v>
      </c>
      <c r="AF76">
        <f t="shared" si="26"/>
        <v>4648.2443354351772</v>
      </c>
      <c r="AG76">
        <f t="shared" si="27"/>
        <v>4802.7206474083323</v>
      </c>
      <c r="AH76">
        <f t="shared" si="28"/>
        <v>124.84573914105069</v>
      </c>
      <c r="AI76">
        <f t="shared" si="29"/>
        <v>124.66941699988034</v>
      </c>
      <c r="AJ76">
        <f t="shared" si="30"/>
        <v>0</v>
      </c>
      <c r="AK76">
        <f t="shared" si="31"/>
        <v>3.1304460498523361</v>
      </c>
      <c r="AL76">
        <f t="shared" si="32"/>
        <v>39.826614877750451</v>
      </c>
      <c r="AM76">
        <f t="shared" ref="AM76:AM139" si="61">IF($AJ$2+1=B76,O75*(Z75+AD75+MAX(0,IF(MONTH(A76)=1,AB75-AD75-Z75,0)))+R75*(AF75+AH75),0)</f>
        <v>0</v>
      </c>
      <c r="AN76">
        <f>IF($S$2=0,0,(SUMPRODUCT($K$2:$R$2,Assumptions!$B$34:$I$34)/$U$2+$J$2/$U$2*Assumptions!$A$34*G76)*K76*O75)</f>
        <v>10.327915873569799</v>
      </c>
      <c r="AO76">
        <f t="shared" si="33"/>
        <v>0</v>
      </c>
      <c r="AP76">
        <f t="shared" si="34"/>
        <v>0</v>
      </c>
      <c r="AQ76">
        <f>IF(B76&gt;$AJ$2,0,AQ75*(1+Assumptions!$B$43)^(1/12))</f>
        <v>1.0553765529296557</v>
      </c>
      <c r="AR76" s="27">
        <f>IF(B76&gt;$AJ$2,0,(O75+R75)*Assumptions!$B$39/12*AQ75+AV76*Assumptions!$B$41/12)</f>
        <v>8.5145018241259685</v>
      </c>
      <c r="AS76">
        <f t="shared" si="35"/>
        <v>76.127704614053684</v>
      </c>
      <c r="AT76" s="28">
        <f t="shared" si="36"/>
        <v>5390.1321363013667</v>
      </c>
      <c r="AU76">
        <f t="shared" si="37"/>
        <v>27.903895692026975</v>
      </c>
      <c r="AV76" s="28">
        <f t="shared" si="38"/>
        <v>5444.9898211137906</v>
      </c>
      <c r="AW76" s="28">
        <f t="shared" si="39"/>
        <v>5503.0244491422027</v>
      </c>
      <c r="AX76" s="23">
        <f>HLOOKUP(YEAR(A76),Assumptions!$A$25:$AL$29,2,TRUE)/100</f>
        <v>1.2417000000000001E-2</v>
      </c>
      <c r="AY76" s="29">
        <f>1/(1+HLOOKUP(YEAR(A76),Assumptions!$A$18:$AL$20,3,TRUE))^(1/12)</f>
        <v>0.99899238057946116</v>
      </c>
      <c r="AZ76" s="26">
        <f t="shared" si="40"/>
        <v>1969.8693868106993</v>
      </c>
      <c r="BA76">
        <f t="shared" si="41"/>
        <v>53.28497680117259</v>
      </c>
      <c r="BB76">
        <f t="shared" si="42"/>
        <v>5422.7480280360078</v>
      </c>
      <c r="BC76">
        <f t="shared" si="43"/>
        <v>0</v>
      </c>
      <c r="BE76">
        <f>R71</f>
        <v>0.10827672675837087</v>
      </c>
      <c r="BF76">
        <f>(AF71+AH71)</f>
        <v>4665.1323140357053</v>
      </c>
    </row>
    <row r="77" spans="1:58" x14ac:dyDescent="0.2">
      <c r="A77" s="3">
        <f t="shared" ref="A77:A140" si="62">DATE(YEAR(A76),MONTH(A76)+2,1)-1</f>
        <v>45107</v>
      </c>
      <c r="B77">
        <f t="shared" si="54"/>
        <v>79</v>
      </c>
      <c r="C77">
        <f t="shared" si="46"/>
        <v>6.5</v>
      </c>
      <c r="D77">
        <f t="shared" si="47"/>
        <v>0</v>
      </c>
      <c r="E77">
        <f t="shared" si="55"/>
        <v>62</v>
      </c>
      <c r="F77">
        <f>IF(C77&gt;=$T$2,0,VLOOKUP($E77,'Mortality Table'!$A$3:$C$128,2+AF$2,FALSE))</f>
        <v>6.9176000000000003E-3</v>
      </c>
      <c r="G77">
        <f>F77*Assumptions!$B$1</f>
        <v>6.9176000000000003E-3</v>
      </c>
      <c r="H77">
        <f t="shared" ref="H77:H140" si="63">(1-(1-G77)^(1/12))</f>
        <v>5.7830251140866817E-4</v>
      </c>
      <c r="I77">
        <f t="shared" si="56"/>
        <v>2.7302737962723141E-4</v>
      </c>
      <c r="J77">
        <f>IF(B77&gt;$AJ$2,0,HLOOKUP(C77,Assumptions!$A$6:$J$7,2,TRUE))</f>
        <v>8.4500000000000006E-2</v>
      </c>
      <c r="K77" s="4">
        <f t="shared" si="53"/>
        <v>1</v>
      </c>
      <c r="L77" s="4">
        <f t="shared" ref="L77:L140" si="64">IF(B77&gt;$AJ$2,0,IF(B77=$AJ$2,1/$U$2,IF(K78=0,0,1/$U$2)))</f>
        <v>8.3333333333333329E-2</v>
      </c>
      <c r="M77" s="4">
        <f t="shared" si="57"/>
        <v>7.3300792005651649E-3</v>
      </c>
      <c r="N77">
        <f t="shared" ref="N77:N140" si="65">M77*O76*(1-H77/2)</f>
        <v>3.4723926262657558E-3</v>
      </c>
      <c r="O77" s="21">
        <f t="shared" si="58"/>
        <v>0.46978743610029644</v>
      </c>
      <c r="P77">
        <f>IF(B77&gt;$AJ$2,0,HLOOKUP(C77,Assumptions!$A$12:$J$13,2,TRUE))</f>
        <v>8.2000000000000007E-3</v>
      </c>
      <c r="Q77">
        <f t="shared" si="59"/>
        <v>3.2245545599183416E-4</v>
      </c>
      <c r="R77">
        <f t="shared" ref="R77:R140" si="66">IF(B77&gt;$AJ$2,0,Q77+R76-S77-T77)</f>
        <v>0.1051801808051266</v>
      </c>
      <c r="S77">
        <f t="shared" si="44"/>
        <v>6.0898590946407055E-5</v>
      </c>
      <c r="T77">
        <f t="shared" si="45"/>
        <v>7.7451506307167173E-4</v>
      </c>
      <c r="U77">
        <f t="shared" ref="U77:U140" si="67">IF(B77&gt;$AJ$2,0,U76*(1+$I$2/100)^D77)</f>
        <v>3582.1568895870009</v>
      </c>
      <c r="V77">
        <f t="shared" ref="V77:V140" si="68">IF(B77&gt;$AJ$2,0,IF(E77&lt;=75,SUM($J$2:$R$2),0))</f>
        <v>1410.2</v>
      </c>
      <c r="W77">
        <f t="shared" ref="W77:W140" si="69">IF(B77&gt;$AJ$2,0,($G$2+IF(B77&lt;13,$D$2,IF(B77&lt;25,$E$2,IF(B77&lt;37,$F$2,0))))/100)</f>
        <v>0.12</v>
      </c>
      <c r="X77">
        <f t="shared" si="60"/>
        <v>141.45200574832188</v>
      </c>
      <c r="Y77">
        <f t="shared" ref="Y77:Y140" si="70">IF($W$2=0,0,(U77-V77)*(1-W77)/$U$2*K77)</f>
        <v>159.27683856971339</v>
      </c>
      <c r="Z77">
        <f t="shared" ref="Z77:Z140" si="71">IF(B77&gt;$AJ$2,0,(Z76+Y77)*(1+$V$2/100)^(1/12))</f>
        <v>10283.974631206656</v>
      </c>
      <c r="AA77">
        <f t="shared" ref="AA77:AA140" si="72">IF(B77&gt;$AJ$2,0,MAX(0,IF(MONTH(A77)=1,AB76-AD76-Z76,0)))</f>
        <v>0</v>
      </c>
      <c r="AB77">
        <f t="shared" ref="AB77:AB140" si="73">IF(B77&gt;$AJ$2,0,(AB76+Y77)*(1+MAX(AC77,$V$2/100))^(1/12))</f>
        <v>10498.191988359806</v>
      </c>
      <c r="AC77" s="23">
        <f>IF(B77&gt;$AJ$2,0,HLOOKUP(YEAR(A77),Assumptions!$A$25:$AL$29,4,TRUE)/100)</f>
        <v>6.4170000000000008E-3</v>
      </c>
      <c r="AD77">
        <f t="shared" ref="AD77:AD140" si="74">IF(B77&gt;$AJ$2,0,AD76+AA77)*(1+$V$2/100)^(1/12)</f>
        <v>181.96743011812532</v>
      </c>
      <c r="AE77">
        <f t="shared" ref="AE77:AE140" si="75">IF(B77&gt;$AJ$2,0,IF(R77=0,0,(AF77*(R77-Q77)+Q77*Z77)/R77))</f>
        <v>4682.3229645926176</v>
      </c>
      <c r="AF77">
        <f t="shared" ref="AF77:AF140" si="76">IF(B77&gt;$AJ$2,0,AE76*(1+$V$2/100)^(1/12))</f>
        <v>4665.0969267737419</v>
      </c>
      <c r="AG77">
        <f t="shared" ref="AG77:AG140" si="77">IF(B77&gt;$AJ$2,0,IF(R77=0,0,(AG76*(R77-Q77)*(1+MAX(AC77,$V$2/100))^(1/12)+Q77*AB77)/R77))</f>
        <v>4822.7343832540064</v>
      </c>
      <c r="AH77">
        <f t="shared" ref="AH77:AH140" si="78">IF(B77&gt;$AJ$2,0,IF(R77=0,0,(AI77*(R77-Q77)+Q77*AD77)/R77))</f>
        <v>125.02085959406799</v>
      </c>
      <c r="AI77">
        <f t="shared" ref="AI77:AI140" si="79">IF(B77&gt;$AJ$2,0,(AH76+AJ77)*(1+$V$2/100)^(1/12))</f>
        <v>124.84573914105069</v>
      </c>
      <c r="AJ77">
        <f t="shared" ref="AJ77:AJ140" si="80">IF(B77&gt;$AJ$2,0,MAX(0,IF(MONTH(A77)=1,AG76-AE76-AH76)))</f>
        <v>0</v>
      </c>
      <c r="AK77">
        <f t="shared" ref="AK77:AK140" si="81">I77*(Z77+AD77)+S77*(AF77+AI77)</f>
        <v>3.1491894954022177</v>
      </c>
      <c r="AL77">
        <f t="shared" ref="AL77:AL140" si="82">N77*(Z77+AD77+BC77)+T77*(AE77+AH77)</f>
        <v>40.065220245865959</v>
      </c>
      <c r="AM77">
        <f t="shared" si="61"/>
        <v>0</v>
      </c>
      <c r="AN77">
        <f>IF($S$2=0,0,(SUMPRODUCT($K$2:$R$2,Assumptions!$B$34:$I$34)/$U$2+$J$2/$U$2*Assumptions!$A$34*G77)*K77*O76)</f>
        <v>10.239254473076048</v>
      </c>
      <c r="AO77">
        <f t="shared" ref="AO77:AO140" si="83">($P$2+$R$2)/$U$2*K77*O76</f>
        <v>0</v>
      </c>
      <c r="AP77">
        <f t="shared" ref="AP77:AP140" si="84">IF(B77&lt;=12,(X77-AO77)*$AB$2+AO77*0.06,IF(B77&lt;=24,(X77-AO77)*$AC$2+AO77*0.06,IF(B77&lt;=36,(X77-AO77)*$AD$2+AO77*0.06,0)))</f>
        <v>0</v>
      </c>
      <c r="AQ77">
        <f>IF(B77&gt;$AJ$2,0,AQ76*(1+Assumptions!$B$43)^(1/12))</f>
        <v>1.056252028005298</v>
      </c>
      <c r="AR77" s="27">
        <f>IF(B77&gt;$AJ$2,0,(O76+R76)*Assumptions!$B$39/12*AQ76+AV77*Assumptions!$B$41/12)</f>
        <v>8.4714978090257063</v>
      </c>
      <c r="AS77">
        <f t="shared" ref="AS77:AS140" si="85">IF(B77&gt;$AJ$2,0,Y77*K77*O76)</f>
        <v>75.474175965090794</v>
      </c>
      <c r="AT77" s="28">
        <f t="shared" ref="AT77:AT140" si="86">IF(B77&gt;$AJ$2,0,O77*(Z77+AD77+AA78+BC77)+R77*(AE77+AH77+AJ78))</f>
        <v>5422.405379984385</v>
      </c>
      <c r="AU77">
        <f t="shared" ref="AU77:AU140" si="87">IF(B77&gt;$AJ$2,0,IF(MONTH(A77)=12,0,AU76+AW77*((1+AX77)^(1/12)-1)-BB77*((1+$V$2/100)^(1/12)-1)))</f>
        <v>33.604842479177172</v>
      </c>
      <c r="AV77" s="28">
        <f t="shared" ref="AV77:AV140" si="88">IF(B77&gt;$AJ$2,0,AT76+AS77-AN77+AU76)</f>
        <v>5483.2709534854075</v>
      </c>
      <c r="AW77" s="28">
        <f t="shared" ref="AW77:AW140" si="89">IF(B77&gt;$AJ$2,0,AT76+X77+AU76-AN77-AP77-AR77)</f>
        <v>5540.7772854596133</v>
      </c>
      <c r="AX77" s="23">
        <f>HLOOKUP(YEAR(A77),Assumptions!$A$25:$AL$29,2,TRUE)/100</f>
        <v>1.2417000000000001E-2</v>
      </c>
      <c r="AY77" s="29">
        <f>1/(1+HLOOKUP(YEAR(A77),Assumptions!$A$18:$AL$20,3,TRUE))^(1/12)</f>
        <v>0.99899238057946116</v>
      </c>
      <c r="AZ77" s="26">
        <f t="shared" ref="AZ77:AZ140" si="90">(AZ78+BA78+AR78+AP78-X78)*AY78</f>
        <v>2051.3831112052758</v>
      </c>
      <c r="BA77">
        <f t="shared" ref="BA77:BA140" si="91">AK77+AL77+AM77+AN77</f>
        <v>53.453664214344229</v>
      </c>
      <c r="BB77">
        <f t="shared" ref="BB77:BB140" si="92">IF(B77&gt;$AJ$2,0,AT76-BC76*O76+AS77-AN77)</f>
        <v>5455.3670577933808</v>
      </c>
      <c r="BC77">
        <f t="shared" ref="BC77:BC140" si="93">IF($W$2=0,0,IF(B77&gt;$AJ$2,0,BC76+V77/$U$2*K77-$U$2/12*V77/$U$2))</f>
        <v>0</v>
      </c>
    </row>
    <row r="78" spans="1:58" x14ac:dyDescent="0.2">
      <c r="A78" s="3">
        <f t="shared" si="62"/>
        <v>45138</v>
      </c>
      <c r="B78">
        <f t="shared" si="54"/>
        <v>80</v>
      </c>
      <c r="C78">
        <f t="shared" si="46"/>
        <v>6.583333333333333</v>
      </c>
      <c r="D78">
        <f t="shared" si="47"/>
        <v>0</v>
      </c>
      <c r="E78">
        <f t="shared" si="55"/>
        <v>62</v>
      </c>
      <c r="F78">
        <f>IF(C78&gt;=$T$2,0,VLOOKUP($E78,'Mortality Table'!$A$3:$C$128,2+AF$2,FALSE))</f>
        <v>6.9176000000000003E-3</v>
      </c>
      <c r="G78">
        <f>F78*Assumptions!$B$1</f>
        <v>6.9176000000000003E-3</v>
      </c>
      <c r="H78">
        <f t="shared" si="63"/>
        <v>5.7830251140866817E-4</v>
      </c>
      <c r="I78">
        <f t="shared" si="56"/>
        <v>2.7068353890009715E-4</v>
      </c>
      <c r="J78">
        <f>IF(B78&gt;$AJ$2,0,HLOOKUP(C78,Assumptions!$A$6:$J$7,2,TRUE))</f>
        <v>8.4500000000000006E-2</v>
      </c>
      <c r="K78" s="4">
        <f t="shared" si="53"/>
        <v>1</v>
      </c>
      <c r="L78" s="4">
        <f t="shared" si="64"/>
        <v>8.3333333333333329E-2</v>
      </c>
      <c r="M78" s="4">
        <f t="shared" si="57"/>
        <v>7.3300792005651649E-3</v>
      </c>
      <c r="N78">
        <f t="shared" si="65"/>
        <v>3.4425833988206756E-3</v>
      </c>
      <c r="O78" s="21">
        <f t="shared" si="58"/>
        <v>0.46575448186936469</v>
      </c>
      <c r="P78">
        <f>IF(B78&gt;$AJ$2,0,HLOOKUP(C78,Assumptions!$A$12:$J$13,2,TRUE))</f>
        <v>8.2000000000000007E-3</v>
      </c>
      <c r="Q78">
        <f t="shared" si="59"/>
        <v>3.1968729321097246E-4</v>
      </c>
      <c r="R78">
        <f t="shared" si="66"/>
        <v>0.10466850893912033</v>
      </c>
      <c r="S78">
        <f t="shared" ref="S78:S141" si="94">H78*R77*(1-M78/2)</f>
        <v>6.0603033147964959E-5</v>
      </c>
      <c r="T78">
        <f t="shared" ref="T78:T141" si="95">M78*R77*(1-H78/2)</f>
        <v>7.707561260692844E-4</v>
      </c>
      <c r="U78">
        <f t="shared" si="67"/>
        <v>3582.1568895870009</v>
      </c>
      <c r="V78">
        <f t="shared" si="68"/>
        <v>1410.2</v>
      </c>
      <c r="W78">
        <f t="shared" si="69"/>
        <v>0.12</v>
      </c>
      <c r="X78">
        <f t="shared" si="60"/>
        <v>140.23769173900749</v>
      </c>
      <c r="Y78">
        <f t="shared" si="70"/>
        <v>159.27683856971339</v>
      </c>
      <c r="Z78">
        <f t="shared" si="71"/>
        <v>10443.251469776369</v>
      </c>
      <c r="AA78">
        <f t="shared" si="72"/>
        <v>0</v>
      </c>
      <c r="AB78">
        <f t="shared" si="73"/>
        <v>10663.151215072665</v>
      </c>
      <c r="AC78" s="23">
        <f>IF(B78&gt;$AJ$2,0,HLOOKUP(YEAR(A78),Assumptions!$A$25:$AL$29,4,TRUE)/100)</f>
        <v>6.4170000000000008E-3</v>
      </c>
      <c r="AD78">
        <f t="shared" si="74"/>
        <v>181.96743011812532</v>
      </c>
      <c r="AE78">
        <f t="shared" si="75"/>
        <v>4699.9184731067908</v>
      </c>
      <c r="AF78">
        <f t="shared" si="76"/>
        <v>4682.3229645926176</v>
      </c>
      <c r="AG78">
        <f t="shared" si="77"/>
        <v>4843.1362209815488</v>
      </c>
      <c r="AH78">
        <f t="shared" si="78"/>
        <v>125.19479056120416</v>
      </c>
      <c r="AI78">
        <f t="shared" si="79"/>
        <v>125.02085959406799</v>
      </c>
      <c r="AJ78">
        <f t="shared" si="80"/>
        <v>0</v>
      </c>
      <c r="AK78">
        <f t="shared" si="81"/>
        <v>3.1674114705424889</v>
      </c>
      <c r="AL78">
        <f t="shared" si="82"/>
        <v>40.297187800562732</v>
      </c>
      <c r="AM78">
        <f t="shared" si="61"/>
        <v>0</v>
      </c>
      <c r="AN78">
        <f>IF($S$2=0,0,(SUMPRODUCT($K$2:$R$2,Assumptions!$B$34:$I$34)/$U$2+$J$2/$U$2*Assumptions!$A$34*G78)*K78*O77)</f>
        <v>10.151354198450647</v>
      </c>
      <c r="AO78">
        <f t="shared" si="83"/>
        <v>0</v>
      </c>
      <c r="AP78">
        <f t="shared" si="84"/>
        <v>0</v>
      </c>
      <c r="AQ78">
        <f>IF(B78&gt;$AJ$2,0,AQ77*(1+Assumptions!$B$43)^(1/12))</f>
        <v>1.0571282293208839</v>
      </c>
      <c r="AR78" s="27">
        <f>IF(B78&gt;$AJ$2,0,(O77+R77)*Assumptions!$B$39/12*AQ77+AV78*Assumptions!$B$41/12)</f>
        <v>8.4286642381503238</v>
      </c>
      <c r="AS78">
        <f t="shared" si="85"/>
        <v>74.826257621826457</v>
      </c>
      <c r="AT78" s="28">
        <f t="shared" si="86"/>
        <v>5453.7807342394435</v>
      </c>
      <c r="AU78">
        <f t="shared" si="87"/>
        <v>39.34374628850437</v>
      </c>
      <c r="AV78" s="28">
        <f t="shared" si="88"/>
        <v>5520.6851258869383</v>
      </c>
      <c r="AW78" s="28">
        <f t="shared" si="89"/>
        <v>5577.6678957659688</v>
      </c>
      <c r="AX78" s="23">
        <f>HLOOKUP(YEAR(A78),Assumptions!$A$25:$AL$29,2,TRUE)/100</f>
        <v>1.2417000000000001E-2</v>
      </c>
      <c r="AY78" s="29">
        <f>1/(1+HLOOKUP(YEAR(A78),Assumptions!$A$18:$AL$20,3,TRUE))^(1/12)</f>
        <v>0.99899238057946116</v>
      </c>
      <c r="AZ78" s="26">
        <f t="shared" si="90"/>
        <v>2131.6452835620489</v>
      </c>
      <c r="BA78">
        <f t="shared" si="91"/>
        <v>53.615953469555869</v>
      </c>
      <c r="BB78">
        <f t="shared" si="92"/>
        <v>5487.0802834077613</v>
      </c>
      <c r="BC78">
        <f t="shared" si="93"/>
        <v>0</v>
      </c>
    </row>
    <row r="79" spans="1:58" x14ac:dyDescent="0.2">
      <c r="A79" s="3">
        <f t="shared" si="62"/>
        <v>45169</v>
      </c>
      <c r="B79">
        <f t="shared" si="54"/>
        <v>81</v>
      </c>
      <c r="C79">
        <f t="shared" si="46"/>
        <v>6.666666666666667</v>
      </c>
      <c r="D79">
        <f t="shared" si="47"/>
        <v>0</v>
      </c>
      <c r="E79">
        <f t="shared" si="55"/>
        <v>62</v>
      </c>
      <c r="F79">
        <f>IF(C79&gt;=$T$2,0,VLOOKUP($E79,'Mortality Table'!$A$3:$C$128,2+AF$2,FALSE))</f>
        <v>6.9176000000000003E-3</v>
      </c>
      <c r="G79">
        <f>F79*Assumptions!$B$1</f>
        <v>6.9176000000000003E-3</v>
      </c>
      <c r="H79">
        <f t="shared" si="63"/>
        <v>5.7830251140866817E-4</v>
      </c>
      <c r="I79">
        <f t="shared" si="56"/>
        <v>2.6835981919291947E-4</v>
      </c>
      <c r="J79">
        <f>IF(B79&gt;$AJ$2,0,HLOOKUP(C79,Assumptions!$A$6:$J$7,2,TRUE))</f>
        <v>8.4500000000000006E-2</v>
      </c>
      <c r="K79" s="4">
        <f t="shared" si="53"/>
        <v>1</v>
      </c>
      <c r="L79" s="4">
        <f t="shared" si="64"/>
        <v>8.3333333333333329E-2</v>
      </c>
      <c r="M79" s="4">
        <f t="shared" si="57"/>
        <v>7.3300792005651649E-3</v>
      </c>
      <c r="N79">
        <f t="shared" si="65"/>
        <v>3.4130300727486578E-3</v>
      </c>
      <c r="O79" s="21">
        <f t="shared" si="58"/>
        <v>0.46175614908332252</v>
      </c>
      <c r="P79">
        <f>IF(B79&gt;$AJ$2,0,HLOOKUP(C79,Assumptions!$A$12:$J$13,2,TRUE))</f>
        <v>8.2000000000000007E-3</v>
      </c>
      <c r="Q79">
        <f t="shared" si="59"/>
        <v>3.1694289410053077E-4</v>
      </c>
      <c r="R79">
        <f t="shared" si="66"/>
        <v>0.10415813700145259</v>
      </c>
      <c r="S79">
        <f t="shared" si="94"/>
        <v>6.030821651217774E-5</v>
      </c>
      <c r="T79">
        <f t="shared" si="95"/>
        <v>7.6700661525609876E-4</v>
      </c>
      <c r="U79">
        <f t="shared" si="67"/>
        <v>3582.1568895870009</v>
      </c>
      <c r="V79">
        <f t="shared" si="68"/>
        <v>1410.2</v>
      </c>
      <c r="W79">
        <f t="shared" si="69"/>
        <v>0.12</v>
      </c>
      <c r="X79">
        <f t="shared" si="60"/>
        <v>139.03380217369738</v>
      </c>
      <c r="Y79">
        <f t="shared" si="70"/>
        <v>159.27683856971339</v>
      </c>
      <c r="Z79">
        <f t="shared" si="71"/>
        <v>10602.528308346082</v>
      </c>
      <c r="AA79">
        <f t="shared" si="72"/>
        <v>0</v>
      </c>
      <c r="AB79">
        <f t="shared" si="73"/>
        <v>10828.198395348345</v>
      </c>
      <c r="AC79" s="23">
        <f>IF(B79&gt;$AJ$2,0,HLOOKUP(YEAR(A79),Assumptions!$A$25:$AL$29,4,TRUE)/100)</f>
        <v>6.4170000000000008E-3</v>
      </c>
      <c r="AD79">
        <f t="shared" si="74"/>
        <v>181.96743011812532</v>
      </c>
      <c r="AE79">
        <f t="shared" si="75"/>
        <v>4717.8795301858063</v>
      </c>
      <c r="AF79">
        <f t="shared" si="76"/>
        <v>4699.9184731067908</v>
      </c>
      <c r="AG79">
        <f t="shared" si="77"/>
        <v>4863.9225957904273</v>
      </c>
      <c r="AH79">
        <f t="shared" si="78"/>
        <v>125.36754408008329</v>
      </c>
      <c r="AI79">
        <f t="shared" si="79"/>
        <v>125.19479056120416</v>
      </c>
      <c r="AJ79">
        <f t="shared" si="80"/>
        <v>0</v>
      </c>
      <c r="AK79">
        <f t="shared" si="81"/>
        <v>3.1851193018621351</v>
      </c>
      <c r="AL79">
        <f t="shared" si="82"/>
        <v>40.522610820089767</v>
      </c>
      <c r="AM79">
        <f t="shared" si="61"/>
        <v>0</v>
      </c>
      <c r="AN79">
        <f>IF($S$2=0,0,(SUMPRODUCT($K$2:$R$2,Assumptions!$B$34:$I$34)/$U$2+$J$2/$U$2*Assumptions!$A$34*G79)*K79*O78)</f>
        <v>10.064208515704914</v>
      </c>
      <c r="AO79">
        <f t="shared" si="83"/>
        <v>0</v>
      </c>
      <c r="AP79">
        <f t="shared" si="84"/>
        <v>0</v>
      </c>
      <c r="AQ79">
        <f>IF(B79&gt;$AJ$2,0,AQ78*(1+Assumptions!$B$43)^(1/12))</f>
        <v>1.0580051574788569</v>
      </c>
      <c r="AR79" s="27">
        <f>IF(B79&gt;$AJ$2,0,(O78+R78)*Assumptions!$B$39/12*AQ78+AV79*Assumptions!$B$41/12)</f>
        <v>8.3860011861640089</v>
      </c>
      <c r="AS79">
        <f t="shared" si="85"/>
        <v>74.183901421827301</v>
      </c>
      <c r="AT79" s="28">
        <f t="shared" si="86"/>
        <v>5484.2708142920064</v>
      </c>
      <c r="AU79">
        <f t="shared" si="87"/>
        <v>45.119732103121436</v>
      </c>
      <c r="AV79" s="28">
        <f t="shared" si="88"/>
        <v>5557.24417343407</v>
      </c>
      <c r="AW79" s="28">
        <f t="shared" si="89"/>
        <v>5613.7080729997751</v>
      </c>
      <c r="AX79" s="23">
        <f>HLOOKUP(YEAR(A79),Assumptions!$A$25:$AL$29,2,TRUE)/100</f>
        <v>1.2417000000000001E-2</v>
      </c>
      <c r="AY79" s="29">
        <f>1/(1+HLOOKUP(YEAR(A79),Assumptions!$A$18:$AL$20,3,TRUE))^(1/12)</f>
        <v>0.99899238057946116</v>
      </c>
      <c r="AZ79" s="26">
        <f t="shared" si="90"/>
        <v>2210.671199533127</v>
      </c>
      <c r="BA79">
        <f t="shared" si="91"/>
        <v>53.771938637656817</v>
      </c>
      <c r="BB79">
        <f t="shared" si="92"/>
        <v>5517.900427145566</v>
      </c>
      <c r="BC79">
        <f t="shared" si="93"/>
        <v>0</v>
      </c>
    </row>
    <row r="80" spans="1:58" x14ac:dyDescent="0.2">
      <c r="A80" s="3">
        <f t="shared" si="62"/>
        <v>45199</v>
      </c>
      <c r="B80">
        <f t="shared" si="54"/>
        <v>82</v>
      </c>
      <c r="C80">
        <f t="shared" si="46"/>
        <v>6.75</v>
      </c>
      <c r="D80">
        <f t="shared" si="47"/>
        <v>0</v>
      </c>
      <c r="E80">
        <f t="shared" si="55"/>
        <v>62</v>
      </c>
      <c r="F80">
        <f>IF(C80&gt;=$T$2,0,VLOOKUP($E80,'Mortality Table'!$A$3:$C$128,2+AF$2,FALSE))</f>
        <v>6.9176000000000003E-3</v>
      </c>
      <c r="G80">
        <f>F80*Assumptions!$B$1</f>
        <v>6.9176000000000003E-3</v>
      </c>
      <c r="H80">
        <f t="shared" si="63"/>
        <v>5.7830251140866817E-4</v>
      </c>
      <c r="I80">
        <f t="shared" si="56"/>
        <v>2.6605604777406202E-4</v>
      </c>
      <c r="J80">
        <f>IF(B80&gt;$AJ$2,0,HLOOKUP(C80,Assumptions!$A$6:$J$7,2,TRUE))</f>
        <v>8.4500000000000006E-2</v>
      </c>
      <c r="K80" s="4">
        <f t="shared" si="53"/>
        <v>1</v>
      </c>
      <c r="L80" s="4">
        <f t="shared" si="64"/>
        <v>8.3333333333333329E-2</v>
      </c>
      <c r="M80" s="4">
        <f t="shared" si="57"/>
        <v>7.3300792005651649E-3</v>
      </c>
      <c r="N80">
        <f t="shared" si="65"/>
        <v>3.3837304512295109E-3</v>
      </c>
      <c r="O80" s="21">
        <f t="shared" si="58"/>
        <v>0.45779214052966088</v>
      </c>
      <c r="P80">
        <f>IF(B80&gt;$AJ$2,0,HLOOKUP(C80,Assumptions!$A$12:$J$13,2,TRUE))</f>
        <v>8.2000000000000007E-3</v>
      </c>
      <c r="Q80">
        <f t="shared" si="59"/>
        <v>3.1422205465804384E-4</v>
      </c>
      <c r="R80">
        <f t="shared" si="66"/>
        <v>0.10364907827697223</v>
      </c>
      <c r="S80">
        <f t="shared" si="94"/>
        <v>6.0014148873013132E-5</v>
      </c>
      <c r="T80">
        <f t="shared" si="95"/>
        <v>7.6326663026538943E-4</v>
      </c>
      <c r="U80">
        <f t="shared" si="67"/>
        <v>3582.1568895870009</v>
      </c>
      <c r="V80">
        <f t="shared" si="68"/>
        <v>1410.2</v>
      </c>
      <c r="W80">
        <f t="shared" si="69"/>
        <v>0.12</v>
      </c>
      <c r="X80">
        <f t="shared" si="60"/>
        <v>137.84024756233219</v>
      </c>
      <c r="Y80">
        <f t="shared" si="70"/>
        <v>159.27683856971339</v>
      </c>
      <c r="Z80">
        <f t="shared" si="71"/>
        <v>10761.805146915794</v>
      </c>
      <c r="AA80">
        <f t="shared" si="72"/>
        <v>0</v>
      </c>
      <c r="AB80">
        <f t="shared" si="73"/>
        <v>10993.333576082247</v>
      </c>
      <c r="AC80" s="23">
        <f>IF(B80&gt;$AJ$2,0,HLOOKUP(YEAR(A80),Assumptions!$A$25:$AL$29,4,TRUE)/100)</f>
        <v>6.4170000000000008E-3</v>
      </c>
      <c r="AD80">
        <f t="shared" si="74"/>
        <v>181.96743011812532</v>
      </c>
      <c r="AE80">
        <f t="shared" si="75"/>
        <v>4736.2022664518672</v>
      </c>
      <c r="AF80">
        <f t="shared" si="76"/>
        <v>4717.8795301858063</v>
      </c>
      <c r="AG80">
        <f t="shared" si="77"/>
        <v>4885.0899910590651</v>
      </c>
      <c r="AH80">
        <f t="shared" si="78"/>
        <v>125.53913202644939</v>
      </c>
      <c r="AI80">
        <f t="shared" si="79"/>
        <v>125.36754408008329</v>
      </c>
      <c r="AJ80">
        <f t="shared" si="80"/>
        <v>0</v>
      </c>
      <c r="AK80">
        <f t="shared" si="81"/>
        <v>3.2023202305275849</v>
      </c>
      <c r="AL80">
        <f t="shared" si="82"/>
        <v>40.741581494678421</v>
      </c>
      <c r="AM80">
        <f t="shared" si="61"/>
        <v>0</v>
      </c>
      <c r="AN80">
        <f>IF($S$2=0,0,(SUMPRODUCT($K$2:$R$2,Assumptions!$B$34:$I$34)/$U$2+$J$2/$U$2*Assumptions!$A$34*G80)*K80*O79)</f>
        <v>9.9778109469420766</v>
      </c>
      <c r="AO80">
        <f t="shared" si="83"/>
        <v>0</v>
      </c>
      <c r="AP80">
        <f t="shared" si="84"/>
        <v>0</v>
      </c>
      <c r="AQ80">
        <f>IF(B80&gt;$AJ$2,0,AQ79*(1+Assumptions!$B$43)^(1/12))</f>
        <v>1.0588828130821604</v>
      </c>
      <c r="AR80" s="27">
        <f>IF(B80&gt;$AJ$2,0,(O79+R79)*Assumptions!$B$39/12*AQ79+AV80*Assumptions!$B$41/12)</f>
        <v>8.3435087154185812</v>
      </c>
      <c r="AS80">
        <f t="shared" si="85"/>
        <v>73.547059616116869</v>
      </c>
      <c r="AT80" s="28">
        <f t="shared" si="86"/>
        <v>5513.8880882834364</v>
      </c>
      <c r="AU80">
        <f t="shared" si="87"/>
        <v>50.931936900252815</v>
      </c>
      <c r="AV80" s="28">
        <f t="shared" si="88"/>
        <v>5592.9597950643029</v>
      </c>
      <c r="AW80" s="28">
        <f t="shared" si="89"/>
        <v>5648.9094742951002</v>
      </c>
      <c r="AX80" s="23">
        <f>HLOOKUP(YEAR(A80),Assumptions!$A$25:$AL$29,2,TRUE)/100</f>
        <v>1.2417000000000001E-2</v>
      </c>
      <c r="AY80" s="29">
        <f>1/(1+HLOOKUP(YEAR(A80),Assumptions!$A$18:$AL$20,3,TRUE))^(1/12)</f>
        <v>0.99899238057946116</v>
      </c>
      <c r="AZ80" s="26">
        <f t="shared" si="90"/>
        <v>2288.4759876924468</v>
      </c>
      <c r="BA80">
        <f t="shared" si="91"/>
        <v>53.921712672148082</v>
      </c>
      <c r="BB80">
        <f t="shared" si="92"/>
        <v>5547.8400629611815</v>
      </c>
      <c r="BC80">
        <f t="shared" si="93"/>
        <v>0</v>
      </c>
    </row>
    <row r="81" spans="1:55" x14ac:dyDescent="0.2">
      <c r="A81" s="3">
        <f t="shared" si="62"/>
        <v>45230</v>
      </c>
      <c r="B81">
        <f t="shared" si="54"/>
        <v>83</v>
      </c>
      <c r="C81">
        <f t="shared" si="46"/>
        <v>6.833333333333333</v>
      </c>
      <c r="D81">
        <f t="shared" si="47"/>
        <v>0</v>
      </c>
      <c r="E81">
        <f t="shared" si="55"/>
        <v>62</v>
      </c>
      <c r="F81">
        <f>IF(C81&gt;=$T$2,0,VLOOKUP($E81,'Mortality Table'!$A$3:$C$128,2+AF$2,FALSE))</f>
        <v>6.9176000000000003E-3</v>
      </c>
      <c r="G81">
        <f>F81*Assumptions!$B$1</f>
        <v>6.9176000000000003E-3</v>
      </c>
      <c r="H81">
        <f t="shared" si="63"/>
        <v>5.7830251140866817E-4</v>
      </c>
      <c r="I81">
        <f t="shared" si="56"/>
        <v>2.637720533947268E-4</v>
      </c>
      <c r="J81">
        <f>IF(B81&gt;$AJ$2,0,HLOOKUP(C81,Assumptions!$A$6:$J$7,2,TRUE))</f>
        <v>8.4500000000000006E-2</v>
      </c>
      <c r="K81" s="4">
        <f t="shared" si="53"/>
        <v>1</v>
      </c>
      <c r="L81" s="4">
        <f t="shared" si="64"/>
        <v>8.3333333333333329E-2</v>
      </c>
      <c r="M81" s="4">
        <f t="shared" si="57"/>
        <v>7.3300792005651649E-3</v>
      </c>
      <c r="N81">
        <f t="shared" si="65"/>
        <v>3.3546823563019462E-3</v>
      </c>
      <c r="O81" s="21">
        <f t="shared" si="58"/>
        <v>0.45386216154733189</v>
      </c>
      <c r="P81">
        <f>IF(B81&gt;$AJ$2,0,HLOOKUP(C81,Assumptions!$A$12:$J$13,2,TRUE))</f>
        <v>8.2000000000000007E-3</v>
      </c>
      <c r="Q81">
        <f t="shared" si="59"/>
        <v>3.1152457263233324E-4</v>
      </c>
      <c r="R81">
        <f t="shared" si="66"/>
        <v>0.10314134574327161</v>
      </c>
      <c r="S81">
        <f t="shared" si="94"/>
        <v>5.9720837884975362E-5</v>
      </c>
      <c r="T81">
        <f t="shared" si="95"/>
        <v>7.5953626844799344E-4</v>
      </c>
      <c r="U81">
        <f t="shared" si="67"/>
        <v>3582.1568895870009</v>
      </c>
      <c r="V81">
        <f t="shared" si="68"/>
        <v>1410.2</v>
      </c>
      <c r="W81">
        <f t="shared" si="69"/>
        <v>0.12</v>
      </c>
      <c r="X81">
        <f t="shared" si="60"/>
        <v>136.65693918309211</v>
      </c>
      <c r="Y81">
        <f t="shared" si="70"/>
        <v>159.27683856971339</v>
      </c>
      <c r="Z81">
        <f t="shared" si="71"/>
        <v>10921.081985485507</v>
      </c>
      <c r="AA81">
        <f t="shared" si="72"/>
        <v>0</v>
      </c>
      <c r="AB81">
        <f t="shared" si="73"/>
        <v>11158.556804194777</v>
      </c>
      <c r="AC81" s="23">
        <f>IF(B81&gt;$AJ$2,0,HLOOKUP(YEAR(A81),Assumptions!$A$25:$AL$29,4,TRUE)/100)</f>
        <v>6.4170000000000008E-3</v>
      </c>
      <c r="AD81">
        <f t="shared" si="74"/>
        <v>181.96743011812532</v>
      </c>
      <c r="AE81">
        <f t="shared" si="75"/>
        <v>4754.8828643960724</v>
      </c>
      <c r="AF81">
        <f t="shared" si="76"/>
        <v>4736.2022664518672</v>
      </c>
      <c r="AG81">
        <f t="shared" si="77"/>
        <v>4906.6349375378322</v>
      </c>
      <c r="AH81">
        <f t="shared" si="78"/>
        <v>125.70956611687841</v>
      </c>
      <c r="AI81">
        <f t="shared" si="79"/>
        <v>125.53913202644939</v>
      </c>
      <c r="AJ81">
        <f t="shared" si="80"/>
        <v>0</v>
      </c>
      <c r="AK81">
        <f t="shared" si="81"/>
        <v>3.2190214131940884</v>
      </c>
      <c r="AL81">
        <f t="shared" si="82"/>
        <v>40.954190938161467</v>
      </c>
      <c r="AM81">
        <f t="shared" si="61"/>
        <v>0</v>
      </c>
      <c r="AN81">
        <f>IF($S$2=0,0,(SUMPRODUCT($K$2:$R$2,Assumptions!$B$34:$I$34)/$U$2+$J$2/$U$2*Assumptions!$A$34*G81)*K81*O80)</f>
        <v>9.8921550698757592</v>
      </c>
      <c r="AO81">
        <f t="shared" si="83"/>
        <v>0</v>
      </c>
      <c r="AP81">
        <f t="shared" si="84"/>
        <v>0</v>
      </c>
      <c r="AQ81">
        <f>IF(B81&gt;$AJ$2,0,AQ80*(1+Assumptions!$B$43)^(1/12))</f>
        <v>1.0597611967342382</v>
      </c>
      <c r="AR81" s="27">
        <f>IF(B81&gt;$AJ$2,0,(O80+R80)*Assumptions!$B$39/12*AQ80+AV81*Assumptions!$B$41/12)</f>
        <v>8.3011868761482663</v>
      </c>
      <c r="AS81">
        <f t="shared" si="85"/>
        <v>72.915684865626346</v>
      </c>
      <c r="AT81" s="28">
        <f t="shared" si="86"/>
        <v>5542.6448788402358</v>
      </c>
      <c r="AU81">
        <f t="shared" si="87"/>
        <v>56.779509512985129</v>
      </c>
      <c r="AV81" s="28">
        <f t="shared" si="88"/>
        <v>5627.8435549794394</v>
      </c>
      <c r="AW81" s="28">
        <f t="shared" si="89"/>
        <v>5683.2836224207558</v>
      </c>
      <c r="AX81" s="23">
        <f>HLOOKUP(YEAR(A81),Assumptions!$A$25:$AL$29,2,TRUE)/100</f>
        <v>1.2417000000000001E-2</v>
      </c>
      <c r="AY81" s="29">
        <f>1/(1+HLOOKUP(YEAR(A81),Assumptions!$A$18:$AL$20,3,TRUE))^(1/12)</f>
        <v>0.99899238057946116</v>
      </c>
      <c r="AZ81" s="26">
        <f t="shared" si="90"/>
        <v>2365.0746112529109</v>
      </c>
      <c r="BA81">
        <f t="shared" si="91"/>
        <v>54.065367421231315</v>
      </c>
      <c r="BB81">
        <f t="shared" si="92"/>
        <v>5576.9116180791871</v>
      </c>
      <c r="BC81">
        <f t="shared" si="93"/>
        <v>0</v>
      </c>
    </row>
    <row r="82" spans="1:55" x14ac:dyDescent="0.2">
      <c r="A82" s="3">
        <f t="shared" si="62"/>
        <v>45260</v>
      </c>
      <c r="B82">
        <f t="shared" si="54"/>
        <v>84</v>
      </c>
      <c r="C82">
        <f t="shared" si="46"/>
        <v>6.916666666666667</v>
      </c>
      <c r="D82">
        <f t="shared" si="47"/>
        <v>0</v>
      </c>
      <c r="E82">
        <f t="shared" si="55"/>
        <v>62</v>
      </c>
      <c r="F82">
        <f>IF(C82&gt;=$T$2,0,VLOOKUP($E82,'Mortality Table'!$A$3:$C$128,2+AF$2,FALSE))</f>
        <v>6.9176000000000003E-3</v>
      </c>
      <c r="G82">
        <f>F82*Assumptions!$B$1</f>
        <v>6.9176000000000003E-3</v>
      </c>
      <c r="H82">
        <f t="shared" si="63"/>
        <v>5.7830251140866817E-4</v>
      </c>
      <c r="I82">
        <f t="shared" si="56"/>
        <v>2.6150766627622431E-4</v>
      </c>
      <c r="J82">
        <f>IF(B82&gt;$AJ$2,0,HLOOKUP(C82,Assumptions!$A$6:$J$7,2,TRUE))</f>
        <v>8.4500000000000006E-2</v>
      </c>
      <c r="K82" s="4">
        <f t="shared" si="53"/>
        <v>1</v>
      </c>
      <c r="L82" s="4">
        <f t="shared" si="64"/>
        <v>8.3333333333333329E-2</v>
      </c>
      <c r="M82" s="4">
        <f t="shared" si="57"/>
        <v>7.3300792005651649E-3</v>
      </c>
      <c r="N82">
        <f t="shared" si="65"/>
        <v>3.3258836287016801E-3</v>
      </c>
      <c r="O82" s="21">
        <f t="shared" si="58"/>
        <v>0.44996592000484548</v>
      </c>
      <c r="P82">
        <f>IF(B82&gt;$AJ$2,0,HLOOKUP(C82,Assumptions!$A$12:$J$13,2,TRUE))</f>
        <v>8.2000000000000007E-3</v>
      </c>
      <c r="Q82">
        <f t="shared" si="59"/>
        <v>3.088502475084733E-4</v>
      </c>
      <c r="R82">
        <f t="shared" si="66"/>
        <v>0.10263495207485136</v>
      </c>
      <c r="S82">
        <f t="shared" si="94"/>
        <v>5.9428291025532626E-5</v>
      </c>
      <c r="T82">
        <f t="shared" si="95"/>
        <v>7.558156249031845E-4</v>
      </c>
      <c r="U82">
        <f t="shared" si="67"/>
        <v>3582.1568895870009</v>
      </c>
      <c r="V82">
        <f t="shared" si="68"/>
        <v>1410.2</v>
      </c>
      <c r="W82">
        <f t="shared" si="69"/>
        <v>0.12</v>
      </c>
      <c r="X82">
        <f t="shared" si="60"/>
        <v>135.48378907580195</v>
      </c>
      <c r="Y82">
        <f t="shared" si="70"/>
        <v>159.27683856971339</v>
      </c>
      <c r="Z82">
        <f t="shared" si="71"/>
        <v>11080.35882405522</v>
      </c>
      <c r="AA82">
        <f t="shared" si="72"/>
        <v>0</v>
      </c>
      <c r="AB82">
        <f t="shared" si="73"/>
        <v>11323.868126631358</v>
      </c>
      <c r="AC82" s="23">
        <f>IF(B82&gt;$AJ$2,0,HLOOKUP(YEAR(A82),Assumptions!$A$25:$AL$29,4,TRUE)/100)</f>
        <v>6.4170000000000008E-3</v>
      </c>
      <c r="AD82">
        <f t="shared" si="74"/>
        <v>181.96743011812532</v>
      </c>
      <c r="AE82">
        <f t="shared" si="75"/>
        <v>4773.9175575123591</v>
      </c>
      <c r="AF82">
        <f t="shared" si="76"/>
        <v>4754.8828643960724</v>
      </c>
      <c r="AG82">
        <f t="shared" si="77"/>
        <v>4928.5540125582093</v>
      </c>
      <c r="AH82">
        <f t="shared" si="78"/>
        <v>125.87885791143599</v>
      </c>
      <c r="AI82">
        <f t="shared" si="79"/>
        <v>125.70956611687841</v>
      </c>
      <c r="AJ82">
        <f t="shared" si="80"/>
        <v>0</v>
      </c>
      <c r="AK82">
        <f t="shared" si="81"/>
        <v>3.235229922907858</v>
      </c>
      <c r="AL82">
        <f t="shared" si="82"/>
        <v>41.160529199474169</v>
      </c>
      <c r="AM82">
        <f t="shared" si="61"/>
        <v>0</v>
      </c>
      <c r="AN82">
        <f>IF($S$2=0,0,(SUMPRODUCT($K$2:$R$2,Assumptions!$B$34:$I$34)/$U$2+$J$2/$U$2*Assumptions!$A$34*G82)*K82*O81)</f>
        <v>9.8072345173525726</v>
      </c>
      <c r="AO82">
        <f t="shared" si="83"/>
        <v>0</v>
      </c>
      <c r="AP82">
        <f t="shared" si="84"/>
        <v>0</v>
      </c>
      <c r="AQ82">
        <f>IF(B82&gt;$AJ$2,0,AQ81*(1+Assumptions!$B$43)^(1/12))</f>
        <v>1.0606403090390344</v>
      </c>
      <c r="AR82" s="27">
        <f>IF(B82&gt;$AJ$2,0,(O81+R81)*Assumptions!$B$39/12*AQ81+AV82*Assumptions!$B$41/12)</f>
        <v>8.2590357066621323</v>
      </c>
      <c r="AS82">
        <f t="shared" si="85"/>
        <v>72.289730237675556</v>
      </c>
      <c r="AT82" s="28">
        <f t="shared" si="86"/>
        <v>5570.5533646273843</v>
      </c>
      <c r="AU82">
        <f t="shared" si="87"/>
        <v>62.661610493483664</v>
      </c>
      <c r="AV82" s="28">
        <f t="shared" si="88"/>
        <v>5661.9068840735445</v>
      </c>
      <c r="AW82" s="28">
        <f t="shared" si="89"/>
        <v>5716.8419072050083</v>
      </c>
      <c r="AX82" s="23">
        <f>HLOOKUP(YEAR(A82),Assumptions!$A$25:$AL$29,2,TRUE)/100</f>
        <v>1.2417000000000001E-2</v>
      </c>
      <c r="AY82" s="29">
        <f>1/(1+HLOOKUP(YEAR(A82),Assumptions!$A$18:$AL$20,3,TRUE))^(1/12)</f>
        <v>0.99899238057946116</v>
      </c>
      <c r="AZ82" s="26">
        <f t="shared" si="90"/>
        <v>2440.4818697665405</v>
      </c>
      <c r="BA82">
        <f t="shared" si="91"/>
        <v>54.202993639734601</v>
      </c>
      <c r="BB82">
        <f t="shared" si="92"/>
        <v>5605.1273745605595</v>
      </c>
      <c r="BC82">
        <f t="shared" si="93"/>
        <v>0</v>
      </c>
    </row>
    <row r="83" spans="1:55" x14ac:dyDescent="0.2">
      <c r="A83" s="3">
        <f t="shared" si="62"/>
        <v>45291</v>
      </c>
      <c r="B83">
        <f t="shared" si="54"/>
        <v>85</v>
      </c>
      <c r="C83">
        <f t="shared" si="46"/>
        <v>7</v>
      </c>
      <c r="D83">
        <f t="shared" si="47"/>
        <v>1</v>
      </c>
      <c r="E83">
        <f t="shared" si="55"/>
        <v>63</v>
      </c>
      <c r="F83">
        <f>IF(C83&gt;=$T$2,0,VLOOKUP($E83,'Mortality Table'!$A$3:$C$128,2+AF$2,FALSE))</f>
        <v>7.3750999999999999E-3</v>
      </c>
      <c r="G83">
        <f>F83*Assumptions!$B$1</f>
        <v>7.3750999999999999E-3</v>
      </c>
      <c r="H83">
        <f t="shared" si="63"/>
        <v>6.1667898445150193E-4</v>
      </c>
      <c r="I83">
        <f t="shared" si="56"/>
        <v>2.7658358431871668E-4</v>
      </c>
      <c r="J83">
        <f>IF(B83&gt;$AJ$2,0,HLOOKUP(C83,Assumptions!$A$6:$J$7,2,TRUE))</f>
        <v>7.5200000000000003E-2</v>
      </c>
      <c r="K83" s="4">
        <f t="shared" si="53"/>
        <v>1</v>
      </c>
      <c r="L83" s="4">
        <f t="shared" si="64"/>
        <v>8.3333333333333329E-2</v>
      </c>
      <c r="M83" s="4">
        <f t="shared" si="57"/>
        <v>6.4936396904045068E-3</v>
      </c>
      <c r="N83">
        <f t="shared" si="65"/>
        <v>2.921015615205187E-3</v>
      </c>
      <c r="O83" s="21">
        <f t="shared" si="58"/>
        <v>0.44652185176862885</v>
      </c>
      <c r="P83">
        <f>IF(B83&gt;$AJ$2,0,HLOOKUP(C83,Assumptions!$A$12:$J$13,2,TRUE))</f>
        <v>6.6E-3</v>
      </c>
      <c r="Q83">
        <f t="shared" si="59"/>
        <v>2.4646903669270527E-4</v>
      </c>
      <c r="R83">
        <f t="shared" si="66"/>
        <v>0.10215206489586848</v>
      </c>
      <c r="S83">
        <f t="shared" si="94"/>
        <v>6.3087317637158859E-5</v>
      </c>
      <c r="T83">
        <f t="shared" si="95"/>
        <v>6.662688980384301E-4</v>
      </c>
      <c r="U83">
        <f t="shared" si="67"/>
        <v>3689.621596274611</v>
      </c>
      <c r="V83">
        <f t="shared" si="68"/>
        <v>1410.2</v>
      </c>
      <c r="W83">
        <f t="shared" si="69"/>
        <v>0.12</v>
      </c>
      <c r="X83">
        <f t="shared" si="60"/>
        <v>138.3503313364543</v>
      </c>
      <c r="Y83">
        <f t="shared" si="70"/>
        <v>167.1575837268048</v>
      </c>
      <c r="Z83">
        <f t="shared" si="71"/>
        <v>11247.516407782025</v>
      </c>
      <c r="AA83">
        <f t="shared" si="72"/>
        <v>0</v>
      </c>
      <c r="AB83">
        <f t="shared" si="73"/>
        <v>11497.152537404012</v>
      </c>
      <c r="AC83" s="23">
        <f>IF(B83&gt;$AJ$2,0,HLOOKUP(YEAR(A83),Assumptions!$A$25:$AL$29,4,TRUE)/100)</f>
        <v>6.4170000000000008E-3</v>
      </c>
      <c r="AD83">
        <f t="shared" si="74"/>
        <v>181.96743011812532</v>
      </c>
      <c r="AE83">
        <f t="shared" si="75"/>
        <v>4789.5368372027642</v>
      </c>
      <c r="AF83">
        <f t="shared" si="76"/>
        <v>4773.9175575123591</v>
      </c>
      <c r="AG83">
        <f t="shared" si="77"/>
        <v>4947.0239883391896</v>
      </c>
      <c r="AH83">
        <f t="shared" si="78"/>
        <v>126.01418651566287</v>
      </c>
      <c r="AI83">
        <f t="shared" si="79"/>
        <v>125.87885791143599</v>
      </c>
      <c r="AJ83">
        <f t="shared" si="80"/>
        <v>0</v>
      </c>
      <c r="AK83">
        <f t="shared" si="81"/>
        <v>3.4703226196165189</v>
      </c>
      <c r="AL83">
        <f t="shared" si="82"/>
        <v>36.6607795280662</v>
      </c>
      <c r="AM83">
        <f t="shared" si="61"/>
        <v>0</v>
      </c>
      <c r="AN83">
        <f>IF($S$2=0,0,(SUMPRODUCT($K$2:$R$2,Assumptions!$B$34:$I$34)/$U$2+$J$2/$U$2*Assumptions!$A$34*G83)*K83*O82)</f>
        <v>9.7323941405054946</v>
      </c>
      <c r="AO83">
        <f t="shared" si="83"/>
        <v>0</v>
      </c>
      <c r="AP83">
        <f t="shared" si="84"/>
        <v>0</v>
      </c>
      <c r="AQ83">
        <f>IF(B83&gt;$AJ$2,0,AQ82*(1+Assumptions!$B$43)^(1/12))</f>
        <v>1.0615201506009941</v>
      </c>
      <c r="AR83" s="27">
        <f>IF(B83&gt;$AJ$2,0,(O82+R82)*Assumptions!$B$39/12*AQ82+AV83*Assumptions!$B$41/12)</f>
        <v>8.2178509945399707</v>
      </c>
      <c r="AS83">
        <f t="shared" si="85"/>
        <v>75.215215947418713</v>
      </c>
      <c r="AT83" s="28">
        <f t="shared" si="86"/>
        <v>5639.0785565662727</v>
      </c>
      <c r="AU83">
        <f t="shared" si="87"/>
        <v>0</v>
      </c>
      <c r="AV83" s="28">
        <f t="shared" si="88"/>
        <v>5698.6977969277814</v>
      </c>
      <c r="AW83" s="28">
        <f t="shared" si="89"/>
        <v>5753.6150613222771</v>
      </c>
      <c r="AX83" s="23">
        <f>HLOOKUP(YEAR(A83),Assumptions!$A$25:$AL$29,2,TRUE)/100</f>
        <v>1.2417000000000001E-2</v>
      </c>
      <c r="AY83" s="29">
        <f>1/(1+HLOOKUP(YEAR(A83),Assumptions!$A$18:$AL$20,3,TRUE))^(1/12)</f>
        <v>0.99899238057946116</v>
      </c>
      <c r="AZ83" s="26">
        <f t="shared" si="90"/>
        <v>2523.2124110605964</v>
      </c>
      <c r="BA83">
        <f t="shared" si="91"/>
        <v>49.863496288188216</v>
      </c>
      <c r="BB83">
        <f t="shared" si="92"/>
        <v>5636.0361864342976</v>
      </c>
      <c r="BC83">
        <f t="shared" si="93"/>
        <v>0</v>
      </c>
    </row>
    <row r="84" spans="1:55" x14ac:dyDescent="0.2">
      <c r="A84" s="3">
        <f t="shared" si="62"/>
        <v>45322</v>
      </c>
      <c r="B84">
        <f t="shared" si="54"/>
        <v>86</v>
      </c>
      <c r="C84">
        <f t="shared" si="46"/>
        <v>7.0833333333333339</v>
      </c>
      <c r="D84">
        <f t="shared" si="47"/>
        <v>0</v>
      </c>
      <c r="E84">
        <f t="shared" si="55"/>
        <v>63</v>
      </c>
      <c r="F84">
        <f>IF(C84&gt;=$T$2,0,VLOOKUP($E84,'Mortality Table'!$A$3:$C$128,2+AF$2,FALSE))</f>
        <v>7.3750999999999999E-3</v>
      </c>
      <c r="G84">
        <f>F84*Assumptions!$B$1</f>
        <v>7.3750999999999999E-3</v>
      </c>
      <c r="H84">
        <f t="shared" si="63"/>
        <v>6.1667898445150193E-4</v>
      </c>
      <c r="I84">
        <f t="shared" si="56"/>
        <v>2.744665956867759E-4</v>
      </c>
      <c r="J84">
        <f>IF(B84&gt;$AJ$2,0,HLOOKUP(C84,Assumptions!$A$6:$J$7,2,TRUE))</f>
        <v>7.5200000000000003E-2</v>
      </c>
      <c r="K84" s="4">
        <f t="shared" si="53"/>
        <v>1</v>
      </c>
      <c r="L84" s="4">
        <f t="shared" si="64"/>
        <v>8.3333333333333329E-2</v>
      </c>
      <c r="M84" s="4">
        <f t="shared" si="57"/>
        <v>6.4936396904045068E-3</v>
      </c>
      <c r="N84">
        <f t="shared" si="65"/>
        <v>2.8986579728803802E-3</v>
      </c>
      <c r="O84" s="21">
        <f t="shared" si="58"/>
        <v>0.44310414465330694</v>
      </c>
      <c r="P84">
        <f>IF(B84&gt;$AJ$2,0,HLOOKUP(C84,Assumptions!$A$12:$J$13,2,TRUE))</f>
        <v>6.6E-3</v>
      </c>
      <c r="Q84">
        <f t="shared" si="59"/>
        <v>2.4458254675481148E-4</v>
      </c>
      <c r="R84">
        <f t="shared" si="66"/>
        <v>0.10167072277495685</v>
      </c>
      <c r="S84">
        <f t="shared" si="94"/>
        <v>6.2790498120731471E-5</v>
      </c>
      <c r="T84">
        <f t="shared" si="95"/>
        <v>6.631341695457119E-4</v>
      </c>
      <c r="U84">
        <f t="shared" si="67"/>
        <v>3689.621596274611</v>
      </c>
      <c r="V84">
        <f t="shared" si="68"/>
        <v>1410.2</v>
      </c>
      <c r="W84">
        <f t="shared" si="69"/>
        <v>0.12</v>
      </c>
      <c r="X84">
        <f t="shared" si="60"/>
        <v>137.29138895783862</v>
      </c>
      <c r="Y84">
        <f t="shared" si="70"/>
        <v>167.1575837268048</v>
      </c>
      <c r="Z84">
        <f t="shared" si="71"/>
        <v>11414.673991508829</v>
      </c>
      <c r="AA84">
        <f t="shared" si="72"/>
        <v>67.668699503861717</v>
      </c>
      <c r="AB84">
        <f t="shared" si="73"/>
        <v>11670.879099132406</v>
      </c>
      <c r="AC84" s="23">
        <f>IF(B84&gt;$AJ$2,0,HLOOKUP(YEAR(A84),Assumptions!$A$25:$AL$29,4,TRUE)/100)</f>
        <v>6.7789999999999994E-3</v>
      </c>
      <c r="AD84">
        <f t="shared" si="74"/>
        <v>249.63612962198704</v>
      </c>
      <c r="AE84">
        <f t="shared" si="75"/>
        <v>4805.474492346485</v>
      </c>
      <c r="AF84">
        <f t="shared" si="76"/>
        <v>4789.5368372027642</v>
      </c>
      <c r="AG84">
        <f t="shared" si="77"/>
        <v>4965.9784312426209</v>
      </c>
      <c r="AH84">
        <f t="shared" si="78"/>
        <v>157.70882785144923</v>
      </c>
      <c r="AI84">
        <f t="shared" si="79"/>
        <v>157.48715113642538</v>
      </c>
      <c r="AJ84">
        <f t="shared" si="80"/>
        <v>31.472964620762511</v>
      </c>
      <c r="AK84">
        <f t="shared" si="81"/>
        <v>3.5120895904246057</v>
      </c>
      <c r="AL84">
        <f t="shared" si="82"/>
        <v>37.10210198010774</v>
      </c>
      <c r="AM84">
        <f t="shared" si="61"/>
        <v>0</v>
      </c>
      <c r="AN84">
        <f>IF($S$2=0,0,(SUMPRODUCT($K$2:$R$2,Assumptions!$B$34:$I$34)/$U$2+$J$2/$U$2*Assumptions!$A$34*G84)*K84*O83)</f>
        <v>9.6579017666801725</v>
      </c>
      <c r="AO84">
        <f t="shared" si="83"/>
        <v>0</v>
      </c>
      <c r="AP84">
        <f t="shared" si="84"/>
        <v>0</v>
      </c>
      <c r="AQ84">
        <f>IF(B84&gt;$AJ$2,0,AQ83*(1+Assumptions!$B$43)^(1/12))</f>
        <v>1.0624007220250642</v>
      </c>
      <c r="AR84" s="27">
        <f>IF(B84&gt;$AJ$2,0,(O83+R83)*Assumptions!$B$39/12*AQ83+AV84*Assumptions!$B$41/12)</f>
        <v>8.1754831586143784</v>
      </c>
      <c r="AS84">
        <f t="shared" si="85"/>
        <v>74.639513822862497</v>
      </c>
      <c r="AT84" s="28">
        <f t="shared" si="86"/>
        <v>5673.1145946237157</v>
      </c>
      <c r="AU84">
        <f t="shared" si="87"/>
        <v>6.0967345998627556</v>
      </c>
      <c r="AV84" s="28">
        <f t="shared" si="88"/>
        <v>5704.0601686224554</v>
      </c>
      <c r="AW84" s="28">
        <f t="shared" si="89"/>
        <v>5758.5365605988172</v>
      </c>
      <c r="AX84" s="23">
        <f>HLOOKUP(YEAR(A84),Assumptions!$A$25:$AL$29,2,TRUE)/100</f>
        <v>1.2779E-2</v>
      </c>
      <c r="AY84" s="29">
        <f>1/(1+HLOOKUP(YEAR(A84),Assumptions!$A$18:$AL$20,3,TRUE))^(1/12)</f>
        <v>0.99897215015575014</v>
      </c>
      <c r="AZ84" s="26">
        <f t="shared" si="90"/>
        <v>2604.652375460691</v>
      </c>
      <c r="BA84">
        <f t="shared" si="91"/>
        <v>50.272093337212524</v>
      </c>
      <c r="BB84">
        <f t="shared" si="92"/>
        <v>5704.0601686224554</v>
      </c>
      <c r="BC84">
        <f t="shared" si="93"/>
        <v>0</v>
      </c>
    </row>
    <row r="85" spans="1:55" x14ac:dyDescent="0.2">
      <c r="A85" s="3">
        <f t="shared" si="62"/>
        <v>45351</v>
      </c>
      <c r="B85">
        <f t="shared" si="54"/>
        <v>87</v>
      </c>
      <c r="C85">
        <f t="shared" si="46"/>
        <v>7.1666666666666661</v>
      </c>
      <c r="D85">
        <f t="shared" si="47"/>
        <v>0</v>
      </c>
      <c r="E85">
        <f t="shared" si="55"/>
        <v>63</v>
      </c>
      <c r="F85">
        <f>IF(C85&gt;=$T$2,0,VLOOKUP($E85,'Mortality Table'!$A$3:$C$128,2+AF$2,FALSE))</f>
        <v>7.3750999999999999E-3</v>
      </c>
      <c r="G85">
        <f>F85*Assumptions!$B$1</f>
        <v>7.3750999999999999E-3</v>
      </c>
      <c r="H85">
        <f t="shared" si="63"/>
        <v>6.1667898445150193E-4</v>
      </c>
      <c r="I85">
        <f t="shared" si="56"/>
        <v>2.7236581062266009E-4</v>
      </c>
      <c r="J85">
        <f>IF(B85&gt;$AJ$2,0,HLOOKUP(C85,Assumptions!$A$6:$J$7,2,TRUE))</f>
        <v>7.5200000000000003E-2</v>
      </c>
      <c r="K85" s="4">
        <f t="shared" si="53"/>
        <v>1</v>
      </c>
      <c r="L85" s="4">
        <f t="shared" si="64"/>
        <v>8.3333333333333329E-2</v>
      </c>
      <c r="M85" s="4">
        <f t="shared" si="57"/>
        <v>6.4936396904045068E-3</v>
      </c>
      <c r="N85">
        <f t="shared" si="65"/>
        <v>2.8764714573950613E-3</v>
      </c>
      <c r="O85" s="21">
        <f t="shared" si="58"/>
        <v>0.43971259688915637</v>
      </c>
      <c r="P85">
        <f>IF(B85&gt;$AJ$2,0,HLOOKUP(C85,Assumptions!$A$12:$J$13,2,TRUE))</f>
        <v>6.6E-3</v>
      </c>
      <c r="Q85">
        <f t="shared" si="59"/>
        <v>2.4271049613283963E-4</v>
      </c>
      <c r="R85">
        <f t="shared" si="66"/>
        <v>0.10119092917176431</v>
      </c>
      <c r="S85">
        <f t="shared" si="94"/>
        <v>6.2494628315560715E-5</v>
      </c>
      <c r="T85">
        <f t="shared" si="95"/>
        <v>6.600094710098234E-4</v>
      </c>
      <c r="U85">
        <f t="shared" si="67"/>
        <v>3689.621596274611</v>
      </c>
      <c r="V85">
        <f t="shared" si="68"/>
        <v>1410.2</v>
      </c>
      <c r="W85">
        <f t="shared" si="69"/>
        <v>0.12</v>
      </c>
      <c r="X85">
        <f t="shared" si="60"/>
        <v>136.24055179263587</v>
      </c>
      <c r="Y85">
        <f t="shared" si="70"/>
        <v>167.1575837268048</v>
      </c>
      <c r="Z85">
        <f t="shared" si="71"/>
        <v>11581.831575235634</v>
      </c>
      <c r="AA85">
        <f t="shared" si="72"/>
        <v>0</v>
      </c>
      <c r="AB85">
        <f t="shared" si="73"/>
        <v>11844.703498276851</v>
      </c>
      <c r="AC85" s="23">
        <f>IF(B85&gt;$AJ$2,0,HLOOKUP(YEAR(A85),Assumptions!$A$25:$AL$29,4,TRUE)/100)</f>
        <v>6.7789999999999994E-3</v>
      </c>
      <c r="AD85">
        <f t="shared" si="74"/>
        <v>249.63612962198704</v>
      </c>
      <c r="AE85">
        <f t="shared" si="75"/>
        <v>4821.7278561906851</v>
      </c>
      <c r="AF85">
        <f t="shared" si="76"/>
        <v>4805.474492346485</v>
      </c>
      <c r="AG85">
        <f t="shared" si="77"/>
        <v>4985.2673059996878</v>
      </c>
      <c r="AH85">
        <f t="shared" si="78"/>
        <v>157.92931916626864</v>
      </c>
      <c r="AI85">
        <f t="shared" si="79"/>
        <v>157.70882785144923</v>
      </c>
      <c r="AJ85">
        <f t="shared" si="80"/>
        <v>0</v>
      </c>
      <c r="AK85">
        <f t="shared" si="81"/>
        <v>3.53265958914713</v>
      </c>
      <c r="AL85">
        <f t="shared" si="82"/>
        <v>37.319500050232016</v>
      </c>
      <c r="AM85">
        <f t="shared" si="61"/>
        <v>0</v>
      </c>
      <c r="AN85">
        <f>IF($S$2=0,0,(SUMPRODUCT($K$2:$R$2,Assumptions!$B$34:$I$34)/$U$2+$J$2/$U$2*Assumptions!$A$34*G85)*K85*O84)</f>
        <v>9.5839795622990831</v>
      </c>
      <c r="AO85">
        <f t="shared" si="83"/>
        <v>0</v>
      </c>
      <c r="AP85">
        <f t="shared" si="84"/>
        <v>0</v>
      </c>
      <c r="AQ85">
        <f>IF(B85&gt;$AJ$2,0,AQ84*(1+Assumptions!$B$43)^(1/12))</f>
        <v>1.0632820239166929</v>
      </c>
      <c r="AR85" s="27">
        <f>IF(B85&gt;$AJ$2,0,(O84+R84)*Assumptions!$B$39/12*AQ84+AV85*Assumptions!$B$41/12)</f>
        <v>8.1411005173062954</v>
      </c>
      <c r="AS85">
        <f t="shared" si="85"/>
        <v>74.068218159579388</v>
      </c>
      <c r="AT85" s="28">
        <f t="shared" si="86"/>
        <v>5706.3415260443444</v>
      </c>
      <c r="AU85">
        <f t="shared" si="87"/>
        <v>12.234961077345805</v>
      </c>
      <c r="AV85" s="28">
        <f t="shared" si="88"/>
        <v>5743.6955678208587</v>
      </c>
      <c r="AW85" s="28">
        <f t="shared" si="89"/>
        <v>5797.7268009366098</v>
      </c>
      <c r="AX85" s="23">
        <f>HLOOKUP(YEAR(A85),Assumptions!$A$25:$AL$29,2,TRUE)/100</f>
        <v>1.2779E-2</v>
      </c>
      <c r="AY85" s="29">
        <f>1/(1+HLOOKUP(YEAR(A85),Assumptions!$A$18:$AL$20,3,TRUE))^(1/12)</f>
        <v>0.99897215015575014</v>
      </c>
      <c r="AZ85" s="26">
        <f t="shared" si="90"/>
        <v>2684.9956336549876</v>
      </c>
      <c r="BA85">
        <f t="shared" si="91"/>
        <v>50.43613920167823</v>
      </c>
      <c r="BB85">
        <f t="shared" si="92"/>
        <v>5737.5988332209963</v>
      </c>
      <c r="BC85">
        <f t="shared" si="93"/>
        <v>0</v>
      </c>
    </row>
    <row r="86" spans="1:55" x14ac:dyDescent="0.2">
      <c r="A86" s="3">
        <f t="shared" si="62"/>
        <v>45382</v>
      </c>
      <c r="B86">
        <f t="shared" si="54"/>
        <v>88</v>
      </c>
      <c r="C86">
        <f t="shared" si="46"/>
        <v>7.25</v>
      </c>
      <c r="D86">
        <f t="shared" si="47"/>
        <v>0</v>
      </c>
      <c r="E86">
        <f t="shared" si="55"/>
        <v>63</v>
      </c>
      <c r="F86">
        <f>IF(C86&gt;=$T$2,0,VLOOKUP($E86,'Mortality Table'!$A$3:$C$128,2+AF$2,FALSE))</f>
        <v>7.3750999999999999E-3</v>
      </c>
      <c r="G86">
        <f>F86*Assumptions!$B$1</f>
        <v>7.3750999999999999E-3</v>
      </c>
      <c r="H86">
        <f t="shared" si="63"/>
        <v>6.1667898445150193E-4</v>
      </c>
      <c r="I86">
        <f t="shared" si="56"/>
        <v>2.7028110510321366E-4</v>
      </c>
      <c r="J86">
        <f>IF(B86&gt;$AJ$2,0,HLOOKUP(C86,Assumptions!$A$6:$J$7,2,TRUE))</f>
        <v>7.5200000000000003E-2</v>
      </c>
      <c r="K86" s="4">
        <f t="shared" si="53"/>
        <v>1</v>
      </c>
      <c r="L86" s="4">
        <f t="shared" si="64"/>
        <v>8.3333333333333329E-2</v>
      </c>
      <c r="M86" s="4">
        <f t="shared" si="57"/>
        <v>6.4936396904045068E-3</v>
      </c>
      <c r="N86">
        <f t="shared" si="65"/>
        <v>2.8544547589333391E-3</v>
      </c>
      <c r="O86" s="21">
        <f t="shared" si="58"/>
        <v>0.43634700825081246</v>
      </c>
      <c r="P86">
        <f>IF(B86&gt;$AJ$2,0,HLOOKUP(C86,Assumptions!$A$12:$J$13,2,TRUE))</f>
        <v>6.6E-3</v>
      </c>
      <c r="Q86">
        <f t="shared" si="59"/>
        <v>2.4085277430733231E-4</v>
      </c>
      <c r="R86">
        <f t="shared" si="66"/>
        <v>0.10071268741083388</v>
      </c>
      <c r="S86">
        <f t="shared" si="94"/>
        <v>6.2199710348211654E-5</v>
      </c>
      <c r="T86">
        <f t="shared" si="95"/>
        <v>6.5689482488954414E-4</v>
      </c>
      <c r="U86">
        <f t="shared" si="67"/>
        <v>3689.621596274611</v>
      </c>
      <c r="V86">
        <f t="shared" si="68"/>
        <v>1410.2</v>
      </c>
      <c r="W86">
        <f t="shared" si="69"/>
        <v>0.12</v>
      </c>
      <c r="X86">
        <f t="shared" si="60"/>
        <v>135.19775780301862</v>
      </c>
      <c r="Y86">
        <f t="shared" si="70"/>
        <v>167.1575837268048</v>
      </c>
      <c r="Z86">
        <f t="shared" si="71"/>
        <v>11748.989158962439</v>
      </c>
      <c r="AA86">
        <f t="shared" si="72"/>
        <v>0</v>
      </c>
      <c r="AB86">
        <f t="shared" si="73"/>
        <v>12018.62578993635</v>
      </c>
      <c r="AC86" s="23">
        <f>IF(B86&gt;$AJ$2,0,HLOOKUP(YEAR(A86),Assumptions!$A$25:$AL$29,4,TRUE)/100)</f>
        <v>6.7789999999999994E-3</v>
      </c>
      <c r="AD86">
        <f t="shared" si="74"/>
        <v>249.63612962198704</v>
      </c>
      <c r="AE86">
        <f t="shared" si="75"/>
        <v>4838.2942903313842</v>
      </c>
      <c r="AF86">
        <f t="shared" si="76"/>
        <v>4821.7278561906851</v>
      </c>
      <c r="AG86">
        <f t="shared" si="77"/>
        <v>5004.8883037000714</v>
      </c>
      <c r="AH86">
        <f t="shared" si="78"/>
        <v>158.1486345304892</v>
      </c>
      <c r="AI86">
        <f t="shared" si="79"/>
        <v>157.92931916626864</v>
      </c>
      <c r="AJ86">
        <f t="shared" si="80"/>
        <v>0</v>
      </c>
      <c r="AK86">
        <f t="shared" si="81"/>
        <v>3.552734936658561</v>
      </c>
      <c r="AL86">
        <f t="shared" si="82"/>
        <v>37.531670555855463</v>
      </c>
      <c r="AM86">
        <f t="shared" si="61"/>
        <v>0</v>
      </c>
      <c r="AN86">
        <f>IF($S$2=0,0,(SUMPRODUCT($K$2:$R$2,Assumptions!$B$34:$I$34)/$U$2+$J$2/$U$2*Assumptions!$A$34*G86)*K86*O85)</f>
        <v>9.5106231632484448</v>
      </c>
      <c r="AO86">
        <f t="shared" si="83"/>
        <v>0</v>
      </c>
      <c r="AP86">
        <f t="shared" si="84"/>
        <v>0</v>
      </c>
      <c r="AQ86">
        <f>IF(B86&gt;$AJ$2,0,AQ85*(1+Assumptions!$B$43)^(1/12))</f>
        <v>1.0641640568818309</v>
      </c>
      <c r="AR86" s="27">
        <f>IF(B86&gt;$AJ$2,0,(O85+R85)*Assumptions!$B$39/12*AQ85+AV86*Assumptions!$B$41/12)</f>
        <v>8.10681806269994</v>
      </c>
      <c r="AS86">
        <f t="shared" si="85"/>
        <v>73.501295230229928</v>
      </c>
      <c r="AT86" s="28">
        <f t="shared" si="86"/>
        <v>5738.7694422540417</v>
      </c>
      <c r="AU86">
        <f t="shared" si="87"/>
        <v>18.413874546228012</v>
      </c>
      <c r="AV86" s="28">
        <f t="shared" si="88"/>
        <v>5782.5671591886712</v>
      </c>
      <c r="AW86" s="28">
        <f t="shared" si="89"/>
        <v>5836.1568036987601</v>
      </c>
      <c r="AX86" s="23">
        <f>HLOOKUP(YEAR(A86),Assumptions!$A$25:$AL$29,2,TRUE)/100</f>
        <v>1.2779E-2</v>
      </c>
      <c r="AY86" s="29">
        <f>1/(1+HLOOKUP(YEAR(A86),Assumptions!$A$18:$AL$20,3,TRUE))^(1/12)</f>
        <v>0.99897215015575014</v>
      </c>
      <c r="AZ86" s="26">
        <f t="shared" si="90"/>
        <v>2764.2541566336126</v>
      </c>
      <c r="BA86">
        <f t="shared" si="91"/>
        <v>50.595028655762469</v>
      </c>
      <c r="BB86">
        <f t="shared" si="92"/>
        <v>5770.3321981113259</v>
      </c>
      <c r="BC86">
        <f t="shared" si="93"/>
        <v>0</v>
      </c>
    </row>
    <row r="87" spans="1:55" x14ac:dyDescent="0.2">
      <c r="A87" s="3">
        <f t="shared" si="62"/>
        <v>45412</v>
      </c>
      <c r="B87">
        <f t="shared" si="54"/>
        <v>89</v>
      </c>
      <c r="C87">
        <f t="shared" si="46"/>
        <v>7.3333333333333339</v>
      </c>
      <c r="D87">
        <f t="shared" si="47"/>
        <v>0</v>
      </c>
      <c r="E87">
        <f t="shared" si="55"/>
        <v>63</v>
      </c>
      <c r="F87">
        <f>IF(C87&gt;=$T$2,0,VLOOKUP($E87,'Mortality Table'!$A$3:$C$128,2+AF$2,FALSE))</f>
        <v>7.3750999999999999E-3</v>
      </c>
      <c r="G87">
        <f>F87*Assumptions!$B$1</f>
        <v>7.3750999999999999E-3</v>
      </c>
      <c r="H87">
        <f t="shared" si="63"/>
        <v>6.1667898445150193E-4</v>
      </c>
      <c r="I87">
        <f t="shared" si="56"/>
        <v>2.6821235605456239E-4</v>
      </c>
      <c r="J87">
        <f>IF(B87&gt;$AJ$2,0,HLOOKUP(C87,Assumptions!$A$6:$J$7,2,TRUE))</f>
        <v>7.5200000000000003E-2</v>
      </c>
      <c r="K87" s="4">
        <f t="shared" si="53"/>
        <v>1</v>
      </c>
      <c r="L87" s="4">
        <f t="shared" si="64"/>
        <v>8.3333333333333329E-2</v>
      </c>
      <c r="M87" s="4">
        <f t="shared" si="57"/>
        <v>6.4936396904045068E-3</v>
      </c>
      <c r="N87">
        <f t="shared" si="65"/>
        <v>2.8326065777047387E-3</v>
      </c>
      <c r="O87" s="21">
        <f t="shared" si="58"/>
        <v>0.43300718004544841</v>
      </c>
      <c r="P87">
        <f>IF(B87&gt;$AJ$2,0,HLOOKUP(C87,Assumptions!$A$12:$J$13,2,TRUE))</f>
        <v>6.6E-3</v>
      </c>
      <c r="Q87">
        <f t="shared" si="59"/>
        <v>2.3900927160475519E-4</v>
      </c>
      <c r="R87">
        <f t="shared" si="66"/>
        <v>0.10023600068340982</v>
      </c>
      <c r="S87">
        <f t="shared" si="94"/>
        <v>6.1905746262203506E-5</v>
      </c>
      <c r="T87">
        <f t="shared" si="95"/>
        <v>6.5379025276660204E-4</v>
      </c>
      <c r="U87">
        <f t="shared" si="67"/>
        <v>3689.621596274611</v>
      </c>
      <c r="V87">
        <f t="shared" si="68"/>
        <v>1410.2</v>
      </c>
      <c r="W87">
        <f t="shared" si="69"/>
        <v>0.12</v>
      </c>
      <c r="X87">
        <f t="shared" si="60"/>
        <v>134.16294542600113</v>
      </c>
      <c r="Y87">
        <f t="shared" si="70"/>
        <v>167.1575837268048</v>
      </c>
      <c r="Z87">
        <f t="shared" si="71"/>
        <v>11916.146742689243</v>
      </c>
      <c r="AA87">
        <f t="shared" si="72"/>
        <v>0</v>
      </c>
      <c r="AB87">
        <f t="shared" si="73"/>
        <v>12192.646029240934</v>
      </c>
      <c r="AC87" s="23">
        <f>IF(B87&gt;$AJ$2,0,HLOOKUP(YEAR(A87),Assumptions!$A$25:$AL$29,4,TRUE)/100)</f>
        <v>6.7789999999999994E-3</v>
      </c>
      <c r="AD87">
        <f t="shared" si="74"/>
        <v>249.63612962198704</v>
      </c>
      <c r="AE87">
        <f t="shared" si="75"/>
        <v>4855.1711843378307</v>
      </c>
      <c r="AF87">
        <f t="shared" si="76"/>
        <v>4838.2942903313842</v>
      </c>
      <c r="AG87">
        <f t="shared" si="77"/>
        <v>5024.839140173196</v>
      </c>
      <c r="AH87">
        <f t="shared" si="78"/>
        <v>158.36678329354518</v>
      </c>
      <c r="AI87">
        <f t="shared" si="79"/>
        <v>158.1486345304892</v>
      </c>
      <c r="AJ87">
        <f t="shared" si="80"/>
        <v>0</v>
      </c>
      <c r="AK87">
        <f t="shared" si="81"/>
        <v>3.5723218153509175</v>
      </c>
      <c r="AL87">
        <f t="shared" si="82"/>
        <v>37.73867884214912</v>
      </c>
      <c r="AM87">
        <f t="shared" si="61"/>
        <v>0</v>
      </c>
      <c r="AN87">
        <f>IF($S$2=0,0,(SUMPRODUCT($K$2:$R$2,Assumptions!$B$34:$I$34)/$U$2+$J$2/$U$2*Assumptions!$A$34*G87)*K87*O86)</f>
        <v>9.4378282388176853</v>
      </c>
      <c r="AO87">
        <f t="shared" si="83"/>
        <v>0</v>
      </c>
      <c r="AP87">
        <f t="shared" si="84"/>
        <v>0</v>
      </c>
      <c r="AQ87">
        <f>IF(B87&gt;$AJ$2,0,AQ86*(1+Assumptions!$B$43)^(1/12))</f>
        <v>1.0650468215269315</v>
      </c>
      <c r="AR87" s="27">
        <f>IF(B87&gt;$AJ$2,0,(O86+R86)*Assumptions!$B$39/12*AQ86+AV87*Assumptions!$B$41/12)</f>
        <v>8.0726361685509858</v>
      </c>
      <c r="AS87">
        <f t="shared" si="85"/>
        <v>72.938711565625965</v>
      </c>
      <c r="AT87" s="28">
        <f t="shared" si="86"/>
        <v>5770.4083297345014</v>
      </c>
      <c r="AU87">
        <f t="shared" si="87"/>
        <v>24.632679891235846</v>
      </c>
      <c r="AV87" s="28">
        <f t="shared" si="88"/>
        <v>5820.6842001270779</v>
      </c>
      <c r="AW87" s="28">
        <f t="shared" si="89"/>
        <v>5873.8357978189015</v>
      </c>
      <c r="AX87" s="23">
        <f>HLOOKUP(YEAR(A87),Assumptions!$A$25:$AL$29,2,TRUE)/100</f>
        <v>1.2779E-2</v>
      </c>
      <c r="AY87" s="29">
        <f>1/(1+HLOOKUP(YEAR(A87),Assumptions!$A$18:$AL$20,3,TRUE))^(1/12)</f>
        <v>0.99897215015575014</v>
      </c>
      <c r="AZ87" s="26">
        <f t="shared" si="90"/>
        <v>2842.4397985701398</v>
      </c>
      <c r="BA87">
        <f t="shared" si="91"/>
        <v>50.748828896317725</v>
      </c>
      <c r="BB87">
        <f t="shared" si="92"/>
        <v>5802.2703255808501</v>
      </c>
      <c r="BC87">
        <f t="shared" si="93"/>
        <v>0</v>
      </c>
    </row>
    <row r="88" spans="1:55" x14ac:dyDescent="0.2">
      <c r="A88" s="3">
        <f t="shared" si="62"/>
        <v>45443</v>
      </c>
      <c r="B88">
        <f t="shared" si="54"/>
        <v>90</v>
      </c>
      <c r="C88">
        <f t="shared" si="46"/>
        <v>7.4166666666666661</v>
      </c>
      <c r="D88">
        <f t="shared" si="47"/>
        <v>0</v>
      </c>
      <c r="E88">
        <f t="shared" si="55"/>
        <v>63</v>
      </c>
      <c r="F88">
        <f>IF(C88&gt;=$T$2,0,VLOOKUP($E88,'Mortality Table'!$A$3:$C$128,2+AF$2,FALSE))</f>
        <v>7.3750999999999999E-3</v>
      </c>
      <c r="G88">
        <f>F88*Assumptions!$B$1</f>
        <v>7.3750999999999999E-3</v>
      </c>
      <c r="H88">
        <f t="shared" si="63"/>
        <v>6.1667898445150193E-4</v>
      </c>
      <c r="I88">
        <f t="shared" si="56"/>
        <v>2.6615944134484752E-4</v>
      </c>
      <c r="J88">
        <f>IF(B88&gt;$AJ$2,0,HLOOKUP(C88,Assumptions!$A$6:$J$7,2,TRUE))</f>
        <v>7.5200000000000003E-2</v>
      </c>
      <c r="K88" s="4">
        <f t="shared" si="53"/>
        <v>1</v>
      </c>
      <c r="L88" s="4">
        <f t="shared" si="64"/>
        <v>8.3333333333333329E-2</v>
      </c>
      <c r="M88" s="4">
        <f t="shared" si="57"/>
        <v>6.4936396904045068E-3</v>
      </c>
      <c r="N88">
        <f t="shared" si="65"/>
        <v>2.8109256238674661E-3</v>
      </c>
      <c r="O88" s="21">
        <f t="shared" si="58"/>
        <v>0.42969291510104507</v>
      </c>
      <c r="P88">
        <f>IF(B88&gt;$AJ$2,0,HLOOKUP(C88,Assumptions!$A$12:$J$13,2,TRUE))</f>
        <v>6.6E-3</v>
      </c>
      <c r="Q88">
        <f t="shared" si="59"/>
        <v>2.371798791910223E-4</v>
      </c>
      <c r="R88">
        <f t="shared" si="66"/>
        <v>9.976087204922432E-2</v>
      </c>
      <c r="S88">
        <f t="shared" si="94"/>
        <v>6.161273801911993E-5</v>
      </c>
      <c r="T88">
        <f t="shared" si="95"/>
        <v>6.5069577535739804E-4</v>
      </c>
      <c r="U88">
        <f t="shared" si="67"/>
        <v>3689.621596274611</v>
      </c>
      <c r="V88">
        <f t="shared" si="68"/>
        <v>1410.2</v>
      </c>
      <c r="W88">
        <f t="shared" si="69"/>
        <v>0.12</v>
      </c>
      <c r="X88">
        <f t="shared" si="60"/>
        <v>133.1360535698046</v>
      </c>
      <c r="Y88">
        <f t="shared" si="70"/>
        <v>167.1575837268048</v>
      </c>
      <c r="Z88">
        <f t="shared" si="71"/>
        <v>12083.304326416048</v>
      </c>
      <c r="AA88">
        <f t="shared" si="72"/>
        <v>0</v>
      </c>
      <c r="AB88">
        <f t="shared" si="73"/>
        <v>12366.76427135168</v>
      </c>
      <c r="AC88" s="23">
        <f>IF(B88&gt;$AJ$2,0,HLOOKUP(YEAR(A88),Assumptions!$A$25:$AL$29,4,TRUE)/100)</f>
        <v>6.7789999999999994E-3</v>
      </c>
      <c r="AD88">
        <f t="shared" si="74"/>
        <v>249.63612962198704</v>
      </c>
      <c r="AE88">
        <f t="shared" si="75"/>
        <v>4872.3559553828236</v>
      </c>
      <c r="AF88">
        <f t="shared" si="76"/>
        <v>4855.1711843378307</v>
      </c>
      <c r="AG88">
        <f t="shared" si="77"/>
        <v>5045.117555661458</v>
      </c>
      <c r="AH88">
        <f t="shared" si="78"/>
        <v>158.58377470602343</v>
      </c>
      <c r="AI88">
        <f t="shared" si="79"/>
        <v>158.36678329354518</v>
      </c>
      <c r="AJ88">
        <f t="shared" si="80"/>
        <v>0</v>
      </c>
      <c r="AK88">
        <f t="shared" si="81"/>
        <v>3.5914263432669356</v>
      </c>
      <c r="AL88">
        <f t="shared" si="82"/>
        <v>37.940589573955521</v>
      </c>
      <c r="AM88">
        <f t="shared" si="61"/>
        <v>0</v>
      </c>
      <c r="AN88">
        <f>IF($S$2=0,0,(SUMPRODUCT($K$2:$R$2,Assumptions!$B$34:$I$34)/$U$2+$J$2/$U$2*Assumptions!$A$34*G88)*K88*O87)</f>
        <v>9.365590491443772</v>
      </c>
      <c r="AO88">
        <f t="shared" si="83"/>
        <v>0</v>
      </c>
      <c r="AP88">
        <f t="shared" si="84"/>
        <v>0</v>
      </c>
      <c r="AQ88">
        <f>IF(B88&gt;$AJ$2,0,AQ87*(1+Assumptions!$B$43)^(1/12))</f>
        <v>1.0659303184589513</v>
      </c>
      <c r="AR88" s="27">
        <f>IF(B88&gt;$AJ$2,0,(O87+R87)*Assumptions!$B$39/12*AQ87+AV88*Assumptions!$B$41/12)</f>
        <v>8.0385551979894014</v>
      </c>
      <c r="AS88">
        <f t="shared" si="85"/>
        <v>72.380433952754686</v>
      </c>
      <c r="AT88" s="28">
        <f t="shared" si="86"/>
        <v>5801.268071023349</v>
      </c>
      <c r="AU88">
        <f t="shared" si="87"/>
        <v>30.890591667755654</v>
      </c>
      <c r="AV88" s="28">
        <f t="shared" si="88"/>
        <v>5858.0558530870485</v>
      </c>
      <c r="AW88" s="28">
        <f t="shared" si="89"/>
        <v>5910.7729175061086</v>
      </c>
      <c r="AX88" s="23">
        <f>HLOOKUP(YEAR(A88),Assumptions!$A$25:$AL$29,2,TRUE)/100</f>
        <v>1.2779E-2</v>
      </c>
      <c r="AY88" s="29">
        <f>1/(1+HLOOKUP(YEAR(A88),Assumptions!$A$18:$AL$20,3,TRUE))^(1/12)</f>
        <v>0.99897215015575014</v>
      </c>
      <c r="AZ88" s="26">
        <f t="shared" si="90"/>
        <v>2919.5642978947594</v>
      </c>
      <c r="BA88">
        <f t="shared" si="91"/>
        <v>50.897606408666235</v>
      </c>
      <c r="BB88">
        <f t="shared" si="92"/>
        <v>5833.4231731958125</v>
      </c>
      <c r="BC88">
        <f t="shared" si="93"/>
        <v>0</v>
      </c>
    </row>
    <row r="89" spans="1:55" x14ac:dyDescent="0.2">
      <c r="A89" s="3">
        <f t="shared" si="62"/>
        <v>45473</v>
      </c>
      <c r="B89">
        <f t="shared" si="54"/>
        <v>91</v>
      </c>
      <c r="C89">
        <f t="shared" si="46"/>
        <v>7.5</v>
      </c>
      <c r="D89">
        <f t="shared" si="47"/>
        <v>0</v>
      </c>
      <c r="E89">
        <f t="shared" si="55"/>
        <v>63</v>
      </c>
      <c r="F89">
        <f>IF(C89&gt;=$T$2,0,VLOOKUP($E89,'Mortality Table'!$A$3:$C$128,2+AF$2,FALSE))</f>
        <v>7.3750999999999999E-3</v>
      </c>
      <c r="G89">
        <f>F89*Assumptions!$B$1</f>
        <v>7.3750999999999999E-3</v>
      </c>
      <c r="H89">
        <f t="shared" si="63"/>
        <v>6.1667898445150193E-4</v>
      </c>
      <c r="I89">
        <f t="shared" si="56"/>
        <v>2.6412223977701524E-4</v>
      </c>
      <c r="J89">
        <f>IF(B89&gt;$AJ$2,0,HLOOKUP(C89,Assumptions!$A$6:$J$7,2,TRUE))</f>
        <v>7.5200000000000003E-2</v>
      </c>
      <c r="K89" s="4">
        <f t="shared" si="53"/>
        <v>1</v>
      </c>
      <c r="L89" s="4">
        <f t="shared" si="64"/>
        <v>8.3333333333333329E-2</v>
      </c>
      <c r="M89" s="4">
        <f t="shared" si="57"/>
        <v>6.4936396904045068E-3</v>
      </c>
      <c r="N89">
        <f t="shared" si="65"/>
        <v>2.7894106174522577E-3</v>
      </c>
      <c r="O89" s="21">
        <f t="shared" si="58"/>
        <v>0.42640401775475073</v>
      </c>
      <c r="P89">
        <f>IF(B89&gt;$AJ$2,0,HLOOKUP(C89,Assumptions!$A$12:$J$13,2,TRUE))</f>
        <v>6.6E-3</v>
      </c>
      <c r="Q89">
        <f t="shared" si="59"/>
        <v>2.3536448906507075E-4</v>
      </c>
      <c r="R89">
        <f t="shared" si="66"/>
        <v>9.928730443826507E-2</v>
      </c>
      <c r="S89">
        <f t="shared" si="94"/>
        <v>6.1320687499707109E-5</v>
      </c>
      <c r="T89">
        <f t="shared" si="95"/>
        <v>6.4761141252460386E-4</v>
      </c>
      <c r="U89">
        <f t="shared" si="67"/>
        <v>3689.621596274611</v>
      </c>
      <c r="V89">
        <f t="shared" si="68"/>
        <v>1410.2</v>
      </c>
      <c r="W89">
        <f t="shared" si="69"/>
        <v>0.12</v>
      </c>
      <c r="X89">
        <f t="shared" si="60"/>
        <v>132.11702161025073</v>
      </c>
      <c r="Y89">
        <f t="shared" si="70"/>
        <v>167.1575837268048</v>
      </c>
      <c r="Z89">
        <f t="shared" si="71"/>
        <v>12250.461910142853</v>
      </c>
      <c r="AA89">
        <f t="shared" si="72"/>
        <v>0</v>
      </c>
      <c r="AB89">
        <f t="shared" si="73"/>
        <v>12540.980571460732</v>
      </c>
      <c r="AC89" s="23">
        <f>IF(B89&gt;$AJ$2,0,HLOOKUP(YEAR(A89),Assumptions!$A$25:$AL$29,4,TRUE)/100)</f>
        <v>6.7789999999999994E-3</v>
      </c>
      <c r="AD89">
        <f t="shared" si="74"/>
        <v>249.63612962198704</v>
      </c>
      <c r="AE89">
        <f t="shared" si="75"/>
        <v>4889.8460478788866</v>
      </c>
      <c r="AF89">
        <f t="shared" si="76"/>
        <v>4872.3559553828236</v>
      </c>
      <c r="AG89">
        <f t="shared" si="77"/>
        <v>5065.7213144986263</v>
      </c>
      <c r="AH89">
        <f t="shared" si="78"/>
        <v>158.79961792096631</v>
      </c>
      <c r="AI89">
        <f t="shared" si="79"/>
        <v>158.58377470602343</v>
      </c>
      <c r="AJ89">
        <f t="shared" si="80"/>
        <v>0</v>
      </c>
      <c r="AK89">
        <f t="shared" si="81"/>
        <v>3.6100545747136064</v>
      </c>
      <c r="AL89">
        <f t="shared" si="82"/>
        <v>38.137466742279059</v>
      </c>
      <c r="AM89">
        <f t="shared" si="61"/>
        <v>0</v>
      </c>
      <c r="AN89">
        <f>IF($S$2=0,0,(SUMPRODUCT($K$2:$R$2,Assumptions!$B$34:$I$34)/$U$2+$J$2/$U$2*Assumptions!$A$34*G89)*K89*O88)</f>
        <v>9.2939056564574987</v>
      </c>
      <c r="AO89">
        <f t="shared" si="83"/>
        <v>0</v>
      </c>
      <c r="AP89">
        <f t="shared" si="84"/>
        <v>0</v>
      </c>
      <c r="AQ89">
        <f>IF(B89&gt;$AJ$2,0,AQ88*(1+Assumptions!$B$43)^(1/12))</f>
        <v>1.0668145482853502</v>
      </c>
      <c r="AR89" s="27">
        <f>IF(B89&gt;$AJ$2,0,(O88+R88)*Assumptions!$B$39/12*AQ88+AV89*Assumptions!$B$41/12)</f>
        <v>8.0045755036540598</v>
      </c>
      <c r="AS89">
        <f t="shared" si="85"/>
        <v>71.826429432817775</v>
      </c>
      <c r="AT89" s="28">
        <f t="shared" si="86"/>
        <v>5831.3584457052093</v>
      </c>
      <c r="AU89">
        <f t="shared" si="87"/>
        <v>37.186834002494948</v>
      </c>
      <c r="AV89" s="28">
        <f t="shared" si="88"/>
        <v>5894.6911864674648</v>
      </c>
      <c r="AW89" s="28">
        <f t="shared" si="89"/>
        <v>5946.977203141244</v>
      </c>
      <c r="AX89" s="23">
        <f>HLOOKUP(YEAR(A89),Assumptions!$A$25:$AL$29,2,TRUE)/100</f>
        <v>1.2779E-2</v>
      </c>
      <c r="AY89" s="29">
        <f>1/(1+HLOOKUP(YEAR(A89),Assumptions!$A$18:$AL$20,3,TRUE))^(1/12)</f>
        <v>0.99897215015575014</v>
      </c>
      <c r="AZ89" s="26">
        <f t="shared" si="90"/>
        <v>2995.6392783579599</v>
      </c>
      <c r="BA89">
        <f t="shared" si="91"/>
        <v>51.041426973450164</v>
      </c>
      <c r="BB89">
        <f t="shared" si="92"/>
        <v>5863.800594799709</v>
      </c>
      <c r="BC89">
        <f t="shared" si="93"/>
        <v>0</v>
      </c>
    </row>
    <row r="90" spans="1:55" x14ac:dyDescent="0.2">
      <c r="A90" s="3">
        <f t="shared" si="62"/>
        <v>45504</v>
      </c>
      <c r="B90">
        <f t="shared" si="54"/>
        <v>92</v>
      </c>
      <c r="C90">
        <f t="shared" si="46"/>
        <v>7.5833333333333339</v>
      </c>
      <c r="D90">
        <f t="shared" si="47"/>
        <v>0</v>
      </c>
      <c r="E90">
        <f t="shared" si="55"/>
        <v>63</v>
      </c>
      <c r="F90">
        <f>IF(C90&gt;=$T$2,0,VLOOKUP($E90,'Mortality Table'!$A$3:$C$128,2+AF$2,FALSE))</f>
        <v>7.3750999999999999E-3</v>
      </c>
      <c r="G90">
        <f>F90*Assumptions!$B$1</f>
        <v>7.3750999999999999E-3</v>
      </c>
      <c r="H90">
        <f t="shared" si="63"/>
        <v>6.1667898445150193E-4</v>
      </c>
      <c r="I90">
        <f t="shared" si="56"/>
        <v>2.6210063108166205E-4</v>
      </c>
      <c r="J90">
        <f>IF(B90&gt;$AJ$2,0,HLOOKUP(C90,Assumptions!$A$6:$J$7,2,TRUE))</f>
        <v>7.5200000000000003E-2</v>
      </c>
      <c r="K90" s="4">
        <f t="shared" si="53"/>
        <v>1</v>
      </c>
      <c r="L90" s="4">
        <f t="shared" si="64"/>
        <v>8.3333333333333329E-2</v>
      </c>
      <c r="M90" s="4">
        <f t="shared" si="57"/>
        <v>6.4936396904045068E-3</v>
      </c>
      <c r="N90">
        <f t="shared" si="65"/>
        <v>2.7680602882868195E-3</v>
      </c>
      <c r="O90" s="21">
        <f t="shared" si="58"/>
        <v>0.42314029384132978</v>
      </c>
      <c r="P90">
        <f>IF(B90&gt;$AJ$2,0,HLOOKUP(C90,Assumptions!$A$12:$J$13,2,TRUE))</f>
        <v>6.6E-3</v>
      </c>
      <c r="Q90">
        <f t="shared" si="59"/>
        <v>2.3356299405248484E-4</v>
      </c>
      <c r="R90">
        <f t="shared" si="66"/>
        <v>9.881530065252396E-2</v>
      </c>
      <c r="S90">
        <f t="shared" si="94"/>
        <v>6.1029596504960336E-5</v>
      </c>
      <c r="T90">
        <f t="shared" si="95"/>
        <v>6.4453718328863745E-4</v>
      </c>
      <c r="U90">
        <f t="shared" si="67"/>
        <v>3689.621596274611</v>
      </c>
      <c r="V90">
        <f t="shared" si="68"/>
        <v>1410.2</v>
      </c>
      <c r="W90">
        <f t="shared" si="69"/>
        <v>0.12</v>
      </c>
      <c r="X90">
        <f t="shared" si="60"/>
        <v>131.10578938718257</v>
      </c>
      <c r="Y90">
        <f t="shared" si="70"/>
        <v>167.1575837268048</v>
      </c>
      <c r="Z90">
        <f t="shared" si="71"/>
        <v>12417.619493869657</v>
      </c>
      <c r="AA90">
        <f t="shared" si="72"/>
        <v>0</v>
      </c>
      <c r="AB90">
        <f t="shared" si="73"/>
        <v>12715.294984791317</v>
      </c>
      <c r="AC90" s="23">
        <f>IF(B90&gt;$AJ$2,0,HLOOKUP(YEAR(A90),Assumptions!$A$25:$AL$29,4,TRUE)/100)</f>
        <v>6.7789999999999994E-3</v>
      </c>
      <c r="AD90">
        <f t="shared" si="74"/>
        <v>249.63612962198704</v>
      </c>
      <c r="AE90">
        <f t="shared" si="75"/>
        <v>4907.6389331201808</v>
      </c>
      <c r="AF90">
        <f t="shared" si="76"/>
        <v>4889.8460478788866</v>
      </c>
      <c r="AG90">
        <f t="shared" si="77"/>
        <v>5086.6482047933114</v>
      </c>
      <c r="AH90">
        <f t="shared" si="78"/>
        <v>159.01432199515398</v>
      </c>
      <c r="AI90">
        <f t="shared" si="79"/>
        <v>158.79961792096631</v>
      </c>
      <c r="AJ90">
        <f t="shared" si="80"/>
        <v>0</v>
      </c>
      <c r="AK90">
        <f t="shared" si="81"/>
        <v>3.6282125008701747</v>
      </c>
      <c r="AL90">
        <f t="shared" si="82"/>
        <v>38.329373670717359</v>
      </c>
      <c r="AM90">
        <f t="shared" si="61"/>
        <v>0</v>
      </c>
      <c r="AN90">
        <f>IF($S$2=0,0,(SUMPRODUCT($K$2:$R$2,Assumptions!$B$34:$I$34)/$U$2+$J$2/$U$2*Assumptions!$A$34*G90)*K90*O89)</f>
        <v>9.2227695018317117</v>
      </c>
      <c r="AO90">
        <f t="shared" si="83"/>
        <v>0</v>
      </c>
      <c r="AP90">
        <f t="shared" si="84"/>
        <v>0</v>
      </c>
      <c r="AQ90">
        <f>IF(B90&gt;$AJ$2,0,AQ89*(1+Assumptions!$B$43)^(1/12))</f>
        <v>1.0676995116140919</v>
      </c>
      <c r="AR90" s="27">
        <f>IF(B90&gt;$AJ$2,0,(O89+R89)*Assumptions!$B$39/12*AQ89+AV90*Assumptions!$B$41/12)</f>
        <v>7.9706974278259635</v>
      </c>
      <c r="AS90">
        <f t="shared" si="85"/>
        <v>71.27666529928571</v>
      </c>
      <c r="AT90" s="28">
        <f t="shared" si="86"/>
        <v>5860.6891313938022</v>
      </c>
      <c r="AU90">
        <f t="shared" si="87"/>
        <v>43.520640495084088</v>
      </c>
      <c r="AV90" s="28">
        <f t="shared" si="88"/>
        <v>5930.5991755051582</v>
      </c>
      <c r="AW90" s="28">
        <f t="shared" si="89"/>
        <v>5982.4576021652292</v>
      </c>
      <c r="AX90" s="23">
        <f>HLOOKUP(YEAR(A90),Assumptions!$A$25:$AL$29,2,TRUE)/100</f>
        <v>1.2779E-2</v>
      </c>
      <c r="AY90" s="29">
        <f>1/(1+HLOOKUP(YEAR(A90),Assumptions!$A$18:$AL$20,3,TRUE))^(1/12)</f>
        <v>0.99897215015575014</v>
      </c>
      <c r="AZ90" s="26">
        <f t="shared" si="90"/>
        <v>3070.676250084804</v>
      </c>
      <c r="BA90">
        <f t="shared" si="91"/>
        <v>51.18035567341925</v>
      </c>
      <c r="BB90">
        <f t="shared" si="92"/>
        <v>5893.4123415026634</v>
      </c>
      <c r="BC90">
        <f t="shared" si="93"/>
        <v>0</v>
      </c>
    </row>
    <row r="91" spans="1:55" x14ac:dyDescent="0.2">
      <c r="A91" s="3">
        <f t="shared" si="62"/>
        <v>45535</v>
      </c>
      <c r="B91">
        <f t="shared" si="54"/>
        <v>93</v>
      </c>
      <c r="C91">
        <f t="shared" si="46"/>
        <v>7.6666666666666661</v>
      </c>
      <c r="D91">
        <f t="shared" si="47"/>
        <v>0</v>
      </c>
      <c r="E91">
        <f t="shared" si="55"/>
        <v>63</v>
      </c>
      <c r="F91">
        <f>IF(C91&gt;=$T$2,0,VLOOKUP($E91,'Mortality Table'!$A$3:$C$128,2+AF$2,FALSE))</f>
        <v>7.3750999999999999E-3</v>
      </c>
      <c r="G91">
        <f>F91*Assumptions!$B$1</f>
        <v>7.3750999999999999E-3</v>
      </c>
      <c r="H91">
        <f t="shared" si="63"/>
        <v>6.1667898445150193E-4</v>
      </c>
      <c r="I91">
        <f t="shared" si="56"/>
        <v>2.6009449590993399E-4</v>
      </c>
      <c r="J91">
        <f>IF(B91&gt;$AJ$2,0,HLOOKUP(C91,Assumptions!$A$6:$J$7,2,TRUE))</f>
        <v>7.5200000000000003E-2</v>
      </c>
      <c r="K91" s="4">
        <f t="shared" si="53"/>
        <v>1</v>
      </c>
      <c r="L91" s="4">
        <f t="shared" si="64"/>
        <v>8.3333333333333329E-2</v>
      </c>
      <c r="M91" s="4">
        <f t="shared" si="57"/>
        <v>6.4936396904045068E-3</v>
      </c>
      <c r="N91">
        <f t="shared" si="65"/>
        <v>2.7468733759208374E-3</v>
      </c>
      <c r="O91" s="21">
        <f t="shared" si="58"/>
        <v>0.41990155068169988</v>
      </c>
      <c r="P91">
        <f>IF(B91&gt;$AJ$2,0,HLOOKUP(C91,Assumptions!$A$12:$J$13,2,TRUE))</f>
        <v>6.6E-3</v>
      </c>
      <c r="Q91">
        <f t="shared" si="59"/>
        <v>2.3177528779916873E-4</v>
      </c>
      <c r="R91">
        <f t="shared" si="66"/>
        <v>9.8344863367726923E-2</v>
      </c>
      <c r="S91">
        <f t="shared" si="94"/>
        <v>6.0739466757198832E-5</v>
      </c>
      <c r="T91">
        <f t="shared" si="95"/>
        <v>6.4147310583901446E-4</v>
      </c>
      <c r="U91">
        <f t="shared" si="67"/>
        <v>3689.621596274611</v>
      </c>
      <c r="V91">
        <f t="shared" si="68"/>
        <v>1410.2</v>
      </c>
      <c r="W91">
        <f t="shared" si="69"/>
        <v>0.12</v>
      </c>
      <c r="X91">
        <f t="shared" si="60"/>
        <v>130.10229720091291</v>
      </c>
      <c r="Y91">
        <f t="shared" si="70"/>
        <v>167.1575837268048</v>
      </c>
      <c r="Z91">
        <f t="shared" si="71"/>
        <v>12584.777077596462</v>
      </c>
      <c r="AA91">
        <f t="shared" si="72"/>
        <v>0</v>
      </c>
      <c r="AB91">
        <f t="shared" si="73"/>
        <v>12889.707566597759</v>
      </c>
      <c r="AC91" s="23">
        <f>IF(B91&gt;$AJ$2,0,HLOOKUP(YEAR(A91),Assumptions!$A$25:$AL$29,4,TRUE)/100)</f>
        <v>6.7789999999999994E-3</v>
      </c>
      <c r="AD91">
        <f t="shared" si="74"/>
        <v>249.63612962198704</v>
      </c>
      <c r="AE91">
        <f t="shared" si="75"/>
        <v>4925.7321089300513</v>
      </c>
      <c r="AF91">
        <f t="shared" si="76"/>
        <v>4907.6389331201808</v>
      </c>
      <c r="AG91">
        <f t="shared" si="77"/>
        <v>5107.8960381174211</v>
      </c>
      <c r="AH91">
        <f t="shared" si="78"/>
        <v>159.22789589036654</v>
      </c>
      <c r="AI91">
        <f t="shared" si="79"/>
        <v>159.01432199515398</v>
      </c>
      <c r="AJ91">
        <f t="shared" si="80"/>
        <v>0</v>
      </c>
      <c r="AK91">
        <f t="shared" si="81"/>
        <v>3.6459060503906127</v>
      </c>
      <c r="AL91">
        <f t="shared" si="82"/>
        <v>38.516373021834447</v>
      </c>
      <c r="AM91">
        <f t="shared" si="61"/>
        <v>0</v>
      </c>
      <c r="AN91">
        <f>IF($S$2=0,0,(SUMPRODUCT($K$2:$R$2,Assumptions!$B$34:$I$34)/$U$2+$J$2/$U$2*Assumptions!$A$34*G91)*K91*O90)</f>
        <v>9.1521778279314674</v>
      </c>
      <c r="AO91">
        <f t="shared" si="83"/>
        <v>0</v>
      </c>
      <c r="AP91">
        <f t="shared" si="84"/>
        <v>0</v>
      </c>
      <c r="AQ91">
        <f>IF(B91&gt;$AJ$2,0,AQ90*(1+Assumptions!$B$43)^(1/12))</f>
        <v>1.0685852090536445</v>
      </c>
      <c r="AR91" s="27">
        <f>IF(B91&gt;$AJ$2,0,(O90+R90)*Assumptions!$B$39/12*AQ90+AV91*Assumptions!$B$41/12)</f>
        <v>7.9369213025600533</v>
      </c>
      <c r="AS91">
        <f t="shared" si="85"/>
        <v>70.731109095966872</v>
      </c>
      <c r="AT91" s="28">
        <f t="shared" si="86"/>
        <v>5889.2697047051361</v>
      </c>
      <c r="AU91">
        <f t="shared" si="87"/>
        <v>49.891254120609986</v>
      </c>
      <c r="AV91" s="28">
        <f t="shared" si="88"/>
        <v>5965.7887031569217</v>
      </c>
      <c r="AW91" s="28">
        <f t="shared" si="89"/>
        <v>6017.2229699593081</v>
      </c>
      <c r="AX91" s="23">
        <f>HLOOKUP(YEAR(A91),Assumptions!$A$25:$AL$29,2,TRUE)/100</f>
        <v>1.2779E-2</v>
      </c>
      <c r="AY91" s="29">
        <f>1/(1+HLOOKUP(YEAR(A91),Assumptions!$A$18:$AL$20,3,TRUE))^(1/12)</f>
        <v>0.99897215015575014</v>
      </c>
      <c r="AZ91" s="26">
        <f t="shared" si="90"/>
        <v>3144.6866106198831</v>
      </c>
      <c r="BA91">
        <f t="shared" si="91"/>
        <v>51.314456900156529</v>
      </c>
      <c r="BB91">
        <f t="shared" si="92"/>
        <v>5922.2680626618376</v>
      </c>
      <c r="BC91">
        <f t="shared" si="93"/>
        <v>0</v>
      </c>
    </row>
    <row r="92" spans="1:55" x14ac:dyDescent="0.2">
      <c r="A92" s="3">
        <f t="shared" si="62"/>
        <v>45565</v>
      </c>
      <c r="B92">
        <f t="shared" si="54"/>
        <v>94</v>
      </c>
      <c r="C92">
        <f t="shared" si="46"/>
        <v>7.75</v>
      </c>
      <c r="D92">
        <f t="shared" si="47"/>
        <v>0</v>
      </c>
      <c r="E92">
        <f t="shared" si="55"/>
        <v>63</v>
      </c>
      <c r="F92">
        <f>IF(C92&gt;=$T$2,0,VLOOKUP($E92,'Mortality Table'!$A$3:$C$128,2+AF$2,FALSE))</f>
        <v>7.3750999999999999E-3</v>
      </c>
      <c r="G92">
        <f>F92*Assumptions!$B$1</f>
        <v>7.3750999999999999E-3</v>
      </c>
      <c r="H92">
        <f t="shared" si="63"/>
        <v>6.1667898445150193E-4</v>
      </c>
      <c r="I92">
        <f t="shared" si="56"/>
        <v>2.5810371582648124E-4</v>
      </c>
      <c r="J92">
        <f>IF(B92&gt;$AJ$2,0,HLOOKUP(C92,Assumptions!$A$6:$J$7,2,TRUE))</f>
        <v>7.5200000000000003E-2</v>
      </c>
      <c r="K92" s="4">
        <f t="shared" si="53"/>
        <v>1</v>
      </c>
      <c r="L92" s="4">
        <f t="shared" si="64"/>
        <v>8.3333333333333329E-2</v>
      </c>
      <c r="M92" s="4">
        <f t="shared" si="57"/>
        <v>6.4936396904045068E-3</v>
      </c>
      <c r="N92">
        <f t="shared" si="65"/>
        <v>2.7258486295515657E-3</v>
      </c>
      <c r="O92" s="21">
        <f t="shared" si="58"/>
        <v>0.41668759707155678</v>
      </c>
      <c r="P92">
        <f>IF(B92&gt;$AJ$2,0,HLOOKUP(C92,Assumptions!$A$12:$J$13,2,TRUE))</f>
        <v>6.6E-3</v>
      </c>
      <c r="Q92">
        <f t="shared" si="59"/>
        <v>2.3000126476506767E-4</v>
      </c>
      <c r="R92">
        <f t="shared" si="66"/>
        <v>9.7875995135045274E-2</v>
      </c>
      <c r="S92">
        <f t="shared" si="94"/>
        <v>6.0450299901129089E-5</v>
      </c>
      <c r="T92">
        <f t="shared" si="95"/>
        <v>6.3841919754557732E-4</v>
      </c>
      <c r="U92">
        <f t="shared" si="67"/>
        <v>3689.621596274611</v>
      </c>
      <c r="V92">
        <f t="shared" si="68"/>
        <v>1410.2</v>
      </c>
      <c r="W92">
        <f t="shared" si="69"/>
        <v>0.12</v>
      </c>
      <c r="X92">
        <f t="shared" si="60"/>
        <v>129.10648580869983</v>
      </c>
      <c r="Y92">
        <f t="shared" si="70"/>
        <v>167.1575837268048</v>
      </c>
      <c r="Z92">
        <f t="shared" si="71"/>
        <v>12751.934661323266</v>
      </c>
      <c r="AA92">
        <f t="shared" si="72"/>
        <v>0</v>
      </c>
      <c r="AB92">
        <f t="shared" si="73"/>
        <v>13064.218372165504</v>
      </c>
      <c r="AC92" s="23">
        <f>IF(B92&gt;$AJ$2,0,HLOOKUP(YEAR(A92),Assumptions!$A$25:$AL$29,4,TRUE)/100)</f>
        <v>6.7789999999999994E-3</v>
      </c>
      <c r="AD92">
        <f t="shared" si="74"/>
        <v>249.63612962198704</v>
      </c>
      <c r="AE92">
        <f t="shared" si="75"/>
        <v>4944.1230993141025</v>
      </c>
      <c r="AF92">
        <f t="shared" si="76"/>
        <v>4925.7321089300513</v>
      </c>
      <c r="AG92">
        <f t="shared" si="77"/>
        <v>5129.4626491994977</v>
      </c>
      <c r="AH92">
        <f t="shared" si="78"/>
        <v>159.44034847462646</v>
      </c>
      <c r="AI92">
        <f t="shared" si="79"/>
        <v>159.22789589036654</v>
      </c>
      <c r="AJ92">
        <f t="shared" si="80"/>
        <v>0</v>
      </c>
      <c r="AK92">
        <f t="shared" si="81"/>
        <v>3.6631410900006536</v>
      </c>
      <c r="AL92">
        <f t="shared" si="82"/>
        <v>38.698526803476007</v>
      </c>
      <c r="AM92">
        <f t="shared" si="61"/>
        <v>0</v>
      </c>
      <c r="AN92">
        <f>IF($S$2=0,0,(SUMPRODUCT($K$2:$R$2,Assumptions!$B$34:$I$34)/$U$2+$J$2/$U$2*Assumptions!$A$34*G92)*K92*O91)</f>
        <v>9.0821264672660984</v>
      </c>
      <c r="AO92">
        <f t="shared" si="83"/>
        <v>0</v>
      </c>
      <c r="AP92">
        <f t="shared" si="84"/>
        <v>0</v>
      </c>
      <c r="AQ92">
        <f>IF(B92&gt;$AJ$2,0,AQ91*(1+Assumptions!$B$43)^(1/12))</f>
        <v>1.069471641212981</v>
      </c>
      <c r="AR92" s="27">
        <f>IF(B92&gt;$AJ$2,0,(O91+R91)*Assumptions!$B$39/12*AQ91+AV92*Assumptions!$B$41/12)</f>
        <v>7.9032474498157033</v>
      </c>
      <c r="AS92">
        <f t="shared" si="85"/>
        <v>70.189728615091411</v>
      </c>
      <c r="AT92" s="28">
        <f t="shared" si="86"/>
        <v>5917.1096422218816</v>
      </c>
      <c r="AU92">
        <f t="shared" si="87"/>
        <v>56.297927133073287</v>
      </c>
      <c r="AV92" s="28">
        <f t="shared" si="88"/>
        <v>6000.2685609735718</v>
      </c>
      <c r="AW92" s="28">
        <f t="shared" si="89"/>
        <v>6051.2820707173651</v>
      </c>
      <c r="AX92" s="23">
        <f>HLOOKUP(YEAR(A92),Assumptions!$A$25:$AL$29,2,TRUE)/100</f>
        <v>1.2779E-2</v>
      </c>
      <c r="AY92" s="29">
        <f>1/(1+HLOOKUP(YEAR(A92),Assumptions!$A$18:$AL$20,3,TRUE))^(1/12)</f>
        <v>0.99897215015575014</v>
      </c>
      <c r="AZ92" s="26">
        <f t="shared" si="90"/>
        <v>3217.6816459630245</v>
      </c>
      <c r="BA92">
        <f t="shared" si="91"/>
        <v>51.443794360742764</v>
      </c>
      <c r="BB92">
        <f t="shared" si="92"/>
        <v>5950.3773068529617</v>
      </c>
      <c r="BC92">
        <f t="shared" si="93"/>
        <v>0</v>
      </c>
    </row>
    <row r="93" spans="1:55" x14ac:dyDescent="0.2">
      <c r="A93" s="3">
        <f t="shared" si="62"/>
        <v>45596</v>
      </c>
      <c r="B93">
        <f t="shared" si="54"/>
        <v>95</v>
      </c>
      <c r="C93">
        <f t="shared" si="46"/>
        <v>7.8333333333333339</v>
      </c>
      <c r="D93">
        <f t="shared" si="47"/>
        <v>0</v>
      </c>
      <c r="E93">
        <f t="shared" si="55"/>
        <v>63</v>
      </c>
      <c r="F93">
        <f>IF(C93&gt;=$T$2,0,VLOOKUP($E93,'Mortality Table'!$A$3:$C$128,2+AF$2,FALSE))</f>
        <v>7.3750999999999999E-3</v>
      </c>
      <c r="G93">
        <f>F93*Assumptions!$B$1</f>
        <v>7.3750999999999999E-3</v>
      </c>
      <c r="H93">
        <f t="shared" si="63"/>
        <v>6.1667898445150193E-4</v>
      </c>
      <c r="I93">
        <f t="shared" si="56"/>
        <v>2.5612817330246542E-4</v>
      </c>
      <c r="J93">
        <f>IF(B93&gt;$AJ$2,0,HLOOKUP(C93,Assumptions!$A$6:$J$7,2,TRUE))</f>
        <v>7.5200000000000003E-2</v>
      </c>
      <c r="K93" s="4">
        <f t="shared" si="53"/>
        <v>1</v>
      </c>
      <c r="L93" s="4">
        <f t="shared" si="64"/>
        <v>8.3333333333333329E-2</v>
      </c>
      <c r="M93" s="4">
        <f t="shared" si="57"/>
        <v>6.4936396904045068E-3</v>
      </c>
      <c r="N93">
        <f t="shared" si="65"/>
        <v>2.7049848079499831E-3</v>
      </c>
      <c r="O93" s="21">
        <f t="shared" si="58"/>
        <v>0.41349824327008639</v>
      </c>
      <c r="P93">
        <f>IF(B93&gt;$AJ$2,0,HLOOKUP(C93,Assumptions!$A$12:$J$13,2,TRUE))</f>
        <v>6.6E-3</v>
      </c>
      <c r="Q93">
        <f t="shared" si="59"/>
        <v>2.2824082021793732E-4</v>
      </c>
      <c r="R93">
        <f t="shared" si="66"/>
        <v>9.7408698382788719E-2</v>
      </c>
      <c r="S93">
        <f t="shared" si="94"/>
        <v>6.016209750489678E-5</v>
      </c>
      <c r="T93">
        <f t="shared" si="95"/>
        <v>6.3537547496960529E-4</v>
      </c>
      <c r="U93">
        <f t="shared" si="67"/>
        <v>3689.621596274611</v>
      </c>
      <c r="V93">
        <f t="shared" si="68"/>
        <v>1410.2</v>
      </c>
      <c r="W93">
        <f t="shared" si="69"/>
        <v>0.12</v>
      </c>
      <c r="X93">
        <f t="shared" si="60"/>
        <v>128.11829642124908</v>
      </c>
      <c r="Y93">
        <f t="shared" si="70"/>
        <v>167.1575837268048</v>
      </c>
      <c r="Z93">
        <f t="shared" si="71"/>
        <v>12919.092245050071</v>
      </c>
      <c r="AA93">
        <f t="shared" si="72"/>
        <v>0</v>
      </c>
      <c r="AB93">
        <f t="shared" si="73"/>
        <v>13238.827456811128</v>
      </c>
      <c r="AC93" s="23">
        <f>IF(B93&gt;$AJ$2,0,HLOOKUP(YEAR(A93),Assumptions!$A$25:$AL$29,4,TRUE)/100)</f>
        <v>6.7789999999999994E-3</v>
      </c>
      <c r="AD93">
        <f t="shared" si="74"/>
        <v>249.63612962198704</v>
      </c>
      <c r="AE93">
        <f t="shared" si="75"/>
        <v>4962.8094541187074</v>
      </c>
      <c r="AF93">
        <f t="shared" si="76"/>
        <v>4944.1230993141025</v>
      </c>
      <c r="AG93">
        <f t="shared" si="77"/>
        <v>5151.3458956228633</v>
      </c>
      <c r="AH93">
        <f t="shared" si="78"/>
        <v>159.65168852342143</v>
      </c>
      <c r="AI93">
        <f t="shared" si="79"/>
        <v>159.44034847462646</v>
      </c>
      <c r="AJ93">
        <f t="shared" si="80"/>
        <v>0</v>
      </c>
      <c r="AK93">
        <f t="shared" si="81"/>
        <v>3.6799234250893917</v>
      </c>
      <c r="AL93">
        <f t="shared" si="82"/>
        <v>38.875896375027381</v>
      </c>
      <c r="AM93">
        <f t="shared" si="61"/>
        <v>0</v>
      </c>
      <c r="AN93">
        <f>IF($S$2=0,0,(SUMPRODUCT($K$2:$R$2,Assumptions!$B$34:$I$34)/$U$2+$J$2/$U$2*Assumptions!$A$34*G93)*K93*O92)</f>
        <v>9.012611284243178</v>
      </c>
      <c r="AO93">
        <f t="shared" si="83"/>
        <v>0</v>
      </c>
      <c r="AP93">
        <f t="shared" si="84"/>
        <v>0</v>
      </c>
      <c r="AQ93">
        <f>IF(B93&gt;$AJ$2,0,AQ92*(1+Assumptions!$B$43)^(1/12))</f>
        <v>1.0703588087015794</v>
      </c>
      <c r="AR93" s="27">
        <f>IF(B93&gt;$AJ$2,0,(O92+R92)*Assumptions!$B$39/12*AQ92+AV93*Assumptions!$B$41/12)</f>
        <v>7.8696761815858061</v>
      </c>
      <c r="AS93">
        <f t="shared" si="85"/>
        <v>69.652491895409852</v>
      </c>
      <c r="AT93" s="28">
        <f t="shared" si="86"/>
        <v>5944.2183214490187</v>
      </c>
      <c r="AU93">
        <f t="shared" si="87"/>
        <v>62.739920969760853</v>
      </c>
      <c r="AV93" s="28">
        <f t="shared" si="88"/>
        <v>6034.0474499661213</v>
      </c>
      <c r="AW93" s="28">
        <f t="shared" si="89"/>
        <v>6084.6435783103752</v>
      </c>
      <c r="AX93" s="23">
        <f>HLOOKUP(YEAR(A93),Assumptions!$A$25:$AL$29,2,TRUE)/100</f>
        <v>1.2779E-2</v>
      </c>
      <c r="AY93" s="29">
        <f>1/(1+HLOOKUP(YEAR(A93),Assumptions!$A$18:$AL$20,3,TRUE))^(1/12)</f>
        <v>0.99897215015575014</v>
      </c>
      <c r="AZ93" s="26">
        <f t="shared" si="90"/>
        <v>3289.6725315958352</v>
      </c>
      <c r="BA93">
        <f t="shared" si="91"/>
        <v>51.56843108435995</v>
      </c>
      <c r="BB93">
        <f t="shared" si="92"/>
        <v>5977.7495228330481</v>
      </c>
      <c r="BC93">
        <f t="shared" si="93"/>
        <v>0</v>
      </c>
    </row>
    <row r="94" spans="1:55" x14ac:dyDescent="0.2">
      <c r="A94" s="3">
        <f t="shared" si="62"/>
        <v>45626</v>
      </c>
      <c r="B94">
        <f t="shared" si="54"/>
        <v>96</v>
      </c>
      <c r="C94">
        <f t="shared" si="46"/>
        <v>7.9166666666666661</v>
      </c>
      <c r="D94">
        <f t="shared" si="47"/>
        <v>0</v>
      </c>
      <c r="E94">
        <f t="shared" si="55"/>
        <v>63</v>
      </c>
      <c r="F94">
        <f>IF(C94&gt;=$T$2,0,VLOOKUP($E94,'Mortality Table'!$A$3:$C$128,2+AF$2,FALSE))</f>
        <v>7.3750999999999999E-3</v>
      </c>
      <c r="G94">
        <f>F94*Assumptions!$B$1</f>
        <v>7.3750999999999999E-3</v>
      </c>
      <c r="H94">
        <f t="shared" si="63"/>
        <v>6.1667898445150193E-4</v>
      </c>
      <c r="I94">
        <f t="shared" si="56"/>
        <v>2.5416775170862186E-4</v>
      </c>
      <c r="J94">
        <f>IF(B94&gt;$AJ$2,0,HLOOKUP(C94,Assumptions!$A$6:$J$7,2,TRUE))</f>
        <v>7.5200000000000003E-2</v>
      </c>
      <c r="K94" s="4">
        <f t="shared" si="53"/>
        <v>1</v>
      </c>
      <c r="L94" s="4">
        <f t="shared" si="64"/>
        <v>8.3333333333333329E-2</v>
      </c>
      <c r="M94" s="4">
        <f t="shared" si="57"/>
        <v>6.4936396904045068E-3</v>
      </c>
      <c r="N94">
        <f t="shared" si="65"/>
        <v>2.6842806793875161E-3</v>
      </c>
      <c r="O94" s="21">
        <f t="shared" si="58"/>
        <v>0.41033330098876308</v>
      </c>
      <c r="P94">
        <f>IF(B94&gt;$AJ$2,0,HLOOKUP(C94,Assumptions!$A$12:$J$13,2,TRUE))</f>
        <v>6.6E-3</v>
      </c>
      <c r="Q94">
        <f t="shared" si="59"/>
        <v>2.2649385022716079E-4</v>
      </c>
      <c r="R94">
        <f t="shared" si="66"/>
        <v>9.6942975418079946E-2</v>
      </c>
      <c r="S94">
        <f t="shared" si="94"/>
        <v>5.9874861061127391E-5</v>
      </c>
      <c r="T94">
        <f t="shared" si="95"/>
        <v>6.3234195387480469E-4</v>
      </c>
      <c r="U94">
        <f t="shared" si="67"/>
        <v>3689.621596274611</v>
      </c>
      <c r="V94">
        <f t="shared" si="68"/>
        <v>1410.2</v>
      </c>
      <c r="W94">
        <f t="shared" si="69"/>
        <v>0.12</v>
      </c>
      <c r="X94">
        <f t="shared" si="60"/>
        <v>127.13767069924361</v>
      </c>
      <c r="Y94">
        <f t="shared" si="70"/>
        <v>167.1575837268048</v>
      </c>
      <c r="Z94">
        <f t="shared" si="71"/>
        <v>13086.249828776876</v>
      </c>
      <c r="AA94">
        <f t="shared" si="72"/>
        <v>0</v>
      </c>
      <c r="AB94">
        <f t="shared" si="73"/>
        <v>13413.534875882364</v>
      </c>
      <c r="AC94" s="23">
        <f>IF(B94&gt;$AJ$2,0,HLOOKUP(YEAR(A94),Assumptions!$A$25:$AL$29,4,TRUE)/100)</f>
        <v>6.7789999999999994E-3</v>
      </c>
      <c r="AD94">
        <f t="shared" si="74"/>
        <v>249.63612962198704</v>
      </c>
      <c r="AE94">
        <f t="shared" si="75"/>
        <v>4981.7887486948457</v>
      </c>
      <c r="AF94">
        <f t="shared" si="76"/>
        <v>4962.8094541187074</v>
      </c>
      <c r="AG94">
        <f t="shared" si="77"/>
        <v>5173.5436575284757</v>
      </c>
      <c r="AH94">
        <f t="shared" si="78"/>
        <v>159.86192472090823</v>
      </c>
      <c r="AI94">
        <f t="shared" si="79"/>
        <v>159.65168852342143</v>
      </c>
      <c r="AJ94">
        <f t="shared" si="80"/>
        <v>0</v>
      </c>
      <c r="AK94">
        <f t="shared" si="81"/>
        <v>3.6962588002955403</v>
      </c>
      <c r="AL94">
        <f t="shared" si="82"/>
        <v>39.048542453614758</v>
      </c>
      <c r="AM94">
        <f t="shared" si="61"/>
        <v>0</v>
      </c>
      <c r="AN94">
        <f>IF($S$2=0,0,(SUMPRODUCT($K$2:$R$2,Assumptions!$B$34:$I$34)/$U$2+$J$2/$U$2*Assumptions!$A$34*G94)*K94*O93)</f>
        <v>8.9436281749243776</v>
      </c>
      <c r="AO94">
        <f t="shared" si="83"/>
        <v>0</v>
      </c>
      <c r="AP94">
        <f t="shared" si="84"/>
        <v>0</v>
      </c>
      <c r="AQ94">
        <f>IF(B94&gt;$AJ$2,0,AQ93*(1+Assumptions!$B$43)^(1/12))</f>
        <v>1.0712467121294236</v>
      </c>
      <c r="AR94" s="27">
        <f>IF(B94&gt;$AJ$2,0,(O93+R93)*Assumptions!$B$39/12*AQ93+AV94*Assumptions!$B$41/12)</f>
        <v>7.8362078000245443</v>
      </c>
      <c r="AS94">
        <f t="shared" si="85"/>
        <v>69.11936722030616</v>
      </c>
      <c r="AT94" s="28">
        <f t="shared" si="86"/>
        <v>5970.6050217607972</v>
      </c>
      <c r="AU94">
        <f t="shared" si="87"/>
        <v>69.216506156525142</v>
      </c>
      <c r="AV94" s="28">
        <f t="shared" si="88"/>
        <v>6067.1339814641615</v>
      </c>
      <c r="AW94" s="28">
        <f t="shared" si="89"/>
        <v>6117.3160771430739</v>
      </c>
      <c r="AX94" s="23">
        <f>HLOOKUP(YEAR(A94),Assumptions!$A$25:$AL$29,2,TRUE)/100</f>
        <v>1.2779E-2</v>
      </c>
      <c r="AY94" s="29">
        <f>1/(1+HLOOKUP(YEAR(A94),Assumptions!$A$18:$AL$20,3,TRUE))^(1/12)</f>
        <v>0.99897215015575014</v>
      </c>
      <c r="AZ94" s="26">
        <f t="shared" si="90"/>
        <v>3360.6703334991598</v>
      </c>
      <c r="BA94">
        <f t="shared" si="91"/>
        <v>51.688429428834674</v>
      </c>
      <c r="BB94">
        <f t="shared" si="92"/>
        <v>6004.3940604944009</v>
      </c>
      <c r="BC94">
        <f t="shared" si="93"/>
        <v>0</v>
      </c>
    </row>
    <row r="95" spans="1:55" x14ac:dyDescent="0.2">
      <c r="A95" s="3">
        <f t="shared" si="62"/>
        <v>45657</v>
      </c>
      <c r="B95">
        <f t="shared" si="54"/>
        <v>97</v>
      </c>
      <c r="C95">
        <f t="shared" si="46"/>
        <v>8</v>
      </c>
      <c r="D95">
        <f t="shared" si="47"/>
        <v>1</v>
      </c>
      <c r="E95">
        <f t="shared" si="55"/>
        <v>64</v>
      </c>
      <c r="F95">
        <f>IF(C95&gt;=$T$2,0,VLOOKUP($E95,'Mortality Table'!$A$3:$C$128,2+AF$2,FALSE))</f>
        <v>7.7819000000000004E-3</v>
      </c>
      <c r="G95">
        <f>F95*Assumptions!$B$1</f>
        <v>7.7819000000000004E-3</v>
      </c>
      <c r="H95">
        <f t="shared" si="63"/>
        <v>6.5081620984164257E-4</v>
      </c>
      <c r="I95">
        <f t="shared" si="56"/>
        <v>2.6668098872835487E-4</v>
      </c>
      <c r="J95">
        <f>IF(B95&gt;$AJ$2,0,HLOOKUP(C95,Assumptions!$A$6:$J$7,2,TRUE))</f>
        <v>3.2800000000000003E-2</v>
      </c>
      <c r="K95" s="4">
        <f t="shared" si="53"/>
        <v>1</v>
      </c>
      <c r="L95" s="4">
        <f t="shared" si="64"/>
        <v>8.3333333333333329E-2</v>
      </c>
      <c r="M95" s="4">
        <f t="shared" si="57"/>
        <v>2.7753066696032391E-3</v>
      </c>
      <c r="N95">
        <f t="shared" si="65"/>
        <v>1.1384301720014658E-3</v>
      </c>
      <c r="O95" s="21">
        <f t="shared" si="58"/>
        <v>0.40838582881981705</v>
      </c>
      <c r="P95">
        <f>IF(B95&gt;$AJ$2,0,HLOOKUP(C95,Assumptions!$A$12:$J$13,2,TRUE))</f>
        <v>1.5800000000000002E-2</v>
      </c>
      <c r="Q95">
        <f t="shared" si="59"/>
        <v>5.4236100821621503E-4</v>
      </c>
      <c r="R95">
        <f t="shared" si="66"/>
        <v>9.7153372980029268E-2</v>
      </c>
      <c r="S95">
        <f t="shared" si="94"/>
        <v>6.3004509925140424E-5</v>
      </c>
      <c r="T95">
        <f t="shared" si="95"/>
        <v>2.6895893634175426E-4</v>
      </c>
      <c r="U95">
        <f t="shared" si="67"/>
        <v>3800.3102441628494</v>
      </c>
      <c r="V95">
        <f t="shared" si="68"/>
        <v>1410.2</v>
      </c>
      <c r="W95">
        <f t="shared" si="69"/>
        <v>0.12</v>
      </c>
      <c r="X95">
        <f t="shared" si="60"/>
        <v>129.9494872723962</v>
      </c>
      <c r="Y95">
        <f t="shared" si="70"/>
        <v>175.27475123860893</v>
      </c>
      <c r="Z95">
        <f t="shared" si="71"/>
        <v>13261.524580015484</v>
      </c>
      <c r="AA95">
        <f t="shared" si="72"/>
        <v>0</v>
      </c>
      <c r="AB95">
        <f t="shared" si="73"/>
        <v>13596.462423607121</v>
      </c>
      <c r="AC95" s="23">
        <f>IF(B95&gt;$AJ$2,0,HLOOKUP(YEAR(A95),Assumptions!$A$25:$AL$29,4,TRUE)/100)</f>
        <v>6.7789999999999994E-3</v>
      </c>
      <c r="AD95">
        <f t="shared" si="74"/>
        <v>249.63612962198704</v>
      </c>
      <c r="AE95">
        <f t="shared" si="75"/>
        <v>5028.0105702898836</v>
      </c>
      <c r="AF95">
        <f t="shared" si="76"/>
        <v>4981.7887486948457</v>
      </c>
      <c r="AG95">
        <f t="shared" si="77"/>
        <v>5223.4621155932118</v>
      </c>
      <c r="AH95">
        <f t="shared" si="78"/>
        <v>160.36309134835992</v>
      </c>
      <c r="AI95">
        <f t="shared" si="79"/>
        <v>159.86192472090823</v>
      </c>
      <c r="AJ95">
        <f t="shared" si="80"/>
        <v>0</v>
      </c>
      <c r="AK95">
        <f t="shared" si="81"/>
        <v>3.92711687779865</v>
      </c>
      <c r="AL95">
        <f t="shared" si="82"/>
        <v>16.776972471989829</v>
      </c>
      <c r="AM95">
        <f t="shared" si="61"/>
        <v>0</v>
      </c>
      <c r="AN95">
        <f>IF($S$2=0,0,(SUMPRODUCT($K$2:$R$2,Assumptions!$B$34:$I$34)/$U$2+$J$2/$U$2*Assumptions!$A$34*G95)*K95*O94)</f>
        <v>8.8827555707154797</v>
      </c>
      <c r="AO95">
        <f t="shared" si="83"/>
        <v>0</v>
      </c>
      <c r="AP95">
        <f t="shared" si="84"/>
        <v>0</v>
      </c>
      <c r="AQ95">
        <f>IF(B95&gt;$AJ$2,0,AQ94*(1+Assumptions!$B$43)^(1/12))</f>
        <v>1.0721353521070029</v>
      </c>
      <c r="AR95" s="27">
        <f>IF(B95&gt;$AJ$2,0,(O94+R94)*Assumptions!$B$39/12*AQ94+AV95*Assumptions!$B$41/12)</f>
        <v>7.8035903089418905</v>
      </c>
      <c r="AS95">
        <f t="shared" si="85"/>
        <v>71.92106725572269</v>
      </c>
      <c r="AT95" s="28">
        <f t="shared" si="86"/>
        <v>6060.0795390455723</v>
      </c>
      <c r="AU95">
        <f t="shared" si="87"/>
        <v>0</v>
      </c>
      <c r="AV95" s="28">
        <f t="shared" si="88"/>
        <v>6102.859839602329</v>
      </c>
      <c r="AW95" s="28">
        <f t="shared" si="89"/>
        <v>6153.0846693100602</v>
      </c>
      <c r="AX95" s="23">
        <f>HLOOKUP(YEAR(A95),Assumptions!$A$25:$AL$29,2,TRUE)/100</f>
        <v>1.2779E-2</v>
      </c>
      <c r="AY95" s="29">
        <f>1/(1+HLOOKUP(YEAR(A95),Assumptions!$A$18:$AL$20,3,TRUE))^(1/12)</f>
        <v>0.99897215015575014</v>
      </c>
      <c r="AZ95" s="26">
        <f t="shared" si="90"/>
        <v>3456.6872041392789</v>
      </c>
      <c r="BA95">
        <f t="shared" si="91"/>
        <v>29.586844920503957</v>
      </c>
      <c r="BB95">
        <f t="shared" si="92"/>
        <v>6033.6433334458043</v>
      </c>
      <c r="BC95">
        <f t="shared" si="93"/>
        <v>0</v>
      </c>
    </row>
    <row r="96" spans="1:55" x14ac:dyDescent="0.2">
      <c r="A96" s="3">
        <f t="shared" si="62"/>
        <v>45688</v>
      </c>
      <c r="B96">
        <f t="shared" si="54"/>
        <v>98</v>
      </c>
      <c r="C96">
        <f t="shared" si="46"/>
        <v>8.0833333333333339</v>
      </c>
      <c r="D96">
        <f t="shared" si="47"/>
        <v>0</v>
      </c>
      <c r="E96">
        <f t="shared" si="55"/>
        <v>64</v>
      </c>
      <c r="F96">
        <f>IF(C96&gt;=$T$2,0,VLOOKUP($E96,'Mortality Table'!$A$3:$C$128,2+AF$2,FALSE))</f>
        <v>7.7819000000000004E-3</v>
      </c>
      <c r="G96">
        <f>F96*Assumptions!$B$1</f>
        <v>7.7819000000000004E-3</v>
      </c>
      <c r="H96">
        <f t="shared" si="63"/>
        <v>6.5081620984164257E-4</v>
      </c>
      <c r="I96">
        <f t="shared" si="56"/>
        <v>2.6541530104889037E-4</v>
      </c>
      <c r="J96">
        <f>IF(B96&gt;$AJ$2,0,HLOOKUP(C96,Assumptions!$A$6:$J$7,2,TRUE))</f>
        <v>3.2800000000000003E-2</v>
      </c>
      <c r="K96" s="4">
        <f t="shared" si="53"/>
        <v>1</v>
      </c>
      <c r="L96" s="4">
        <f t="shared" si="64"/>
        <v>8.3333333333333329E-2</v>
      </c>
      <c r="M96" s="4">
        <f t="shared" si="57"/>
        <v>2.7753066696032391E-3</v>
      </c>
      <c r="N96">
        <f t="shared" si="65"/>
        <v>1.1330270982784242E-3</v>
      </c>
      <c r="O96" s="21">
        <f t="shared" si="58"/>
        <v>0.40644759949769743</v>
      </c>
      <c r="P96">
        <f>IF(B96&gt;$AJ$2,0,HLOOKUP(C96,Assumptions!$A$12:$J$13,2,TRUE))</f>
        <v>1.5800000000000002E-2</v>
      </c>
      <c r="Q96">
        <f t="shared" si="59"/>
        <v>5.3978692279229884E-4</v>
      </c>
      <c r="R96">
        <f t="shared" si="66"/>
        <v>9.7360475988677045E-2</v>
      </c>
      <c r="S96">
        <f t="shared" si="94"/>
        <v>6.3141250057397488E-5</v>
      </c>
      <c r="T96">
        <f t="shared" si="95"/>
        <v>2.6954266408712974E-4</v>
      </c>
      <c r="U96">
        <f t="shared" si="67"/>
        <v>3800.3102441628494</v>
      </c>
      <c r="V96">
        <f t="shared" si="68"/>
        <v>1410.2</v>
      </c>
      <c r="W96">
        <f t="shared" si="69"/>
        <v>0.12</v>
      </c>
      <c r="X96">
        <f t="shared" si="60"/>
        <v>129.33273740290721</v>
      </c>
      <c r="Y96">
        <f t="shared" si="70"/>
        <v>175.27475123860893</v>
      </c>
      <c r="Z96">
        <f t="shared" si="71"/>
        <v>13436.799331254093</v>
      </c>
      <c r="AA96">
        <f t="shared" si="72"/>
        <v>85.301713969649427</v>
      </c>
      <c r="AB96">
        <f t="shared" si="73"/>
        <v>13779.488428212886</v>
      </c>
      <c r="AC96" s="23">
        <f>IF(B96&gt;$AJ$2,0,HLOOKUP(YEAR(A96),Assumptions!$A$25:$AL$29,4,TRUE)/100)</f>
        <v>6.7749999999999998E-3</v>
      </c>
      <c r="AD96">
        <f t="shared" si="74"/>
        <v>334.93784359163647</v>
      </c>
      <c r="AE96">
        <f t="shared" si="75"/>
        <v>5074.6306608718078</v>
      </c>
      <c r="AF96">
        <f t="shared" si="76"/>
        <v>5028.0105702898836</v>
      </c>
      <c r="AG96">
        <f t="shared" si="77"/>
        <v>5273.822183903585</v>
      </c>
      <c r="AH96">
        <f t="shared" si="78"/>
        <v>196.22488663059832</v>
      </c>
      <c r="AI96">
        <f t="shared" si="79"/>
        <v>195.4515453033282</v>
      </c>
      <c r="AJ96">
        <f t="shared" si="80"/>
        <v>35.088453954968287</v>
      </c>
      <c r="AK96">
        <f t="shared" si="81"/>
        <v>3.9850456958338878</v>
      </c>
      <c r="AL96">
        <f t="shared" si="82"/>
        <v>17.024471855760787</v>
      </c>
      <c r="AM96">
        <f t="shared" si="61"/>
        <v>0</v>
      </c>
      <c r="AN96">
        <f>IF($S$2=0,0,(SUMPRODUCT($K$2:$R$2,Assumptions!$B$34:$I$34)/$U$2+$J$2/$U$2*Assumptions!$A$34*G96)*K96*O95)</f>
        <v>8.8405973563667182</v>
      </c>
      <c r="AO96">
        <f t="shared" si="83"/>
        <v>0</v>
      </c>
      <c r="AP96">
        <f t="shared" si="84"/>
        <v>0</v>
      </c>
      <c r="AQ96">
        <f>IF(B96&gt;$AJ$2,0,AQ95*(1+Assumptions!$B$43)^(1/12))</f>
        <v>1.0730247292453137</v>
      </c>
      <c r="AR96" s="27">
        <f>IF(B96&gt;$AJ$2,0,(O95+R95)*Assumptions!$B$39/12*AQ95+AV96*Assumptions!$B$41/12)</f>
        <v>7.7913771930577154</v>
      </c>
      <c r="AS96">
        <f t="shared" si="85"/>
        <v>71.57972455576656</v>
      </c>
      <c r="AT96" s="28">
        <f t="shared" si="86"/>
        <v>6110.6625206016415</v>
      </c>
      <c r="AU96">
        <f t="shared" si="87"/>
        <v>6.5332730317620662</v>
      </c>
      <c r="AV96" s="28">
        <f t="shared" si="88"/>
        <v>6122.8186662449725</v>
      </c>
      <c r="AW96" s="28">
        <f t="shared" si="89"/>
        <v>6172.7803018990544</v>
      </c>
      <c r="AX96" s="23">
        <f>HLOOKUP(YEAR(A96),Assumptions!$A$25:$AL$29,2,TRUE)/100</f>
        <v>1.2775000000000002E-2</v>
      </c>
      <c r="AY96" s="29">
        <f>1/(1+HLOOKUP(YEAR(A96),Assumptions!$A$18:$AL$20,3,TRUE))^(1/12)</f>
        <v>0.99894230766981318</v>
      </c>
      <c r="AZ96" s="26">
        <f t="shared" si="90"/>
        <v>3552.0384321204488</v>
      </c>
      <c r="BA96">
        <f t="shared" si="91"/>
        <v>29.850114907961395</v>
      </c>
      <c r="BB96">
        <f t="shared" si="92"/>
        <v>6122.8186662449725</v>
      </c>
      <c r="BC96">
        <f t="shared" si="93"/>
        <v>0</v>
      </c>
    </row>
    <row r="97" spans="1:55" x14ac:dyDescent="0.2">
      <c r="A97" s="3">
        <f t="shared" si="62"/>
        <v>45716</v>
      </c>
      <c r="B97">
        <f t="shared" si="54"/>
        <v>99</v>
      </c>
      <c r="C97">
        <f t="shared" ref="C97:C161" si="96">(B97+11)/12-1</f>
        <v>8.1666666666666661</v>
      </c>
      <c r="D97">
        <f t="shared" ref="D97:D161" si="97">IF(C97-INT(C97)=0,1,0)</f>
        <v>0</v>
      </c>
      <c r="E97">
        <f t="shared" si="55"/>
        <v>64</v>
      </c>
      <c r="F97">
        <f>IF(C97&gt;=$T$2,0,VLOOKUP($E97,'Mortality Table'!$A$3:$C$128,2+AF$2,FALSE))</f>
        <v>7.7819000000000004E-3</v>
      </c>
      <c r="G97">
        <f>F97*Assumptions!$B$1</f>
        <v>7.7819000000000004E-3</v>
      </c>
      <c r="H97">
        <f t="shared" si="63"/>
        <v>6.5081620984164257E-4</v>
      </c>
      <c r="I97">
        <f t="shared" si="56"/>
        <v>2.6415562041668322E-4</v>
      </c>
      <c r="J97">
        <f>IF(B97&gt;$AJ$2,0,HLOOKUP(C97,Assumptions!$A$6:$J$7,2,TRUE))</f>
        <v>3.2800000000000003E-2</v>
      </c>
      <c r="K97" s="4">
        <f t="shared" si="53"/>
        <v>1</v>
      </c>
      <c r="L97" s="4">
        <f t="shared" si="64"/>
        <v>8.3333333333333329E-2</v>
      </c>
      <c r="M97" s="4">
        <f t="shared" si="57"/>
        <v>2.7753066696032391E-3</v>
      </c>
      <c r="N97">
        <f t="shared" si="65"/>
        <v>1.1276496679425438E-3</v>
      </c>
      <c r="O97" s="21">
        <f t="shared" si="58"/>
        <v>0.40451856915517015</v>
      </c>
      <c r="P97">
        <f>IF(B97&gt;$AJ$2,0,HLOOKUP(C97,Assumptions!$A$12:$J$13,2,TRUE))</f>
        <v>1.5800000000000002E-2</v>
      </c>
      <c r="Q97">
        <f t="shared" si="59"/>
        <v>5.3722505416802207E-4</v>
      </c>
      <c r="R97">
        <f t="shared" si="66"/>
        <v>9.7564307942416675E-2</v>
      </c>
      <c r="S97">
        <f t="shared" si="94"/>
        <v>6.3275849016296808E-5</v>
      </c>
      <c r="T97">
        <f t="shared" si="95"/>
        <v>2.7011725141208912E-4</v>
      </c>
      <c r="U97">
        <f t="shared" si="67"/>
        <v>3800.3102441628494</v>
      </c>
      <c r="V97">
        <f t="shared" si="68"/>
        <v>1410.2</v>
      </c>
      <c r="W97">
        <f t="shared" si="69"/>
        <v>0.12</v>
      </c>
      <c r="X97">
        <f t="shared" si="60"/>
        <v>128.71891467387488</v>
      </c>
      <c r="Y97">
        <f t="shared" si="70"/>
        <v>175.27475123860893</v>
      </c>
      <c r="Z97">
        <f t="shared" si="71"/>
        <v>13612.074082492702</v>
      </c>
      <c r="AA97">
        <f t="shared" si="72"/>
        <v>0</v>
      </c>
      <c r="AB97">
        <f t="shared" si="73"/>
        <v>13962.617446760643</v>
      </c>
      <c r="AC97" s="23">
        <f>IF(B97&gt;$AJ$2,0,HLOOKUP(YEAR(A97),Assumptions!$A$25:$AL$29,4,TRUE)/100)</f>
        <v>6.7749999999999998E-3</v>
      </c>
      <c r="AD97">
        <f t="shared" si="74"/>
        <v>334.93784359163647</v>
      </c>
      <c r="AE97">
        <f t="shared" si="75"/>
        <v>5121.6409723408724</v>
      </c>
      <c r="AF97">
        <f t="shared" si="76"/>
        <v>5074.6306608718078</v>
      </c>
      <c r="AG97">
        <f t="shared" si="77"/>
        <v>5324.6178559660848</v>
      </c>
      <c r="AH97">
        <f t="shared" si="78"/>
        <v>196.98869131889867</v>
      </c>
      <c r="AI97">
        <f t="shared" si="79"/>
        <v>196.22488663059832</v>
      </c>
      <c r="AJ97">
        <f t="shared" si="80"/>
        <v>0</v>
      </c>
      <c r="AK97">
        <f t="shared" si="81"/>
        <v>4.0176994481041612</v>
      </c>
      <c r="AL97">
        <f t="shared" si="82"/>
        <v>17.163996993266284</v>
      </c>
      <c r="AM97">
        <f t="shared" si="61"/>
        <v>0</v>
      </c>
      <c r="AN97">
        <f>IF($S$2=0,0,(SUMPRODUCT($K$2:$R$2,Assumptions!$B$34:$I$34)/$U$2+$J$2/$U$2*Assumptions!$A$34*G97)*K97*O96)</f>
        <v>8.7986392280186276</v>
      </c>
      <c r="AO97">
        <f t="shared" si="83"/>
        <v>0</v>
      </c>
      <c r="AP97">
        <f t="shared" si="84"/>
        <v>0</v>
      </c>
      <c r="AQ97">
        <f>IF(B97&gt;$AJ$2,0,AQ96*(1+Assumptions!$B$43)^(1/12))</f>
        <v>1.0739148441558586</v>
      </c>
      <c r="AR97" s="27">
        <f>IF(B97&gt;$AJ$2,0,(O96+R96)*Assumptions!$B$39/12*AQ96+AV97*Assumptions!$B$41/12)</f>
        <v>7.7875008916866202</v>
      </c>
      <c r="AS97">
        <f t="shared" si="85"/>
        <v>71.240001893488667</v>
      </c>
      <c r="AT97" s="28">
        <f t="shared" si="86"/>
        <v>6160.7337306667041</v>
      </c>
      <c r="AU97">
        <f t="shared" si="87"/>
        <v>13.126396770185767</v>
      </c>
      <c r="AV97" s="28">
        <f t="shared" si="88"/>
        <v>6179.6371562988734</v>
      </c>
      <c r="AW97" s="28">
        <f t="shared" si="89"/>
        <v>6229.3285681875732</v>
      </c>
      <c r="AX97" s="23">
        <f>HLOOKUP(YEAR(A97),Assumptions!$A$25:$AL$29,2,TRUE)/100</f>
        <v>1.2775000000000002E-2</v>
      </c>
      <c r="AY97" s="29">
        <f>1/(1+HLOOKUP(YEAR(A97),Assumptions!$A$18:$AL$20,3,TRUE))^(1/12)</f>
        <v>0.99894230766981318</v>
      </c>
      <c r="AZ97" s="26">
        <f t="shared" si="90"/>
        <v>3646.7504519586473</v>
      </c>
      <c r="BA97">
        <f t="shared" si="91"/>
        <v>29.980335669389071</v>
      </c>
      <c r="BB97">
        <f t="shared" si="92"/>
        <v>6173.1038832671111</v>
      </c>
      <c r="BC97">
        <f t="shared" si="93"/>
        <v>0</v>
      </c>
    </row>
    <row r="98" spans="1:55" x14ac:dyDescent="0.2">
      <c r="A98" s="3">
        <f t="shared" si="62"/>
        <v>45747</v>
      </c>
      <c r="B98">
        <f t="shared" si="54"/>
        <v>100</v>
      </c>
      <c r="C98">
        <f t="shared" si="96"/>
        <v>8.25</v>
      </c>
      <c r="D98">
        <f t="shared" si="97"/>
        <v>0</v>
      </c>
      <c r="E98">
        <f t="shared" si="55"/>
        <v>64</v>
      </c>
      <c r="F98">
        <f>IF(C98&gt;=$T$2,0,VLOOKUP($E98,'Mortality Table'!$A$3:$C$128,2+AF$2,FALSE))</f>
        <v>7.7819000000000004E-3</v>
      </c>
      <c r="G98">
        <f>F98*Assumptions!$B$1</f>
        <v>7.7819000000000004E-3</v>
      </c>
      <c r="H98">
        <f t="shared" si="63"/>
        <v>6.5081620984164257E-4</v>
      </c>
      <c r="I98">
        <f t="shared" si="56"/>
        <v>2.6290191832184333E-4</v>
      </c>
      <c r="J98">
        <f>IF(B98&gt;$AJ$2,0,HLOOKUP(C98,Assumptions!$A$6:$J$7,2,TRUE))</f>
        <v>3.2800000000000003E-2</v>
      </c>
      <c r="K98" s="4">
        <f t="shared" si="53"/>
        <v>1</v>
      </c>
      <c r="L98" s="4">
        <f t="shared" si="64"/>
        <v>8.3333333333333329E-2</v>
      </c>
      <c r="M98" s="4">
        <f t="shared" si="57"/>
        <v>2.7753066696032391E-3</v>
      </c>
      <c r="N98">
        <f t="shared" si="65"/>
        <v>1.122297759288414E-3</v>
      </c>
      <c r="O98" s="21">
        <f t="shared" si="58"/>
        <v>0.40259869413319838</v>
      </c>
      <c r="P98">
        <f>IF(B98&gt;$AJ$2,0,HLOOKUP(C98,Assumptions!$A$12:$J$13,2,TRUE))</f>
        <v>1.5800000000000002E-2</v>
      </c>
      <c r="Q98">
        <f t="shared" si="59"/>
        <v>5.3467534436155086E-4</v>
      </c>
      <c r="R98">
        <f t="shared" si="66"/>
        <v>9.7764892201193804E-2</v>
      </c>
      <c r="S98">
        <f t="shared" si="94"/>
        <v>6.3408322073752135E-5</v>
      </c>
      <c r="T98">
        <f t="shared" si="95"/>
        <v>2.7068276351065889E-4</v>
      </c>
      <c r="U98">
        <f t="shared" si="67"/>
        <v>3800.3102441628494</v>
      </c>
      <c r="V98">
        <f t="shared" si="68"/>
        <v>1410.2</v>
      </c>
      <c r="W98">
        <f t="shared" si="69"/>
        <v>0.12</v>
      </c>
      <c r="X98">
        <f t="shared" si="60"/>
        <v>128.10800519287426</v>
      </c>
      <c r="Y98">
        <f t="shared" si="70"/>
        <v>175.27475123860893</v>
      </c>
      <c r="Z98">
        <f t="shared" si="71"/>
        <v>13787.34883373131</v>
      </c>
      <c r="AA98">
        <f t="shared" si="72"/>
        <v>0</v>
      </c>
      <c r="AB98">
        <f t="shared" si="73"/>
        <v>14145.849537230528</v>
      </c>
      <c r="AC98" s="23">
        <f>IF(B98&gt;$AJ$2,0,HLOOKUP(YEAR(A98),Assumptions!$A$25:$AL$29,4,TRUE)/100)</f>
        <v>6.7749999999999998E-3</v>
      </c>
      <c r="AD98">
        <f t="shared" si="74"/>
        <v>334.93784359163647</v>
      </c>
      <c r="AE98">
        <f t="shared" si="75"/>
        <v>5169.0336531959838</v>
      </c>
      <c r="AF98">
        <f t="shared" si="76"/>
        <v>5121.6409723408724</v>
      </c>
      <c r="AG98">
        <f t="shared" si="77"/>
        <v>5375.8416010979672</v>
      </c>
      <c r="AH98">
        <f t="shared" si="78"/>
        <v>197.74313403176967</v>
      </c>
      <c r="AI98">
        <f t="shared" si="79"/>
        <v>196.98869131889867</v>
      </c>
      <c r="AJ98">
        <f t="shared" si="80"/>
        <v>0</v>
      </c>
      <c r="AK98">
        <f t="shared" si="81"/>
        <v>4.0500216412635641</v>
      </c>
      <c r="AL98">
        <f t="shared" si="82"/>
        <v>17.302104665899829</v>
      </c>
      <c r="AM98">
        <f t="shared" si="61"/>
        <v>0</v>
      </c>
      <c r="AN98">
        <f>IF($S$2=0,0,(SUMPRODUCT($K$2:$R$2,Assumptions!$B$34:$I$34)/$U$2+$J$2/$U$2*Assumptions!$A$34*G98)*K98*O97)</f>
        <v>8.7568802360482625</v>
      </c>
      <c r="AO98">
        <f t="shared" si="83"/>
        <v>0</v>
      </c>
      <c r="AP98">
        <f t="shared" si="84"/>
        <v>0</v>
      </c>
      <c r="AQ98">
        <f>IF(B98&gt;$AJ$2,0,AQ97*(1+Assumptions!$B$43)^(1/12))</f>
        <v>1.0748056974506479</v>
      </c>
      <c r="AR98" s="27">
        <f>IF(B98&gt;$AJ$2,0,(O97+R97)*Assumptions!$B$39/12*AQ97+AV98*Assumptions!$B$41/12)</f>
        <v>7.7835665036460693</v>
      </c>
      <c r="AS98">
        <f t="shared" si="85"/>
        <v>70.901891580070469</v>
      </c>
      <c r="AT98" s="28">
        <f t="shared" si="86"/>
        <v>6210.2965285360742</v>
      </c>
      <c r="AU98">
        <f t="shared" si="87"/>
        <v>19.778895836235922</v>
      </c>
      <c r="AV98" s="28">
        <f t="shared" si="88"/>
        <v>6236.0051387809126</v>
      </c>
      <c r="AW98" s="28">
        <f t="shared" si="89"/>
        <v>6285.4276858900694</v>
      </c>
      <c r="AX98" s="23">
        <f>HLOOKUP(YEAR(A98),Assumptions!$A$25:$AL$29,2,TRUE)/100</f>
        <v>1.2775000000000002E-2</v>
      </c>
      <c r="AY98" s="29">
        <f>1/(1+HLOOKUP(YEAR(A98),Assumptions!$A$18:$AL$20,3,TRUE))^(1/12)</f>
        <v>0.99894230766981318</v>
      </c>
      <c r="AZ98" s="26">
        <f t="shared" si="90"/>
        <v>3740.8271080747841</v>
      </c>
      <c r="BA98">
        <f t="shared" si="91"/>
        <v>30.109006543211656</v>
      </c>
      <c r="BB98">
        <f t="shared" si="92"/>
        <v>6222.8787420107265</v>
      </c>
      <c r="BC98">
        <f t="shared" si="93"/>
        <v>0</v>
      </c>
    </row>
    <row r="99" spans="1:55" x14ac:dyDescent="0.2">
      <c r="A99" s="3">
        <f t="shared" si="62"/>
        <v>45777</v>
      </c>
      <c r="B99">
        <f t="shared" si="54"/>
        <v>101</v>
      </c>
      <c r="C99">
        <f t="shared" si="96"/>
        <v>8.3333333333333339</v>
      </c>
      <c r="D99">
        <f t="shared" si="97"/>
        <v>0</v>
      </c>
      <c r="E99">
        <f t="shared" si="55"/>
        <v>64</v>
      </c>
      <c r="F99">
        <f>IF(C99&gt;=$T$2,0,VLOOKUP($E99,'Mortality Table'!$A$3:$C$128,2+AF$2,FALSE))</f>
        <v>7.7819000000000004E-3</v>
      </c>
      <c r="G99">
        <f>F99*Assumptions!$B$1</f>
        <v>7.7819000000000004E-3</v>
      </c>
      <c r="H99">
        <f t="shared" si="63"/>
        <v>6.5081620984164257E-4</v>
      </c>
      <c r="I99">
        <f t="shared" si="56"/>
        <v>2.6165416638979062E-4</v>
      </c>
      <c r="J99">
        <f>IF(B99&gt;$AJ$2,0,HLOOKUP(C99,Assumptions!$A$6:$J$7,2,TRUE))</f>
        <v>3.2800000000000003E-2</v>
      </c>
      <c r="K99" s="4">
        <f t="shared" si="53"/>
        <v>1</v>
      </c>
      <c r="L99" s="4">
        <f t="shared" si="64"/>
        <v>8.3333333333333329E-2</v>
      </c>
      <c r="M99" s="4">
        <f t="shared" si="57"/>
        <v>2.7753066696032391E-3</v>
      </c>
      <c r="N99">
        <f t="shared" si="65"/>
        <v>1.1169712511882475E-3</v>
      </c>
      <c r="O99" s="21">
        <f t="shared" si="58"/>
        <v>0.40068793097995409</v>
      </c>
      <c r="P99">
        <f>IF(B99&gt;$AJ$2,0,HLOOKUP(C99,Assumptions!$A$12:$J$13,2,TRUE))</f>
        <v>1.5800000000000002E-2</v>
      </c>
      <c r="Q99">
        <f t="shared" si="59"/>
        <v>5.3213773566623747E-4</v>
      </c>
      <c r="R99">
        <f t="shared" si="66"/>
        <v>9.7962251987255597E-2</v>
      </c>
      <c r="S99">
        <f t="shared" si="94"/>
        <v>6.3538684411698214E-5</v>
      </c>
      <c r="T99">
        <f t="shared" si="95"/>
        <v>2.7123926519275534E-4</v>
      </c>
      <c r="U99">
        <f t="shared" si="67"/>
        <v>3800.3102441628494</v>
      </c>
      <c r="V99">
        <f t="shared" si="68"/>
        <v>1410.2</v>
      </c>
      <c r="W99">
        <f t="shared" si="69"/>
        <v>0.12</v>
      </c>
      <c r="X99">
        <f t="shared" si="60"/>
        <v>127.49999513341496</v>
      </c>
      <c r="Y99">
        <f t="shared" si="70"/>
        <v>175.27475123860893</v>
      </c>
      <c r="Z99">
        <f t="shared" si="71"/>
        <v>13962.623584969919</v>
      </c>
      <c r="AA99">
        <f t="shared" si="72"/>
        <v>0</v>
      </c>
      <c r="AB99">
        <f t="shared" si="73"/>
        <v>14329.184757635308</v>
      </c>
      <c r="AC99" s="23">
        <f>IF(B99&gt;$AJ$2,0,HLOOKUP(YEAR(A99),Assumptions!$A$25:$AL$29,4,TRUE)/100)</f>
        <v>6.7749999999999998E-3</v>
      </c>
      <c r="AD99">
        <f t="shared" si="74"/>
        <v>334.93784359163647</v>
      </c>
      <c r="AE99">
        <f t="shared" si="75"/>
        <v>5216.8010425704169</v>
      </c>
      <c r="AF99">
        <f t="shared" si="76"/>
        <v>5169.0336531959838</v>
      </c>
      <c r="AG99">
        <f t="shared" si="77"/>
        <v>5427.4860716085059</v>
      </c>
      <c r="AH99">
        <f t="shared" si="78"/>
        <v>198.48838519341174</v>
      </c>
      <c r="AI99">
        <f t="shared" si="79"/>
        <v>197.74313403176967</v>
      </c>
      <c r="AJ99">
        <f t="shared" si="80"/>
        <v>0</v>
      </c>
      <c r="AK99">
        <f t="shared" si="81"/>
        <v>4.0820144535887897</v>
      </c>
      <c r="AL99">
        <f t="shared" si="82"/>
        <v>17.438804202993985</v>
      </c>
      <c r="AM99">
        <f t="shared" si="61"/>
        <v>0</v>
      </c>
      <c r="AN99">
        <f>IF($S$2=0,0,(SUMPRODUCT($K$2:$R$2,Assumptions!$B$34:$I$34)/$U$2+$J$2/$U$2*Assumptions!$A$34*G99)*K99*O98)</f>
        <v>8.7153194353396604</v>
      </c>
      <c r="AO99">
        <f t="shared" si="83"/>
        <v>0</v>
      </c>
      <c r="AP99">
        <f t="shared" si="84"/>
        <v>0</v>
      </c>
      <c r="AQ99">
        <f>IF(B99&gt;$AJ$2,0,AQ98*(1+Assumptions!$B$43)^(1/12))</f>
        <v>1.0756972897421997</v>
      </c>
      <c r="AR99" s="27">
        <f>IF(B99&gt;$AJ$2,0,(O98+R98)*Assumptions!$B$39/12*AQ98+AV99*Assumptions!$B$41/12)</f>
        <v>7.7795745638895548</v>
      </c>
      <c r="AS99">
        <f t="shared" si="85"/>
        <v>70.56538596318515</v>
      </c>
      <c r="AT99" s="28">
        <f t="shared" si="86"/>
        <v>6259.3542543756475</v>
      </c>
      <c r="AU99">
        <f t="shared" si="87"/>
        <v>26.490297889015594</v>
      </c>
      <c r="AV99" s="28">
        <f t="shared" si="88"/>
        <v>6291.9254909001556</v>
      </c>
      <c r="AW99" s="28">
        <f t="shared" si="89"/>
        <v>6341.0805255064961</v>
      </c>
      <c r="AX99" s="23">
        <f>HLOOKUP(YEAR(A99),Assumptions!$A$25:$AL$29,2,TRUE)/100</f>
        <v>1.2775000000000002E-2</v>
      </c>
      <c r="AY99" s="29">
        <f>1/(1+HLOOKUP(YEAR(A99),Assumptions!$A$18:$AL$20,3,TRUE))^(1/12)</f>
        <v>0.99894230766981318</v>
      </c>
      <c r="AZ99" s="26">
        <f t="shared" si="90"/>
        <v>3834.2722240363496</v>
      </c>
      <c r="BA99">
        <f t="shared" si="91"/>
        <v>30.236138091922435</v>
      </c>
      <c r="BB99">
        <f t="shared" si="92"/>
        <v>6272.1465950639194</v>
      </c>
      <c r="BC99">
        <f t="shared" si="93"/>
        <v>0</v>
      </c>
    </row>
    <row r="100" spans="1:55" x14ac:dyDescent="0.2">
      <c r="A100" s="3">
        <f t="shared" si="62"/>
        <v>45808</v>
      </c>
      <c r="B100">
        <f t="shared" si="54"/>
        <v>102</v>
      </c>
      <c r="C100">
        <f t="shared" si="96"/>
        <v>8.4166666666666661</v>
      </c>
      <c r="D100">
        <f t="shared" si="97"/>
        <v>0</v>
      </c>
      <c r="E100">
        <f t="shared" si="55"/>
        <v>64</v>
      </c>
      <c r="F100">
        <f>IF(C100&gt;=$T$2,0,VLOOKUP($E100,'Mortality Table'!$A$3:$C$128,2+AF$2,FALSE))</f>
        <v>7.7819000000000004E-3</v>
      </c>
      <c r="G100">
        <f>F100*Assumptions!$B$1</f>
        <v>7.7819000000000004E-3</v>
      </c>
      <c r="H100">
        <f t="shared" si="63"/>
        <v>6.5081620984164257E-4</v>
      </c>
      <c r="I100">
        <f t="shared" si="56"/>
        <v>2.6041233638061267E-4</v>
      </c>
      <c r="J100">
        <f>IF(B100&gt;$AJ$2,0,HLOOKUP(C100,Assumptions!$A$6:$J$7,2,TRUE))</f>
        <v>3.2800000000000003E-2</v>
      </c>
      <c r="K100" s="4">
        <f t="shared" si="53"/>
        <v>1</v>
      </c>
      <c r="L100" s="4">
        <f t="shared" si="64"/>
        <v>8.3333333333333329E-2</v>
      </c>
      <c r="M100" s="4">
        <f t="shared" si="57"/>
        <v>2.7753066696032391E-3</v>
      </c>
      <c r="N100">
        <f t="shared" si="65"/>
        <v>1.1116700230891382E-3</v>
      </c>
      <c r="O100" s="21">
        <f t="shared" si="58"/>
        <v>0.39878623644983496</v>
      </c>
      <c r="P100">
        <f>IF(B100&gt;$AJ$2,0,HLOOKUP(C100,Assumptions!$A$12:$J$13,2,TRUE))</f>
        <v>1.5800000000000002E-2</v>
      </c>
      <c r="Q100">
        <f t="shared" si="59"/>
        <v>5.2961217064931385E-4</v>
      </c>
      <c r="R100">
        <f t="shared" si="66"/>
        <v>9.8156410385896078E-2</v>
      </c>
      <c r="S100">
        <f t="shared" si="94"/>
        <v>6.3666951122577761E-5</v>
      </c>
      <c r="T100">
        <f t="shared" si="95"/>
        <v>2.7178682088626379E-4</v>
      </c>
      <c r="U100">
        <f t="shared" si="67"/>
        <v>3800.3102441628494</v>
      </c>
      <c r="V100">
        <f t="shared" si="68"/>
        <v>1410.2</v>
      </c>
      <c r="W100">
        <f t="shared" si="69"/>
        <v>0.12</v>
      </c>
      <c r="X100">
        <f t="shared" si="60"/>
        <v>126.89487073462803</v>
      </c>
      <c r="Y100">
        <f t="shared" si="70"/>
        <v>175.27475123860893</v>
      </c>
      <c r="Z100">
        <f t="shared" si="71"/>
        <v>14137.898336208527</v>
      </c>
      <c r="AA100">
        <f t="shared" si="72"/>
        <v>0</v>
      </c>
      <c r="AB100">
        <f t="shared" si="73"/>
        <v>14512.623166020401</v>
      </c>
      <c r="AC100" s="23">
        <f>IF(B100&gt;$AJ$2,0,HLOOKUP(YEAR(A100),Assumptions!$A$25:$AL$29,4,TRUE)/100)</f>
        <v>6.7749999999999998E-3</v>
      </c>
      <c r="AD100">
        <f t="shared" si="74"/>
        <v>334.93784359163647</v>
      </c>
      <c r="AE100">
        <f t="shared" si="75"/>
        <v>5264.9356644833661</v>
      </c>
      <c r="AF100">
        <f t="shared" si="76"/>
        <v>5216.8010425704169</v>
      </c>
      <c r="AG100">
        <f t="shared" si="77"/>
        <v>5479.5440972809565</v>
      </c>
      <c r="AH100">
        <f t="shared" si="78"/>
        <v>199.22461111652876</v>
      </c>
      <c r="AI100">
        <f t="shared" si="79"/>
        <v>198.48838519341174</v>
      </c>
      <c r="AJ100">
        <f t="shared" si="80"/>
        <v>0</v>
      </c>
      <c r="AK100">
        <f t="shared" si="81"/>
        <v>4.1136800509476732</v>
      </c>
      <c r="AL100">
        <f t="shared" si="82"/>
        <v>17.574104880282068</v>
      </c>
      <c r="AM100">
        <f t="shared" si="61"/>
        <v>0</v>
      </c>
      <c r="AN100">
        <f>IF($S$2=0,0,(SUMPRODUCT($K$2:$R$2,Assumptions!$B$34:$I$34)/$U$2+$J$2/$U$2*Assumptions!$A$34*G100)*K100*O99)</f>
        <v>8.6739558852624423</v>
      </c>
      <c r="AO100">
        <f t="shared" si="83"/>
        <v>0</v>
      </c>
      <c r="AP100">
        <f t="shared" si="84"/>
        <v>0</v>
      </c>
      <c r="AQ100">
        <f>IF(B100&gt;$AJ$2,0,AQ99*(1+Assumptions!$B$43)^(1/12))</f>
        <v>1.0765896216435398</v>
      </c>
      <c r="AR100" s="27">
        <f>IF(B100&gt;$AJ$2,0,(O99+R99)*Assumptions!$B$39/12*AQ99+AV100*Assumptions!$B$41/12)</f>
        <v>7.7755256040492062</v>
      </c>
      <c r="AS100">
        <f t="shared" si="85"/>
        <v>70.230477426824351</v>
      </c>
      <c r="AT100" s="28">
        <f t="shared" si="86"/>
        <v>6307.9102293236092</v>
      </c>
      <c r="AU100">
        <f t="shared" si="87"/>
        <v>33.260133608803294</v>
      </c>
      <c r="AV100" s="28">
        <f t="shared" si="88"/>
        <v>6347.4010738062252</v>
      </c>
      <c r="AW100" s="28">
        <f t="shared" si="89"/>
        <v>6396.2899415099801</v>
      </c>
      <c r="AX100" s="23">
        <f>HLOOKUP(YEAR(A100),Assumptions!$A$25:$AL$29,2,TRUE)/100</f>
        <v>1.2775000000000002E-2</v>
      </c>
      <c r="AY100" s="29">
        <f>1/(1+HLOOKUP(YEAR(A100),Assumptions!$A$18:$AL$20,3,TRUE))^(1/12)</f>
        <v>0.99894230766981318</v>
      </c>
      <c r="AZ100" s="26">
        <f t="shared" si="90"/>
        <v>3927.0896026658033</v>
      </c>
      <c r="BA100">
        <f t="shared" si="91"/>
        <v>30.361740816492187</v>
      </c>
      <c r="BB100">
        <f t="shared" si="92"/>
        <v>6320.9107759172093</v>
      </c>
      <c r="BC100">
        <f t="shared" si="93"/>
        <v>0</v>
      </c>
    </row>
    <row r="101" spans="1:55" x14ac:dyDescent="0.2">
      <c r="A101" s="3">
        <f t="shared" si="62"/>
        <v>45838</v>
      </c>
      <c r="B101">
        <f t="shared" si="54"/>
        <v>103</v>
      </c>
      <c r="C101">
        <f t="shared" si="96"/>
        <v>8.5</v>
      </c>
      <c r="D101">
        <f t="shared" si="97"/>
        <v>0</v>
      </c>
      <c r="E101">
        <f t="shared" si="55"/>
        <v>64</v>
      </c>
      <c r="F101">
        <f>IF(C101&gt;=$T$2,0,VLOOKUP($E101,'Mortality Table'!$A$3:$C$128,2+AF$2,FALSE))</f>
        <v>7.7819000000000004E-3</v>
      </c>
      <c r="G101">
        <f>F101*Assumptions!$B$1</f>
        <v>7.7819000000000004E-3</v>
      </c>
      <c r="H101">
        <f t="shared" si="63"/>
        <v>6.5081620984164257E-4</v>
      </c>
      <c r="I101">
        <f t="shared" si="56"/>
        <v>2.5917640018842592E-4</v>
      </c>
      <c r="J101">
        <f>IF(B101&gt;$AJ$2,0,HLOOKUP(C101,Assumptions!$A$6:$J$7,2,TRUE))</f>
        <v>3.2800000000000003E-2</v>
      </c>
      <c r="K101" s="4">
        <f t="shared" si="53"/>
        <v>1</v>
      </c>
      <c r="L101" s="4">
        <f t="shared" si="64"/>
        <v>8.3333333333333329E-2</v>
      </c>
      <c r="M101" s="4">
        <f t="shared" si="57"/>
        <v>2.7753066696032391E-3</v>
      </c>
      <c r="N101">
        <f t="shared" si="65"/>
        <v>1.1063939550103323E-3</v>
      </c>
      <c r="O101" s="21">
        <f t="shared" si="58"/>
        <v>0.39689356750248561</v>
      </c>
      <c r="P101">
        <f>IF(B101&gt;$AJ$2,0,HLOOKUP(C101,Assumptions!$A$12:$J$13,2,TRUE))</f>
        <v>1.5800000000000002E-2</v>
      </c>
      <c r="Q101">
        <f t="shared" si="59"/>
        <v>5.2709859215059271E-4</v>
      </c>
      <c r="R101">
        <f t="shared" si="66"/>
        <v>9.8347390346197744E-2</v>
      </c>
      <c r="S101">
        <f t="shared" si="94"/>
        <v>6.3793137209825821E-5</v>
      </c>
      <c r="T101">
        <f t="shared" si="95"/>
        <v>2.7232549463910612E-4</v>
      </c>
      <c r="U101">
        <f t="shared" si="67"/>
        <v>3800.3102441628494</v>
      </c>
      <c r="V101">
        <f t="shared" si="68"/>
        <v>1410.2</v>
      </c>
      <c r="W101">
        <f t="shared" si="69"/>
        <v>0.12</v>
      </c>
      <c r="X101">
        <f t="shared" si="60"/>
        <v>126.29261830095469</v>
      </c>
      <c r="Y101">
        <f t="shared" si="70"/>
        <v>175.27475123860893</v>
      </c>
      <c r="Z101">
        <f t="shared" si="71"/>
        <v>14313.173087447136</v>
      </c>
      <c r="AA101">
        <f t="shared" si="72"/>
        <v>0</v>
      </c>
      <c r="AB101">
        <f t="shared" si="73"/>
        <v>14696.164820463897</v>
      </c>
      <c r="AC101" s="23">
        <f>IF(B101&gt;$AJ$2,0,HLOOKUP(YEAR(A101),Assumptions!$A$25:$AL$29,4,TRUE)/100)</f>
        <v>6.7749999999999998E-3</v>
      </c>
      <c r="AD101">
        <f t="shared" si="74"/>
        <v>334.93784359163647</v>
      </c>
      <c r="AE101">
        <f t="shared" si="75"/>
        <v>5313.4302222982678</v>
      </c>
      <c r="AF101">
        <f t="shared" si="76"/>
        <v>5264.9356644833661</v>
      </c>
      <c r="AG101">
        <f t="shared" si="77"/>
        <v>5532.0086800530025</v>
      </c>
      <c r="AH101">
        <f t="shared" si="78"/>
        <v>199.95197412557278</v>
      </c>
      <c r="AI101">
        <f t="shared" si="79"/>
        <v>199.22461111652876</v>
      </c>
      <c r="AJ101">
        <f t="shared" si="80"/>
        <v>0</v>
      </c>
      <c r="AK101">
        <f t="shared" si="81"/>
        <v>4.1450205868651855</v>
      </c>
      <c r="AL101">
        <f t="shared" si="82"/>
        <v>17.708015920197631</v>
      </c>
      <c r="AM101">
        <f t="shared" si="61"/>
        <v>0</v>
      </c>
      <c r="AN101">
        <f>IF($S$2=0,0,(SUMPRODUCT($K$2:$R$2,Assumptions!$B$34:$I$34)/$U$2+$J$2/$U$2*Assumptions!$A$34*G101)*K101*O100)</f>
        <v>8.6327886496505375</v>
      </c>
      <c r="AO101">
        <f t="shared" si="83"/>
        <v>0</v>
      </c>
      <c r="AP101">
        <f t="shared" si="84"/>
        <v>0</v>
      </c>
      <c r="AQ101">
        <f>IF(B101&gt;$AJ$2,0,AQ100*(1+Assumptions!$B$43)^(1/12))</f>
        <v>1.0774826937682025</v>
      </c>
      <c r="AR101" s="27">
        <f>IF(B101&gt;$AJ$2,0,(O100+R100)*Assumptions!$B$39/12*AQ100+AV101*Assumptions!$B$41/12)</f>
        <v>7.7714201524540814</v>
      </c>
      <c r="AS101">
        <f t="shared" si="85"/>
        <v>69.897158391125899</v>
      </c>
      <c r="AT101" s="28">
        <f t="shared" si="86"/>
        <v>6355.9677555916069</v>
      </c>
      <c r="AU101">
        <f t="shared" si="87"/>
        <v>40.08793668017956</v>
      </c>
      <c r="AV101" s="28">
        <f t="shared" si="88"/>
        <v>6402.4347326738889</v>
      </c>
      <c r="AW101" s="28">
        <f t="shared" si="89"/>
        <v>6451.0587724312636</v>
      </c>
      <c r="AX101" s="23">
        <f>HLOOKUP(YEAR(A101),Assumptions!$A$25:$AL$29,2,TRUE)/100</f>
        <v>1.2775000000000002E-2</v>
      </c>
      <c r="AY101" s="29">
        <f>1/(1+HLOOKUP(YEAR(A101),Assumptions!$A$18:$AL$20,3,TRUE))^(1/12)</f>
        <v>0.99894230766981318</v>
      </c>
      <c r="AZ101" s="26">
        <f t="shared" si="90"/>
        <v>4019.2830261483991</v>
      </c>
      <c r="BA101">
        <f t="shared" si="91"/>
        <v>30.485825156713354</v>
      </c>
      <c r="BB101">
        <f t="shared" si="92"/>
        <v>6369.1745990650852</v>
      </c>
      <c r="BC101">
        <f t="shared" si="93"/>
        <v>0</v>
      </c>
    </row>
    <row r="102" spans="1:55" x14ac:dyDescent="0.2">
      <c r="A102" s="3">
        <f t="shared" si="62"/>
        <v>45869</v>
      </c>
      <c r="B102">
        <f t="shared" si="54"/>
        <v>104</v>
      </c>
      <c r="C102">
        <f t="shared" si="96"/>
        <v>8.5833333333333339</v>
      </c>
      <c r="D102">
        <f t="shared" si="97"/>
        <v>0</v>
      </c>
      <c r="E102">
        <f t="shared" si="55"/>
        <v>64</v>
      </c>
      <c r="F102">
        <f>IF(C102&gt;=$T$2,0,VLOOKUP($E102,'Mortality Table'!$A$3:$C$128,2+AF$2,FALSE))</f>
        <v>7.7819000000000004E-3</v>
      </c>
      <c r="G102">
        <f>F102*Assumptions!$B$1</f>
        <v>7.7819000000000004E-3</v>
      </c>
      <c r="H102">
        <f t="shared" si="63"/>
        <v>6.5081620984164257E-4</v>
      </c>
      <c r="I102">
        <f t="shared" si="56"/>
        <v>2.5794632984073947E-4</v>
      </c>
      <c r="J102">
        <f>IF(B102&gt;$AJ$2,0,HLOOKUP(C102,Assumptions!$A$6:$J$7,2,TRUE))</f>
        <v>3.2800000000000003E-2</v>
      </c>
      <c r="K102" s="4">
        <f t="shared" si="53"/>
        <v>1</v>
      </c>
      <c r="L102" s="4">
        <f t="shared" si="64"/>
        <v>8.3333333333333329E-2</v>
      </c>
      <c r="M102" s="4">
        <f t="shared" si="57"/>
        <v>2.7753066696032391E-3</v>
      </c>
      <c r="N102">
        <f t="shared" si="65"/>
        <v>1.1011429275405154E-3</v>
      </c>
      <c r="O102" s="21">
        <f t="shared" si="58"/>
        <v>0.39500988130182324</v>
      </c>
      <c r="P102">
        <f>IF(B102&gt;$AJ$2,0,HLOOKUP(C102,Assumptions!$A$12:$J$13,2,TRUE))</f>
        <v>1.5800000000000002E-2</v>
      </c>
      <c r="Q102">
        <f t="shared" si="59"/>
        <v>5.2459694328117279E-4</v>
      </c>
      <c r="R102">
        <f t="shared" si="66"/>
        <v>9.8535214681769276E-2</v>
      </c>
      <c r="S102">
        <f t="shared" si="94"/>
        <v>6.3917257588351831E-5</v>
      </c>
      <c r="T102">
        <f t="shared" si="95"/>
        <v>2.7285535012129867E-4</v>
      </c>
      <c r="U102">
        <f t="shared" si="67"/>
        <v>3800.3102441628494</v>
      </c>
      <c r="V102">
        <f t="shared" si="68"/>
        <v>1410.2</v>
      </c>
      <c r="W102">
        <f t="shared" si="69"/>
        <v>0.12</v>
      </c>
      <c r="X102">
        <f t="shared" si="60"/>
        <v>125.69322420183629</v>
      </c>
      <c r="Y102">
        <f t="shared" si="70"/>
        <v>175.27475123860893</v>
      </c>
      <c r="Z102">
        <f t="shared" si="71"/>
        <v>14488.447838685745</v>
      </c>
      <c r="AA102">
        <f t="shared" si="72"/>
        <v>0</v>
      </c>
      <c r="AB102">
        <f t="shared" si="73"/>
        <v>14879.809779076573</v>
      </c>
      <c r="AC102" s="23">
        <f>IF(B102&gt;$AJ$2,0,HLOOKUP(YEAR(A102),Assumptions!$A$25:$AL$29,4,TRUE)/100)</f>
        <v>6.7749999999999998E-3</v>
      </c>
      <c r="AD102">
        <f t="shared" si="74"/>
        <v>334.93784359163647</v>
      </c>
      <c r="AE102">
        <f t="shared" si="75"/>
        <v>5362.2775933792809</v>
      </c>
      <c r="AF102">
        <f t="shared" si="76"/>
        <v>5313.4302222982678</v>
      </c>
      <c r="AG102">
        <f t="shared" si="77"/>
        <v>5584.8729888874241</v>
      </c>
      <c r="AH102">
        <f t="shared" si="78"/>
        <v>200.67063267558197</v>
      </c>
      <c r="AI102">
        <f t="shared" si="79"/>
        <v>199.95197412557278</v>
      </c>
      <c r="AJ102">
        <f t="shared" si="80"/>
        <v>0</v>
      </c>
      <c r="AK102">
        <f t="shared" si="81"/>
        <v>4.1760382025890719</v>
      </c>
      <c r="AL102">
        <f t="shared" si="82"/>
        <v>17.840546492171931</v>
      </c>
      <c r="AM102">
        <f t="shared" si="61"/>
        <v>0</v>
      </c>
      <c r="AN102">
        <f>IF($S$2=0,0,(SUMPRODUCT($K$2:$R$2,Assumptions!$B$34:$I$34)/$U$2+$J$2/$U$2*Assumptions!$A$34*G102)*K102*O101)</f>
        <v>8.5918167967809893</v>
      </c>
      <c r="AO102">
        <f t="shared" si="83"/>
        <v>0</v>
      </c>
      <c r="AP102">
        <f t="shared" si="84"/>
        <v>0</v>
      </c>
      <c r="AQ102">
        <f>IF(B102&gt;$AJ$2,0,AQ101*(1+Assumptions!$B$43)^(1/12))</f>
        <v>1.0783765067302316</v>
      </c>
      <c r="AR102" s="27">
        <f>IF(B102&gt;$AJ$2,0,(O101+R101)*Assumptions!$B$39/12*AQ101+AV102*Assumptions!$B$41/12)</f>
        <v>7.7672587341483279</v>
      </c>
      <c r="AS102">
        <f t="shared" si="85"/>
        <v>69.565421312202204</v>
      </c>
      <c r="AT102" s="28">
        <f t="shared" si="86"/>
        <v>6403.5301165654182</v>
      </c>
      <c r="AU102">
        <f t="shared" si="87"/>
        <v>46.973243775242416</v>
      </c>
      <c r="AV102" s="28">
        <f t="shared" si="88"/>
        <v>6457.0292967872074</v>
      </c>
      <c r="AW102" s="28">
        <f t="shared" si="89"/>
        <v>6505.3898409426929</v>
      </c>
      <c r="AX102" s="23">
        <f>HLOOKUP(YEAR(A102),Assumptions!$A$25:$AL$29,2,TRUE)/100</f>
        <v>1.2775000000000002E-2</v>
      </c>
      <c r="AY102" s="29">
        <f>1/(1+HLOOKUP(YEAR(A102),Assumptions!$A$18:$AL$20,3,TRUE))^(1/12)</f>
        <v>0.99894230766981318</v>
      </c>
      <c r="AZ102" s="26">
        <f t="shared" si="90"/>
        <v>4110.8562561394556</v>
      </c>
      <c r="BA102">
        <f t="shared" si="91"/>
        <v>30.608401491541994</v>
      </c>
      <c r="BB102">
        <f t="shared" si="92"/>
        <v>6416.9413601070282</v>
      </c>
      <c r="BC102">
        <f t="shared" si="93"/>
        <v>0</v>
      </c>
    </row>
    <row r="103" spans="1:55" x14ac:dyDescent="0.2">
      <c r="A103" s="3">
        <f t="shared" si="62"/>
        <v>45900</v>
      </c>
      <c r="B103">
        <f t="shared" si="54"/>
        <v>105</v>
      </c>
      <c r="C103">
        <f t="shared" si="96"/>
        <v>8.6666666666666661</v>
      </c>
      <c r="D103">
        <f t="shared" si="97"/>
        <v>0</v>
      </c>
      <c r="E103">
        <f t="shared" si="55"/>
        <v>64</v>
      </c>
      <c r="F103">
        <f>IF(C103&gt;=$T$2,0,VLOOKUP($E103,'Mortality Table'!$A$3:$C$128,2+AF$2,FALSE))</f>
        <v>7.7819000000000004E-3</v>
      </c>
      <c r="G103">
        <f>F103*Assumptions!$B$1</f>
        <v>7.7819000000000004E-3</v>
      </c>
      <c r="H103">
        <f t="shared" si="63"/>
        <v>6.5081620984164257E-4</v>
      </c>
      <c r="I103">
        <f t="shared" si="56"/>
        <v>2.5672209749782185E-4</v>
      </c>
      <c r="J103">
        <f>IF(B103&gt;$AJ$2,0,HLOOKUP(C103,Assumptions!$A$6:$J$7,2,TRUE))</f>
        <v>3.2800000000000003E-2</v>
      </c>
      <c r="K103" s="4">
        <f t="shared" si="53"/>
        <v>1</v>
      </c>
      <c r="L103" s="4">
        <f t="shared" si="64"/>
        <v>8.3333333333333329E-2</v>
      </c>
      <c r="M103" s="4">
        <f t="shared" si="57"/>
        <v>2.7753066696032391E-3</v>
      </c>
      <c r="N103">
        <f t="shared" si="65"/>
        <v>1.095916821835106E-3</v>
      </c>
      <c r="O103" s="21">
        <f t="shared" si="58"/>
        <v>0.39313513521506815</v>
      </c>
      <c r="P103">
        <f>IF(B103&gt;$AJ$2,0,HLOOKUP(C103,Assumptions!$A$12:$J$13,2,TRUE))</f>
        <v>1.5800000000000002E-2</v>
      </c>
      <c r="Q103">
        <f t="shared" si="59"/>
        <v>5.2210716742215162E-4</v>
      </c>
      <c r="R103">
        <f t="shared" si="66"/>
        <v>9.8719906071479416E-2</v>
      </c>
      <c r="S103">
        <f t="shared" si="94"/>
        <v>6.4039327085018969E-5</v>
      </c>
      <c r="T103">
        <f t="shared" si="95"/>
        <v>2.7337645062699859E-4</v>
      </c>
      <c r="U103">
        <f t="shared" si="67"/>
        <v>3800.3102441628494</v>
      </c>
      <c r="V103">
        <f t="shared" si="68"/>
        <v>1410.2</v>
      </c>
      <c r="W103">
        <f t="shared" si="69"/>
        <v>0.12</v>
      </c>
      <c r="X103">
        <f t="shared" si="60"/>
        <v>125.09667487140584</v>
      </c>
      <c r="Y103">
        <f t="shared" si="70"/>
        <v>175.27475123860893</v>
      </c>
      <c r="Z103">
        <f t="shared" si="71"/>
        <v>14663.722589924353</v>
      </c>
      <c r="AA103">
        <f t="shared" si="72"/>
        <v>0</v>
      </c>
      <c r="AB103">
        <f t="shared" si="73"/>
        <v>15063.558100001916</v>
      </c>
      <c r="AC103" s="23">
        <f>IF(B103&gt;$AJ$2,0,HLOOKUP(YEAR(A103),Assumptions!$A$25:$AL$29,4,TRUE)/100)</f>
        <v>6.7749999999999998E-3</v>
      </c>
      <c r="AD103">
        <f t="shared" si="74"/>
        <v>334.93784359163647</v>
      </c>
      <c r="AE103">
        <f t="shared" si="75"/>
        <v>5411.4708239376932</v>
      </c>
      <c r="AF103">
        <f t="shared" si="76"/>
        <v>5362.2775933792809</v>
      </c>
      <c r="AG103">
        <f t="shared" si="77"/>
        <v>5638.1303548250708</v>
      </c>
      <c r="AH103">
        <f t="shared" si="78"/>
        <v>201.38074146679469</v>
      </c>
      <c r="AI103">
        <f t="shared" si="79"/>
        <v>200.67063267558197</v>
      </c>
      <c r="AJ103">
        <f t="shared" si="80"/>
        <v>0</v>
      </c>
      <c r="AK103">
        <f t="shared" si="81"/>
        <v>4.206735027155168</v>
      </c>
      <c r="AL103">
        <f t="shared" si="82"/>
        <v>17.971705712929268</v>
      </c>
      <c r="AM103">
        <f t="shared" si="61"/>
        <v>0</v>
      </c>
      <c r="AN103">
        <f>IF($S$2=0,0,(SUMPRODUCT($K$2:$R$2,Assumptions!$B$34:$I$34)/$U$2+$J$2/$U$2*Assumptions!$A$34*G103)*K103*O102)</f>
        <v>8.5510393993528648</v>
      </c>
      <c r="AO103">
        <f t="shared" si="83"/>
        <v>0</v>
      </c>
      <c r="AP103">
        <f t="shared" si="84"/>
        <v>0</v>
      </c>
      <c r="AQ103">
        <f>IF(B103&gt;$AJ$2,0,AQ102*(1+Assumptions!$B$43)^(1/12))</f>
        <v>1.0792710611441798</v>
      </c>
      <c r="AR103" s="27">
        <f>IF(B103&gt;$AJ$2,0,(O102+R102)*Assumptions!$B$39/12*AQ102+AV103*Assumptions!$B$41/12)</f>
        <v>7.763041870909281</v>
      </c>
      <c r="AS103">
        <f t="shared" si="85"/>
        <v>69.235258681969512</v>
      </c>
      <c r="AT103" s="28">
        <f t="shared" si="86"/>
        <v>6450.6005769050889</v>
      </c>
      <c r="AU103">
        <f t="shared" si="87"/>
        <v>53.915594536911321</v>
      </c>
      <c r="AV103" s="28">
        <f t="shared" si="88"/>
        <v>6511.187579623278</v>
      </c>
      <c r="AW103" s="28">
        <f t="shared" si="89"/>
        <v>6559.2859539418041</v>
      </c>
      <c r="AX103" s="23">
        <f>HLOOKUP(YEAR(A103),Assumptions!$A$25:$AL$29,2,TRUE)/100</f>
        <v>1.2775000000000002E-2</v>
      </c>
      <c r="AY103" s="29">
        <f>1/(1+HLOOKUP(YEAR(A103),Assumptions!$A$18:$AL$20,3,TRUE))^(1/12)</f>
        <v>0.99894230766981318</v>
      </c>
      <c r="AZ103" s="26">
        <f t="shared" si="90"/>
        <v>4201.8130338710753</v>
      </c>
      <c r="BA103">
        <f t="shared" si="91"/>
        <v>30.7294801394373</v>
      </c>
      <c r="BB103">
        <f t="shared" si="92"/>
        <v>6464.2143358480353</v>
      </c>
      <c r="BC103">
        <f t="shared" si="93"/>
        <v>0</v>
      </c>
    </row>
    <row r="104" spans="1:55" x14ac:dyDescent="0.2">
      <c r="A104" s="3">
        <f t="shared" si="62"/>
        <v>45930</v>
      </c>
      <c r="B104">
        <f t="shared" si="54"/>
        <v>106</v>
      </c>
      <c r="C104">
        <f t="shared" si="96"/>
        <v>8.75</v>
      </c>
      <c r="D104">
        <f t="shared" si="97"/>
        <v>0</v>
      </c>
      <c r="E104">
        <f t="shared" si="55"/>
        <v>64</v>
      </c>
      <c r="F104">
        <f>IF(C104&gt;=$T$2,0,VLOOKUP($E104,'Mortality Table'!$A$3:$C$128,2+AF$2,FALSE))</f>
        <v>7.7819000000000004E-3</v>
      </c>
      <c r="G104">
        <f>F104*Assumptions!$B$1</f>
        <v>7.7819000000000004E-3</v>
      </c>
      <c r="H104">
        <f t="shared" si="63"/>
        <v>6.5081620984164257E-4</v>
      </c>
      <c r="I104">
        <f t="shared" si="56"/>
        <v>2.5550367545207093E-4</v>
      </c>
      <c r="J104">
        <f>IF(B104&gt;$AJ$2,0,HLOOKUP(C104,Assumptions!$A$6:$J$7,2,TRUE))</f>
        <v>3.2800000000000003E-2</v>
      </c>
      <c r="K104" s="4">
        <f t="shared" si="53"/>
        <v>1</v>
      </c>
      <c r="L104" s="4">
        <f t="shared" si="64"/>
        <v>8.3333333333333329E-2</v>
      </c>
      <c r="M104" s="4">
        <f t="shared" si="57"/>
        <v>2.7753066696032391E-3</v>
      </c>
      <c r="N104">
        <f t="shared" si="65"/>
        <v>1.0907155196135684E-3</v>
      </c>
      <c r="O104" s="21">
        <f t="shared" si="58"/>
        <v>0.39126928681177914</v>
      </c>
      <c r="P104">
        <f>IF(B104&gt;$AJ$2,0,HLOOKUP(C104,Assumptions!$A$12:$J$13,2,TRUE))</f>
        <v>1.5800000000000002E-2</v>
      </c>
      <c r="Q104">
        <f t="shared" si="59"/>
        <v>5.1962920822334478E-4</v>
      </c>
      <c r="R104">
        <f t="shared" si="66"/>
        <v>9.8901487060187102E-2</v>
      </c>
      <c r="S104">
        <f t="shared" si="94"/>
        <v>6.4159360439121184E-5</v>
      </c>
      <c r="T104">
        <f t="shared" si="95"/>
        <v>2.7388885907654007E-4</v>
      </c>
      <c r="U104">
        <f t="shared" si="67"/>
        <v>3800.3102441628494</v>
      </c>
      <c r="V104">
        <f t="shared" si="68"/>
        <v>1410.2</v>
      </c>
      <c r="W104">
        <f t="shared" si="69"/>
        <v>0.12</v>
      </c>
      <c r="X104">
        <f t="shared" si="60"/>
        <v>124.50295680818088</v>
      </c>
      <c r="Y104">
        <f t="shared" si="70"/>
        <v>175.27475123860893</v>
      </c>
      <c r="Z104">
        <f t="shared" si="71"/>
        <v>14838.997341162962</v>
      </c>
      <c r="AA104">
        <f t="shared" si="72"/>
        <v>0</v>
      </c>
      <c r="AB104">
        <f t="shared" si="73"/>
        <v>15247.409841416133</v>
      </c>
      <c r="AC104" s="23">
        <f>IF(B104&gt;$AJ$2,0,HLOOKUP(YEAR(A104),Assumptions!$A$25:$AL$29,4,TRUE)/100)</f>
        <v>6.7749999999999998E-3</v>
      </c>
      <c r="AD104">
        <f t="shared" si="74"/>
        <v>334.93784359163647</v>
      </c>
      <c r="AE104">
        <f t="shared" si="75"/>
        <v>5461.0031240604312</v>
      </c>
      <c r="AF104">
        <f t="shared" si="76"/>
        <v>5411.4708239376932</v>
      </c>
      <c r="AG104">
        <f t="shared" si="77"/>
        <v>5691.7742662126466</v>
      </c>
      <c r="AH104">
        <f t="shared" si="78"/>
        <v>202.08245155521331</v>
      </c>
      <c r="AI104">
        <f t="shared" si="79"/>
        <v>201.38074146679469</v>
      </c>
      <c r="AJ104">
        <f t="shared" si="80"/>
        <v>0</v>
      </c>
      <c r="AK104">
        <f t="shared" si="81"/>
        <v>4.2371131774523709</v>
      </c>
      <c r="AL104">
        <f t="shared" si="82"/>
        <v>18.1015026467804</v>
      </c>
      <c r="AM104">
        <f t="shared" si="61"/>
        <v>0</v>
      </c>
      <c r="AN104">
        <f>IF($S$2=0,0,(SUMPRODUCT($K$2:$R$2,Assumptions!$B$34:$I$34)/$U$2+$J$2/$U$2*Assumptions!$A$34*G104)*K104*O103)</f>
        <v>8.5104555344662636</v>
      </c>
      <c r="AO104">
        <f t="shared" si="83"/>
        <v>0</v>
      </c>
      <c r="AP104">
        <f t="shared" si="84"/>
        <v>0</v>
      </c>
      <c r="AQ104">
        <f>IF(B104&gt;$AJ$2,0,AQ103*(1+Assumptions!$B$43)^(1/12))</f>
        <v>1.0801663576251097</v>
      </c>
      <c r="AR104" s="27">
        <f>IF(B104&gt;$AJ$2,0,(O103+R103)*Assumptions!$B$39/12*AQ103+AV104*Assumptions!$B$41/12)</f>
        <v>7.7587700812654408</v>
      </c>
      <c r="AS104">
        <f t="shared" si="85"/>
        <v>68.906663027977956</v>
      </c>
      <c r="AT104" s="28">
        <f t="shared" si="86"/>
        <v>6497.182382644577</v>
      </c>
      <c r="AU104">
        <f t="shared" si="87"/>
        <v>60.914531562319063</v>
      </c>
      <c r="AV104" s="28">
        <f t="shared" si="88"/>
        <v>6564.9123789355117</v>
      </c>
      <c r="AW104" s="28">
        <f t="shared" si="89"/>
        <v>6612.7499026344494</v>
      </c>
      <c r="AX104" s="23">
        <f>HLOOKUP(YEAR(A104),Assumptions!$A$25:$AL$29,2,TRUE)/100</f>
        <v>1.2775000000000002E-2</v>
      </c>
      <c r="AY104" s="29">
        <f>1/(1+HLOOKUP(YEAR(A104),Assumptions!$A$18:$AL$20,3,TRUE))^(1/12)</f>
        <v>0.99894230766981318</v>
      </c>
      <c r="AZ104" s="26">
        <f t="shared" si="90"/>
        <v>4292.1570802583128</v>
      </c>
      <c r="BA104">
        <f t="shared" si="91"/>
        <v>30.849071358699035</v>
      </c>
      <c r="BB104">
        <f t="shared" si="92"/>
        <v>6510.9967843986005</v>
      </c>
      <c r="BC104">
        <f t="shared" si="93"/>
        <v>0</v>
      </c>
    </row>
    <row r="105" spans="1:55" x14ac:dyDescent="0.2">
      <c r="A105" s="3">
        <f t="shared" si="62"/>
        <v>45961</v>
      </c>
      <c r="B105">
        <f t="shared" si="54"/>
        <v>107</v>
      </c>
      <c r="C105">
        <f t="shared" si="96"/>
        <v>8.8333333333333339</v>
      </c>
      <c r="D105">
        <f t="shared" si="97"/>
        <v>0</v>
      </c>
      <c r="E105">
        <f t="shared" si="55"/>
        <v>64</v>
      </c>
      <c r="F105">
        <f>IF(C105&gt;=$T$2,0,VLOOKUP($E105,'Mortality Table'!$A$3:$C$128,2+AF$2,FALSE))</f>
        <v>7.7819000000000004E-3</v>
      </c>
      <c r="G105">
        <f>F105*Assumptions!$B$1</f>
        <v>7.7819000000000004E-3</v>
      </c>
      <c r="H105">
        <f t="shared" si="63"/>
        <v>6.5081620984164257E-4</v>
      </c>
      <c r="I105">
        <f t="shared" si="56"/>
        <v>2.5429103612738697E-4</v>
      </c>
      <c r="J105">
        <f>IF(B105&gt;$AJ$2,0,HLOOKUP(C105,Assumptions!$A$6:$J$7,2,TRUE))</f>
        <v>3.2800000000000003E-2</v>
      </c>
      <c r="K105" s="4">
        <f t="shared" si="53"/>
        <v>1</v>
      </c>
      <c r="L105" s="4">
        <f t="shared" si="64"/>
        <v>8.3333333333333329E-2</v>
      </c>
      <c r="M105" s="4">
        <f t="shared" si="57"/>
        <v>2.7753066696032391E-3</v>
      </c>
      <c r="N105">
        <f t="shared" si="65"/>
        <v>1.0855389031567356E-3</v>
      </c>
      <c r="O105" s="21">
        <f t="shared" si="58"/>
        <v>0.389412293862893</v>
      </c>
      <c r="P105">
        <f>IF(B105&gt;$AJ$2,0,HLOOKUP(C105,Assumptions!$A$12:$J$13,2,TRUE))</f>
        <v>1.5800000000000002E-2</v>
      </c>
      <c r="Q105">
        <f t="shared" si="59"/>
        <v>5.1716300960200957E-4</v>
      </c>
      <c r="R105">
        <f t="shared" si="66"/>
        <v>9.9079980059467804E-2</v>
      </c>
      <c r="S105">
        <f t="shared" si="94"/>
        <v>6.4277372302857686E-5</v>
      </c>
      <c r="T105">
        <f t="shared" si="95"/>
        <v>2.7439263801846015E-4</v>
      </c>
      <c r="U105">
        <f t="shared" si="67"/>
        <v>3800.3102441628494</v>
      </c>
      <c r="V105">
        <f t="shared" si="68"/>
        <v>1410.2</v>
      </c>
      <c r="W105">
        <f t="shared" si="69"/>
        <v>0.12</v>
      </c>
      <c r="X105">
        <f t="shared" si="60"/>
        <v>123.91205657475804</v>
      </c>
      <c r="Y105">
        <f t="shared" si="70"/>
        <v>175.27475123860893</v>
      </c>
      <c r="Z105">
        <f t="shared" si="71"/>
        <v>15014.27209240157</v>
      </c>
      <c r="AA105">
        <f t="shared" si="72"/>
        <v>0</v>
      </c>
      <c r="AB105">
        <f t="shared" si="73"/>
        <v>15431.365061528179</v>
      </c>
      <c r="AC105" s="23">
        <f>IF(B105&gt;$AJ$2,0,HLOOKUP(YEAR(A105),Assumptions!$A$25:$AL$29,4,TRUE)/100)</f>
        <v>6.7749999999999998E-3</v>
      </c>
      <c r="AD105">
        <f t="shared" si="74"/>
        <v>334.93784359163647</v>
      </c>
      <c r="AE105">
        <f t="shared" si="75"/>
        <v>5510.8678629132182</v>
      </c>
      <c r="AF105">
        <f t="shared" si="76"/>
        <v>5461.0031240604312</v>
      </c>
      <c r="AG105">
        <f t="shared" si="77"/>
        <v>5745.7983640981402</v>
      </c>
      <c r="AH105">
        <f t="shared" si="78"/>
        <v>202.77591045928429</v>
      </c>
      <c r="AI105">
        <f t="shared" si="79"/>
        <v>202.08245155521331</v>
      </c>
      <c r="AJ105">
        <f t="shared" si="80"/>
        <v>0</v>
      </c>
      <c r="AK105">
        <f t="shared" si="81"/>
        <v>4.2671747582872852</v>
      </c>
      <c r="AL105">
        <f t="shared" si="82"/>
        <v>18.229946305913963</v>
      </c>
      <c r="AM105">
        <f t="shared" si="61"/>
        <v>0</v>
      </c>
      <c r="AN105">
        <f>IF($S$2=0,0,(SUMPRODUCT($K$2:$R$2,Assumptions!$B$34:$I$34)/$U$2+$J$2/$U$2*Assumptions!$A$34*G105)*K105*O104)</f>
        <v>8.4700642836014453</v>
      </c>
      <c r="AO105">
        <f t="shared" si="83"/>
        <v>0</v>
      </c>
      <c r="AP105">
        <f t="shared" si="84"/>
        <v>0</v>
      </c>
      <c r="AQ105">
        <f>IF(B105&gt;$AJ$2,0,AQ104*(1+Assumptions!$B$43)^(1/12))</f>
        <v>1.0810623967885942</v>
      </c>
      <c r="AR105" s="27">
        <f>IF(B105&gt;$AJ$2,0,(O104+R104)*Assumptions!$B$39/12*AQ104+AV105*Assumptions!$B$41/12)</f>
        <v>7.7544438805143825</v>
      </c>
      <c r="AS105">
        <f t="shared" si="85"/>
        <v>68.579626913242521</v>
      </c>
      <c r="AT105" s="28">
        <f t="shared" si="86"/>
        <v>6543.2787612908742</v>
      </c>
      <c r="AU105">
        <f t="shared" si="87"/>
        <v>67.969600386291262</v>
      </c>
      <c r="AV105" s="28">
        <f t="shared" si="88"/>
        <v>6618.2064768365371</v>
      </c>
      <c r="AW105" s="28">
        <f t="shared" si="89"/>
        <v>6665.7844626175383</v>
      </c>
      <c r="AX105" s="23">
        <f>HLOOKUP(YEAR(A105),Assumptions!$A$25:$AL$29,2,TRUE)/100</f>
        <v>1.2775000000000002E-2</v>
      </c>
      <c r="AY105" s="29">
        <f>1/(1+HLOOKUP(YEAR(A105),Assumptions!$A$18:$AL$20,3,TRUE))^(1/12)</f>
        <v>0.99894230766981318</v>
      </c>
      <c r="AZ105" s="26">
        <f t="shared" si="90"/>
        <v>4381.8920960047944</v>
      </c>
      <c r="BA105">
        <f t="shared" si="91"/>
        <v>30.967185347802694</v>
      </c>
      <c r="BB105">
        <f t="shared" si="92"/>
        <v>6557.2919452742181</v>
      </c>
      <c r="BC105">
        <f t="shared" si="93"/>
        <v>0</v>
      </c>
    </row>
    <row r="106" spans="1:55" x14ac:dyDescent="0.2">
      <c r="A106" s="3">
        <f t="shared" si="62"/>
        <v>45991</v>
      </c>
      <c r="B106">
        <f t="shared" si="54"/>
        <v>108</v>
      </c>
      <c r="C106">
        <f t="shared" si="96"/>
        <v>8.9166666666666661</v>
      </c>
      <c r="D106">
        <f t="shared" si="97"/>
        <v>0</v>
      </c>
      <c r="E106">
        <f t="shared" si="55"/>
        <v>64</v>
      </c>
      <c r="F106">
        <f>IF(C106&gt;=$T$2,0,VLOOKUP($E106,'Mortality Table'!$A$3:$C$128,2+AF$2,FALSE))</f>
        <v>7.7819000000000004E-3</v>
      </c>
      <c r="G106">
        <f>F106*Assumptions!$B$1</f>
        <v>7.7819000000000004E-3</v>
      </c>
      <c r="H106">
        <f t="shared" si="63"/>
        <v>6.5081620984164257E-4</v>
      </c>
      <c r="I106">
        <f t="shared" si="56"/>
        <v>2.5308415207854858E-4</v>
      </c>
      <c r="J106">
        <f>IF(B106&gt;$AJ$2,0,HLOOKUP(C106,Assumptions!$A$6:$J$7,2,TRUE))</f>
        <v>3.2800000000000003E-2</v>
      </c>
      <c r="K106" s="4">
        <f t="shared" si="53"/>
        <v>1</v>
      </c>
      <c r="L106" s="4">
        <f t="shared" si="64"/>
        <v>8.3333333333333329E-2</v>
      </c>
      <c r="M106" s="4">
        <f t="shared" si="57"/>
        <v>2.7753066696032391E-3</v>
      </c>
      <c r="N106">
        <f t="shared" si="65"/>
        <v>1.0803868553041439E-3</v>
      </c>
      <c r="O106" s="21">
        <f t="shared" si="58"/>
        <v>0.38756411433976873</v>
      </c>
      <c r="P106">
        <f>IF(B106&gt;$AJ$2,0,HLOOKUP(C106,Assumptions!$A$12:$J$13,2,TRUE))</f>
        <v>1.5800000000000002E-2</v>
      </c>
      <c r="Q106">
        <f t="shared" si="59"/>
        <v>5.1470851574157619E-4</v>
      </c>
      <c r="R106">
        <f t="shared" si="66"/>
        <v>9.9255407348336058E-2</v>
      </c>
      <c r="S106">
        <f t="shared" si="94"/>
        <v>6.4393377241805046E-5</v>
      </c>
      <c r="T106">
        <f t="shared" si="95"/>
        <v>2.7488784963151361E-4</v>
      </c>
      <c r="U106">
        <f t="shared" si="67"/>
        <v>3800.3102441628494</v>
      </c>
      <c r="V106">
        <f t="shared" si="68"/>
        <v>1410.2</v>
      </c>
      <c r="W106">
        <f t="shared" si="69"/>
        <v>0.12</v>
      </c>
      <c r="X106">
        <f t="shared" si="60"/>
        <v>123.32396079750885</v>
      </c>
      <c r="Y106">
        <f t="shared" si="70"/>
        <v>175.27475123860893</v>
      </c>
      <c r="Z106">
        <f t="shared" si="71"/>
        <v>15189.546843640179</v>
      </c>
      <c r="AA106">
        <f t="shared" si="72"/>
        <v>0</v>
      </c>
      <c r="AB106">
        <f t="shared" si="73"/>
        <v>15615.423818579769</v>
      </c>
      <c r="AC106" s="23">
        <f>IF(B106&gt;$AJ$2,0,HLOOKUP(YEAR(A106),Assumptions!$A$25:$AL$29,4,TRUE)/100)</f>
        <v>6.7749999999999998E-3</v>
      </c>
      <c r="AD106">
        <f t="shared" si="74"/>
        <v>334.93784359163647</v>
      </c>
      <c r="AE106">
        <f t="shared" si="75"/>
        <v>5561.0585641112484</v>
      </c>
      <c r="AF106">
        <f t="shared" si="76"/>
        <v>5510.8678629132182</v>
      </c>
      <c r="AG106">
        <f t="shared" si="77"/>
        <v>5800.1964377870554</v>
      </c>
      <c r="AH106">
        <f t="shared" si="78"/>
        <v>203.46126226285264</v>
      </c>
      <c r="AI106">
        <f t="shared" si="79"/>
        <v>202.77591045928429</v>
      </c>
      <c r="AJ106">
        <f t="shared" si="80"/>
        <v>0</v>
      </c>
      <c r="AK106">
        <f t="shared" si="81"/>
        <v>4.2969218624485412</v>
      </c>
      <c r="AL106">
        <f t="shared" si="82"/>
        <v>18.357045650685919</v>
      </c>
      <c r="AM106">
        <f t="shared" si="61"/>
        <v>0</v>
      </c>
      <c r="AN106">
        <f>IF($S$2=0,0,(SUMPRODUCT($K$2:$R$2,Assumptions!$B$34:$I$34)/$U$2+$J$2/$U$2*Assumptions!$A$34*G106)*K106*O105)</f>
        <v>8.4298647325980287</v>
      </c>
      <c r="AO106">
        <f t="shared" si="83"/>
        <v>0</v>
      </c>
      <c r="AP106">
        <f t="shared" si="84"/>
        <v>0</v>
      </c>
      <c r="AQ106">
        <f>IF(B106&gt;$AJ$2,0,AQ105*(1+Assumptions!$B$43)^(1/12))</f>
        <v>1.0819591792507168</v>
      </c>
      <c r="AR106" s="27">
        <f>IF(B106&gt;$AJ$2,0,(O105+R105)*Assumptions!$B$39/12*AQ105+AV106*Assumptions!$B$41/12)</f>
        <v>7.7500637807405566</v>
      </c>
      <c r="AS106">
        <f t="shared" si="85"/>
        <v>68.254142936074643</v>
      </c>
      <c r="AT106" s="28">
        <f t="shared" si="86"/>
        <v>6588.8929219226211</v>
      </c>
      <c r="AU106">
        <f t="shared" si="87"/>
        <v>75.080349464912985</v>
      </c>
      <c r="AV106" s="28">
        <f t="shared" si="88"/>
        <v>6671.0726398806419</v>
      </c>
      <c r="AW106" s="28">
        <f t="shared" si="89"/>
        <v>6718.392393961336</v>
      </c>
      <c r="AX106" s="23">
        <f>HLOOKUP(YEAR(A106),Assumptions!$A$25:$AL$29,2,TRUE)/100</f>
        <v>1.2775000000000002E-2</v>
      </c>
      <c r="AY106" s="29">
        <f>1/(1+HLOOKUP(YEAR(A106),Assumptions!$A$18:$AL$20,3,TRUE))^(1/12)</f>
        <v>0.99894230766981318</v>
      </c>
      <c r="AZ106" s="26">
        <f t="shared" si="90"/>
        <v>4471.0217617078024</v>
      </c>
      <c r="BA106">
        <f t="shared" si="91"/>
        <v>31.083832245732488</v>
      </c>
      <c r="BB106">
        <f t="shared" si="92"/>
        <v>6603.1030394943509</v>
      </c>
      <c r="BC106">
        <f t="shared" si="93"/>
        <v>0</v>
      </c>
    </row>
    <row r="107" spans="1:55" x14ac:dyDescent="0.2">
      <c r="A107" s="3">
        <f t="shared" si="62"/>
        <v>46022</v>
      </c>
      <c r="B107">
        <f t="shared" si="54"/>
        <v>109</v>
      </c>
      <c r="C107">
        <f t="shared" si="96"/>
        <v>9</v>
      </c>
      <c r="D107">
        <f t="shared" si="97"/>
        <v>1</v>
      </c>
      <c r="E107">
        <f t="shared" si="55"/>
        <v>65</v>
      </c>
      <c r="F107">
        <f>IF(C107&gt;=$T$2,0,VLOOKUP($E107,'Mortality Table'!$A$3:$C$128,2+AF$2,FALSE))</f>
        <v>8.4460000000000004E-3</v>
      </c>
      <c r="G107">
        <f>F107*Assumptions!$B$1</f>
        <v>8.4460000000000004E-3</v>
      </c>
      <c r="H107">
        <f t="shared" si="63"/>
        <v>7.0657272404539562E-4</v>
      </c>
      <c r="I107">
        <f t="shared" si="56"/>
        <v>2.7308722172179157E-4</v>
      </c>
      <c r="J107">
        <f>IF(B107&gt;$AJ$2,0,HLOOKUP(C107,Assumptions!$A$6:$J$7,2,TRUE))</f>
        <v>6.4199999999999993E-2</v>
      </c>
      <c r="K107" s="4">
        <f t="shared" ref="K107:K138" si="98">IF(B107&gt;$AJ$2,0,IF(($U$2*(B107+11))/12-INT(($U$2*(B107+11))/12)=0,1,0))</f>
        <v>1</v>
      </c>
      <c r="L107" s="4">
        <f t="shared" si="64"/>
        <v>8.3333333333333329E-2</v>
      </c>
      <c r="M107" s="4">
        <f t="shared" si="57"/>
        <v>5.5141990623922554E-3</v>
      </c>
      <c r="N107">
        <f t="shared" si="65"/>
        <v>2.1363506656197377E-3</v>
      </c>
      <c r="O107" s="21">
        <f t="shared" si="58"/>
        <v>0.38498415184017176</v>
      </c>
      <c r="P107">
        <f>IF(B107&gt;$AJ$2,0,HLOOKUP(C107,Assumptions!$A$12:$J$13,2,TRUE))</f>
        <v>5.3E-3</v>
      </c>
      <c r="Q107">
        <f t="shared" si="59"/>
        <v>1.7052461225544157E-4</v>
      </c>
      <c r="R107">
        <f t="shared" si="66"/>
        <v>9.8808873440103875E-2</v>
      </c>
      <c r="S107">
        <f t="shared" si="94"/>
        <v>6.9937804948213314E-5</v>
      </c>
      <c r="T107">
        <f t="shared" si="95"/>
        <v>5.4712071553942015E-4</v>
      </c>
      <c r="U107">
        <f t="shared" si="67"/>
        <v>3914.3195514877348</v>
      </c>
      <c r="V107">
        <f t="shared" si="68"/>
        <v>1410.2</v>
      </c>
      <c r="W107">
        <f t="shared" si="69"/>
        <v>0.12</v>
      </c>
      <c r="X107">
        <f t="shared" si="60"/>
        <v>126.4208158512654</v>
      </c>
      <c r="Y107">
        <f t="shared" si="70"/>
        <v>183.63543377576718</v>
      </c>
      <c r="Z107">
        <f t="shared" si="71"/>
        <v>15373.182277415946</v>
      </c>
      <c r="AA107">
        <f t="shared" si="72"/>
        <v>0</v>
      </c>
      <c r="AB107">
        <f t="shared" si="73"/>
        <v>15807.951559090188</v>
      </c>
      <c r="AC107" s="23">
        <f>IF(B107&gt;$AJ$2,0,HLOOKUP(YEAR(A107),Assumptions!$A$25:$AL$29,4,TRUE)/100)</f>
        <v>6.7749999999999998E-3</v>
      </c>
      <c r="AD107">
        <f t="shared" si="74"/>
        <v>334.93784359163647</v>
      </c>
      <c r="AE107">
        <f t="shared" si="75"/>
        <v>5577.9923528830432</v>
      </c>
      <c r="AF107">
        <f t="shared" si="76"/>
        <v>5561.0585641112484</v>
      </c>
      <c r="AG107">
        <f t="shared" si="77"/>
        <v>5820.7267831813051</v>
      </c>
      <c r="AH107">
        <f t="shared" si="78"/>
        <v>203.68816489083727</v>
      </c>
      <c r="AI107">
        <f t="shared" si="79"/>
        <v>203.46126226285264</v>
      </c>
      <c r="AJ107">
        <f t="shared" si="80"/>
        <v>0</v>
      </c>
      <c r="AK107">
        <f t="shared" si="81"/>
        <v>4.6928447455551945</v>
      </c>
      <c r="AL107">
        <f t="shared" si="82"/>
        <v>36.721330058054114</v>
      </c>
      <c r="AM107">
        <f t="shared" si="61"/>
        <v>0</v>
      </c>
      <c r="AN107">
        <f>IF($S$2=0,0,(SUMPRODUCT($K$2:$R$2,Assumptions!$B$34:$I$34)/$U$2+$J$2/$U$2*Assumptions!$A$34*G107)*K107*O106)</f>
        <v>8.4015475184738353</v>
      </c>
      <c r="AO107">
        <f t="shared" si="83"/>
        <v>0</v>
      </c>
      <c r="AP107">
        <f t="shared" si="84"/>
        <v>0</v>
      </c>
      <c r="AQ107">
        <f>IF(B107&gt;$AJ$2,0,AQ106*(1+Assumptions!$B$43)^(1/12))</f>
        <v>1.082856705628072</v>
      </c>
      <c r="AR107" s="27">
        <f>IF(B107&gt;$AJ$2,0,(O106+R106)*Assumptions!$B$39/12*AQ106+AV107*Assumptions!$B$41/12)</f>
        <v>7.7463567278525751</v>
      </c>
      <c r="AS107">
        <f t="shared" si="85"/>
        <v>71.170504252704461</v>
      </c>
      <c r="AT107" s="28">
        <f t="shared" si="86"/>
        <v>6660.9502793556412</v>
      </c>
      <c r="AU107">
        <f t="shared" si="87"/>
        <v>0</v>
      </c>
      <c r="AV107" s="28">
        <f t="shared" si="88"/>
        <v>6726.7422281217641</v>
      </c>
      <c r="AW107" s="28">
        <f t="shared" si="89"/>
        <v>6774.2461829924723</v>
      </c>
      <c r="AX107" s="23">
        <f>HLOOKUP(YEAR(A107),Assumptions!$A$25:$AL$29,2,TRUE)/100</f>
        <v>1.2775000000000002E-2</v>
      </c>
      <c r="AY107" s="29">
        <f>1/(1+HLOOKUP(YEAR(A107),Assumptions!$A$18:$AL$20,3,TRUE))^(1/12)</f>
        <v>0.99894230766981318</v>
      </c>
      <c r="AZ107" s="26">
        <f t="shared" si="90"/>
        <v>4544.6144710210056</v>
      </c>
      <c r="BA107">
        <f t="shared" si="91"/>
        <v>49.81572232208314</v>
      </c>
      <c r="BB107">
        <f t="shared" si="92"/>
        <v>6651.6618786568515</v>
      </c>
      <c r="BC107">
        <f t="shared" si="93"/>
        <v>0</v>
      </c>
    </row>
    <row r="108" spans="1:55" x14ac:dyDescent="0.2">
      <c r="A108" s="3">
        <f t="shared" si="62"/>
        <v>46053</v>
      </c>
      <c r="B108">
        <f t="shared" si="54"/>
        <v>110</v>
      </c>
      <c r="C108">
        <f t="shared" si="96"/>
        <v>9.0833333333333339</v>
      </c>
      <c r="D108">
        <f t="shared" si="97"/>
        <v>0</v>
      </c>
      <c r="E108">
        <f t="shared" si="55"/>
        <v>65</v>
      </c>
      <c r="F108">
        <f>IF(C108&gt;=$T$2,0,VLOOKUP($E108,'Mortality Table'!$A$3:$C$128,2+AF$2,FALSE))</f>
        <v>8.4460000000000004E-3</v>
      </c>
      <c r="G108">
        <f>F108*Assumptions!$B$1</f>
        <v>8.4460000000000004E-3</v>
      </c>
      <c r="H108">
        <f t="shared" si="63"/>
        <v>7.0657272404539562E-4</v>
      </c>
      <c r="I108">
        <f t="shared" ref="I108:I139" si="99">H108*O107*(1-M108/2)</f>
        <v>2.7126931659308376E-4</v>
      </c>
      <c r="J108">
        <f>IF(B108&gt;$AJ$2,0,HLOOKUP(C108,Assumptions!$A$6:$J$7,2,TRUE))</f>
        <v>6.4199999999999993E-2</v>
      </c>
      <c r="K108" s="4">
        <f t="shared" si="98"/>
        <v>1</v>
      </c>
      <c r="L108" s="4">
        <f t="shared" si="64"/>
        <v>8.3333333333333329E-2</v>
      </c>
      <c r="M108" s="4">
        <f t="shared" ref="M108:M139" si="100">(1-(1-J108)^L108)</f>
        <v>5.5141990623922554E-3</v>
      </c>
      <c r="N108">
        <f t="shared" si="65"/>
        <v>2.12212926482602E-3</v>
      </c>
      <c r="O108" s="21">
        <f t="shared" ref="O108:O139" si="101">IF(B108&gt;$AJ$2,0,O107-I108-N108-Q108)</f>
        <v>0.38242136380604524</v>
      </c>
      <c r="P108">
        <f>IF(B108&gt;$AJ$2,0,HLOOKUP(C108,Assumptions!$A$12:$J$13,2,TRUE))</f>
        <v>5.3E-3</v>
      </c>
      <c r="Q108">
        <f t="shared" ref="Q108:Q139" si="102">(1-(1-P108)^L108)*(O107-I108-N108)</f>
        <v>1.6938945270738377E-4</v>
      </c>
      <c r="R108">
        <f t="shared" si="66"/>
        <v>9.836398041808396E-2</v>
      </c>
      <c r="S108">
        <f t="shared" si="94"/>
        <v>6.962316615712855E-5</v>
      </c>
      <c r="T108">
        <f t="shared" si="95"/>
        <v>5.4465930857015344E-4</v>
      </c>
      <c r="U108">
        <f t="shared" si="67"/>
        <v>3914.3195514877348</v>
      </c>
      <c r="V108">
        <f t="shared" si="68"/>
        <v>1410.2</v>
      </c>
      <c r="W108">
        <f t="shared" si="69"/>
        <v>0.12</v>
      </c>
      <c r="X108">
        <f t="shared" si="60"/>
        <v>125.57924938007559</v>
      </c>
      <c r="Y108">
        <f t="shared" si="70"/>
        <v>183.63543377576718</v>
      </c>
      <c r="Z108">
        <f t="shared" si="71"/>
        <v>15556.817711191714</v>
      </c>
      <c r="AA108">
        <f t="shared" si="72"/>
        <v>99.831438082605018</v>
      </c>
      <c r="AB108">
        <f t="shared" si="73"/>
        <v>16000.943883993506</v>
      </c>
      <c r="AC108" s="23">
        <f>IF(B108&gt;$AJ$2,0,HLOOKUP(YEAR(A108),Assumptions!$A$25:$AL$29,4,TRUE)/100)</f>
        <v>7.0439999999999999E-3</v>
      </c>
      <c r="AD108">
        <f t="shared" si="74"/>
        <v>434.76928167424148</v>
      </c>
      <c r="AE108">
        <f t="shared" si="75"/>
        <v>5595.1765676629047</v>
      </c>
      <c r="AF108">
        <f t="shared" si="76"/>
        <v>5577.9923528830432</v>
      </c>
      <c r="AG108">
        <f t="shared" si="77"/>
        <v>5841.6577282027138</v>
      </c>
      <c r="AH108">
        <f t="shared" si="78"/>
        <v>243.06512735054739</v>
      </c>
      <c r="AI108">
        <f t="shared" si="79"/>
        <v>242.73443029826194</v>
      </c>
      <c r="AJ108">
        <f t="shared" si="80"/>
        <v>39.04626540742467</v>
      </c>
      <c r="AK108">
        <f t="shared" si="81"/>
        <v>4.743284302774275</v>
      </c>
      <c r="AL108">
        <f t="shared" si="82"/>
        <v>37.116067433443447</v>
      </c>
      <c r="AM108">
        <f t="shared" si="61"/>
        <v>0</v>
      </c>
      <c r="AN108">
        <f>IF($S$2=0,0,(SUMPRODUCT($K$2:$R$2,Assumptions!$B$34:$I$34)/$U$2+$J$2/$U$2*Assumptions!$A$34*G108)*K108*O107)</f>
        <v>8.3456195397620565</v>
      </c>
      <c r="AO108">
        <f t="shared" si="83"/>
        <v>0</v>
      </c>
      <c r="AP108">
        <f t="shared" si="84"/>
        <v>0</v>
      </c>
      <c r="AQ108">
        <f>IF(B108&gt;$AJ$2,0,AQ107*(1+Assumptions!$B$43)^(1/12))</f>
        <v>1.0837549765377659</v>
      </c>
      <c r="AR108" s="27">
        <f>IF(B108&gt;$AJ$2,0,(O107+R107)*Assumptions!$B$39/12*AQ107+AV108*Assumptions!$B$41/12)</f>
        <v>7.7119719848988124</v>
      </c>
      <c r="AS108">
        <f t="shared" si="85"/>
        <v>70.696731719965754</v>
      </c>
      <c r="AT108" s="28">
        <f t="shared" si="86"/>
        <v>6689.7971989991565</v>
      </c>
      <c r="AU108">
        <f t="shared" si="87"/>
        <v>7.3158674260821313</v>
      </c>
      <c r="AV108" s="28">
        <f t="shared" si="88"/>
        <v>6723.3013915358451</v>
      </c>
      <c r="AW108" s="28">
        <f t="shared" si="89"/>
        <v>6770.4719372110558</v>
      </c>
      <c r="AX108" s="23">
        <f>HLOOKUP(YEAR(A108),Assumptions!$A$25:$AL$29,2,TRUE)/100</f>
        <v>1.3044E-2</v>
      </c>
      <c r="AY108" s="29">
        <f>1/(1+HLOOKUP(YEAR(A108),Assumptions!$A$18:$AL$20,3,TRUE))^(1/12)</f>
        <v>0.99894263644949055</v>
      </c>
      <c r="AZ108" s="26">
        <f t="shared" si="90"/>
        <v>4617.0871731704037</v>
      </c>
      <c r="BA108">
        <f t="shared" si="91"/>
        <v>50.20497127597978</v>
      </c>
      <c r="BB108">
        <f t="shared" si="92"/>
        <v>6723.3013915358451</v>
      </c>
      <c r="BC108">
        <f t="shared" si="93"/>
        <v>0</v>
      </c>
    </row>
    <row r="109" spans="1:55" x14ac:dyDescent="0.2">
      <c r="A109" s="3">
        <f t="shared" si="62"/>
        <v>46081</v>
      </c>
      <c r="B109">
        <f t="shared" si="54"/>
        <v>111</v>
      </c>
      <c r="C109">
        <f t="shared" si="96"/>
        <v>9.1666666666666661</v>
      </c>
      <c r="D109">
        <f t="shared" si="97"/>
        <v>0</v>
      </c>
      <c r="E109">
        <f t="shared" si="55"/>
        <v>65</v>
      </c>
      <c r="F109">
        <f>IF(C109&gt;=$T$2,0,VLOOKUP($E109,'Mortality Table'!$A$3:$C$128,2+AF$2,FALSE))</f>
        <v>8.4460000000000004E-3</v>
      </c>
      <c r="G109">
        <f>F109*Assumptions!$B$1</f>
        <v>8.4460000000000004E-3</v>
      </c>
      <c r="H109">
        <f t="shared" si="63"/>
        <v>7.0657272404539562E-4</v>
      </c>
      <c r="I109">
        <f t="shared" si="99"/>
        <v>2.6946351301580026E-4</v>
      </c>
      <c r="J109">
        <f>IF(B109&gt;$AJ$2,0,HLOOKUP(C109,Assumptions!$A$6:$J$7,2,TRUE))</f>
        <v>6.4199999999999993E-2</v>
      </c>
      <c r="K109" s="4">
        <f t="shared" si="98"/>
        <v>1</v>
      </c>
      <c r="L109" s="4">
        <f t="shared" si="64"/>
        <v>8.3333333333333329E-2</v>
      </c>
      <c r="M109" s="4">
        <f t="shared" si="100"/>
        <v>5.5141990623922554E-3</v>
      </c>
      <c r="N109">
        <f t="shared" si="65"/>
        <v>2.1080025339962698E-3</v>
      </c>
      <c r="O109" s="21">
        <f t="shared" si="101"/>
        <v>0.37987563590926843</v>
      </c>
      <c r="P109">
        <f>IF(B109&gt;$AJ$2,0,HLOOKUP(C109,Assumptions!$A$12:$J$13,2,TRUE))</f>
        <v>5.3E-3</v>
      </c>
      <c r="Q109">
        <f t="shared" si="102"/>
        <v>1.6826184976468926E-4</v>
      </c>
      <c r="R109">
        <f t="shared" si="66"/>
        <v>9.7920725637696257E-2</v>
      </c>
      <c r="S109">
        <f t="shared" si="94"/>
        <v>6.9309683574888449E-5</v>
      </c>
      <c r="T109">
        <f t="shared" si="95"/>
        <v>5.422069465775036E-4</v>
      </c>
      <c r="U109">
        <f t="shared" si="67"/>
        <v>3914.3195514877348</v>
      </c>
      <c r="V109">
        <f t="shared" si="68"/>
        <v>1410.2</v>
      </c>
      <c r="W109">
        <f t="shared" si="69"/>
        <v>0.12</v>
      </c>
      <c r="X109">
        <f t="shared" si="60"/>
        <v>124.74328510438392</v>
      </c>
      <c r="Y109">
        <f t="shared" si="70"/>
        <v>183.63543377576718</v>
      </c>
      <c r="Z109">
        <f t="shared" si="71"/>
        <v>15740.453144967481</v>
      </c>
      <c r="AA109">
        <f t="shared" si="72"/>
        <v>0</v>
      </c>
      <c r="AB109">
        <f t="shared" si="73"/>
        <v>16194.049131283664</v>
      </c>
      <c r="AC109" s="23">
        <f>IF(B109&gt;$AJ$2,0,HLOOKUP(YEAR(A109),Assumptions!$A$25:$AL$29,4,TRUE)/100)</f>
        <v>7.0439999999999999E-3</v>
      </c>
      <c r="AD109">
        <f t="shared" si="74"/>
        <v>434.76928167424148</v>
      </c>
      <c r="AE109">
        <f t="shared" si="75"/>
        <v>5612.6096799295319</v>
      </c>
      <c r="AF109">
        <f t="shared" si="76"/>
        <v>5595.1765676629047</v>
      </c>
      <c r="AG109">
        <f t="shared" si="77"/>
        <v>5862.8588943342538</v>
      </c>
      <c r="AH109">
        <f t="shared" si="78"/>
        <v>243.39454173554111</v>
      </c>
      <c r="AI109">
        <f t="shared" si="79"/>
        <v>243.06512735054739</v>
      </c>
      <c r="AJ109">
        <f t="shared" si="80"/>
        <v>0</v>
      </c>
      <c r="AK109">
        <f t="shared" si="81"/>
        <v>4.7632789434099392</v>
      </c>
      <c r="AL109">
        <f t="shared" si="82"/>
        <v>37.272576031488036</v>
      </c>
      <c r="AM109">
        <f t="shared" si="61"/>
        <v>0</v>
      </c>
      <c r="AN109">
        <f>IF($S$2=0,0,(SUMPRODUCT($K$2:$R$2,Assumptions!$B$34:$I$34)/$U$2+$J$2/$U$2*Assumptions!$A$34*G109)*K109*O108)</f>
        <v>8.2900638661281079</v>
      </c>
      <c r="AO109">
        <f t="shared" si="83"/>
        <v>0</v>
      </c>
      <c r="AP109">
        <f t="shared" si="84"/>
        <v>0</v>
      </c>
      <c r="AQ109">
        <f>IF(B109&gt;$AJ$2,0,AQ108*(1+Assumptions!$B$43)^(1/12))</f>
        <v>1.0846539925974163</v>
      </c>
      <c r="AR109" s="27">
        <f>IF(B109&gt;$AJ$2,0,(O108+R108)*Assumptions!$B$39/12*AQ108+AV109*Assumptions!$B$41/12)</f>
        <v>7.6865859128240066</v>
      </c>
      <c r="AS109">
        <f t="shared" si="85"/>
        <v>70.226113027643592</v>
      </c>
      <c r="AT109" s="28">
        <f t="shared" si="86"/>
        <v>6717.9970880172405</v>
      </c>
      <c r="AU109">
        <f t="shared" si="87"/>
        <v>14.669994889814232</v>
      </c>
      <c r="AV109" s="28">
        <f t="shared" si="88"/>
        <v>6759.0491155867539</v>
      </c>
      <c r="AW109" s="28">
        <f t="shared" si="89"/>
        <v>6805.8797017506704</v>
      </c>
      <c r="AX109" s="23">
        <f>HLOOKUP(YEAR(A109),Assumptions!$A$25:$AL$29,2,TRUE)/100</f>
        <v>1.3044E-2</v>
      </c>
      <c r="AY109" s="29">
        <f>1/(1+HLOOKUP(YEAR(A109),Assumptions!$A$18:$AL$20,3,TRUE))^(1/12)</f>
        <v>0.99894263644949055</v>
      </c>
      <c r="AZ109" s="26">
        <f t="shared" si="90"/>
        <v>4688.7050606563262</v>
      </c>
      <c r="BA109">
        <f t="shared" si="91"/>
        <v>50.32591884102608</v>
      </c>
      <c r="BB109">
        <f t="shared" si="92"/>
        <v>6751.7332481606718</v>
      </c>
      <c r="BC109">
        <f t="shared" si="93"/>
        <v>0</v>
      </c>
    </row>
    <row r="110" spans="1:55" x14ac:dyDescent="0.2">
      <c r="A110" s="3">
        <f t="shared" si="62"/>
        <v>46112</v>
      </c>
      <c r="B110">
        <f t="shared" si="54"/>
        <v>112</v>
      </c>
      <c r="C110">
        <f t="shared" si="96"/>
        <v>9.25</v>
      </c>
      <c r="D110">
        <f t="shared" si="97"/>
        <v>0</v>
      </c>
      <c r="E110">
        <f t="shared" si="55"/>
        <v>65</v>
      </c>
      <c r="F110">
        <f>IF(C110&gt;=$T$2,0,VLOOKUP($E110,'Mortality Table'!$A$3:$C$128,2+AF$2,FALSE))</f>
        <v>8.4460000000000004E-3</v>
      </c>
      <c r="G110">
        <f>F110*Assumptions!$B$1</f>
        <v>8.4460000000000004E-3</v>
      </c>
      <c r="H110">
        <f t="shared" si="63"/>
        <v>7.0657272404539562E-4</v>
      </c>
      <c r="I110">
        <f t="shared" si="99"/>
        <v>2.6766973043153096E-4</v>
      </c>
      <c r="J110">
        <f>IF(B110&gt;$AJ$2,0,HLOOKUP(C110,Assumptions!$A$6:$J$7,2,TRUE))</f>
        <v>6.4199999999999993E-2</v>
      </c>
      <c r="K110" s="4">
        <f t="shared" si="98"/>
        <v>1</v>
      </c>
      <c r="L110" s="4">
        <f t="shared" si="64"/>
        <v>8.3333333333333329E-2</v>
      </c>
      <c r="M110" s="4">
        <f t="shared" si="100"/>
        <v>5.5141990623922554E-3</v>
      </c>
      <c r="N110">
        <f t="shared" si="65"/>
        <v>2.0939698429251917E-3</v>
      </c>
      <c r="O110" s="21">
        <f t="shared" si="101"/>
        <v>0.37734685458278766</v>
      </c>
      <c r="P110">
        <f>IF(B110&gt;$AJ$2,0,HLOOKUP(C110,Assumptions!$A$12:$J$13,2,TRUE))</f>
        <v>5.3E-3</v>
      </c>
      <c r="Q110">
        <f t="shared" si="102"/>
        <v>1.6714175312404635E-4</v>
      </c>
      <c r="R110">
        <f t="shared" si="66"/>
        <v>9.7479106420498368E-2</v>
      </c>
      <c r="S110">
        <f t="shared" si="94"/>
        <v>6.8997355338056739E-5</v>
      </c>
      <c r="T110">
        <f t="shared" si="95"/>
        <v>5.3976361498388192E-4</v>
      </c>
      <c r="U110">
        <f t="shared" si="67"/>
        <v>3914.3195514877348</v>
      </c>
      <c r="V110">
        <f t="shared" si="68"/>
        <v>1410.2</v>
      </c>
      <c r="W110">
        <f t="shared" si="69"/>
        <v>0.12</v>
      </c>
      <c r="X110">
        <f t="shared" si="60"/>
        <v>123.91288573112381</v>
      </c>
      <c r="Y110">
        <f t="shared" si="70"/>
        <v>183.63543377576718</v>
      </c>
      <c r="Z110">
        <f t="shared" si="71"/>
        <v>15924.088578743249</v>
      </c>
      <c r="AA110">
        <f t="shared" si="72"/>
        <v>0</v>
      </c>
      <c r="AB110">
        <f t="shared" si="73"/>
        <v>16387.267367033055</v>
      </c>
      <c r="AC110" s="23">
        <f>IF(B110&gt;$AJ$2,0,HLOOKUP(YEAR(A110),Assumptions!$A$25:$AL$29,4,TRUE)/100)</f>
        <v>7.0439999999999999E-3</v>
      </c>
      <c r="AD110">
        <f t="shared" si="74"/>
        <v>434.76928167424148</v>
      </c>
      <c r="AE110">
        <f t="shared" si="75"/>
        <v>5630.2901729473351</v>
      </c>
      <c r="AF110">
        <f t="shared" si="76"/>
        <v>5612.6096799295319</v>
      </c>
      <c r="AG110">
        <f t="shared" si="77"/>
        <v>5884.3290403761639</v>
      </c>
      <c r="AH110">
        <f t="shared" si="78"/>
        <v>243.72268086926513</v>
      </c>
      <c r="AI110">
        <f t="shared" si="79"/>
        <v>243.39454173554111</v>
      </c>
      <c r="AJ110">
        <f t="shared" si="80"/>
        <v>0</v>
      </c>
      <c r="AK110">
        <f t="shared" si="81"/>
        <v>4.7828198778090663</v>
      </c>
      <c r="AL110">
        <f t="shared" si="82"/>
        <v>37.425533436851786</v>
      </c>
      <c r="AM110">
        <f t="shared" si="61"/>
        <v>0</v>
      </c>
      <c r="AN110">
        <f>IF($S$2=0,0,(SUMPRODUCT($K$2:$R$2,Assumptions!$B$34:$I$34)/$U$2+$J$2/$U$2*Assumptions!$A$34*G110)*K110*O109)</f>
        <v>8.2348780191868602</v>
      </c>
      <c r="AO110">
        <f t="shared" si="83"/>
        <v>0</v>
      </c>
      <c r="AP110">
        <f t="shared" si="84"/>
        <v>0</v>
      </c>
      <c r="AQ110">
        <f>IF(B110&gt;$AJ$2,0,AQ109*(1+Assumptions!$B$43)^(1/12))</f>
        <v>1.0855537544251537</v>
      </c>
      <c r="AR110" s="27">
        <f>IF(B110&gt;$AJ$2,0,(O109+R109)*Assumptions!$B$39/12*AQ109+AV110*Assumptions!$B$41/12)</f>
        <v>7.6612437564206406</v>
      </c>
      <c r="AS110">
        <f t="shared" si="85"/>
        <v>69.758627181043906</v>
      </c>
      <c r="AT110" s="28">
        <f t="shared" si="86"/>
        <v>6745.5570822880154</v>
      </c>
      <c r="AU110">
        <f t="shared" si="87"/>
        <v>22.061730147194712</v>
      </c>
      <c r="AV110" s="28">
        <f t="shared" si="88"/>
        <v>6794.1908320689117</v>
      </c>
      <c r="AW110" s="28">
        <f t="shared" si="89"/>
        <v>6840.6838468625701</v>
      </c>
      <c r="AX110" s="23">
        <f>HLOOKUP(YEAR(A110),Assumptions!$A$25:$AL$29,2,TRUE)/100</f>
        <v>1.3044E-2</v>
      </c>
      <c r="AY110" s="29">
        <f>1/(1+HLOOKUP(YEAR(A110),Assumptions!$A$18:$AL$20,3,TRUE))^(1/12)</f>
        <v>0.99894263644949055</v>
      </c>
      <c r="AZ110" s="26">
        <f t="shared" si="90"/>
        <v>4759.4763847311779</v>
      </c>
      <c r="BA110">
        <f t="shared" si="91"/>
        <v>50.443231333847713</v>
      </c>
      <c r="BB110">
        <f t="shared" si="92"/>
        <v>6779.5208371790977</v>
      </c>
      <c r="BC110">
        <f t="shared" si="93"/>
        <v>0</v>
      </c>
    </row>
    <row r="111" spans="1:55" x14ac:dyDescent="0.2">
      <c r="A111" s="3">
        <f t="shared" si="62"/>
        <v>46142</v>
      </c>
      <c r="B111">
        <f t="shared" si="54"/>
        <v>113</v>
      </c>
      <c r="C111">
        <f t="shared" si="96"/>
        <v>9.3333333333333339</v>
      </c>
      <c r="D111">
        <f t="shared" si="97"/>
        <v>0</v>
      </c>
      <c r="E111">
        <f t="shared" si="55"/>
        <v>65</v>
      </c>
      <c r="F111">
        <f>IF(C111&gt;=$T$2,0,VLOOKUP($E111,'Mortality Table'!$A$3:$C$128,2+AF$2,FALSE))</f>
        <v>8.4460000000000004E-3</v>
      </c>
      <c r="G111">
        <f>F111*Assumptions!$B$1</f>
        <v>8.4460000000000004E-3</v>
      </c>
      <c r="H111">
        <f t="shared" si="63"/>
        <v>7.0657272404539562E-4</v>
      </c>
      <c r="I111">
        <f t="shared" si="99"/>
        <v>2.6588788881813235E-4</v>
      </c>
      <c r="J111">
        <f>IF(B111&gt;$AJ$2,0,HLOOKUP(C111,Assumptions!$A$6:$J$7,2,TRUE))</f>
        <v>6.4199999999999993E-2</v>
      </c>
      <c r="K111" s="4">
        <f t="shared" si="98"/>
        <v>1</v>
      </c>
      <c r="L111" s="4">
        <f t="shared" si="64"/>
        <v>8.3333333333333329E-2</v>
      </c>
      <c r="M111" s="4">
        <f t="shared" si="100"/>
        <v>5.5141990623922554E-3</v>
      </c>
      <c r="N111">
        <f t="shared" si="65"/>
        <v>2.0800305656026846E-3</v>
      </c>
      <c r="O111" s="21">
        <f t="shared" si="101"/>
        <v>0.37483490701554983</v>
      </c>
      <c r="P111">
        <f>IF(B111&gt;$AJ$2,0,HLOOKUP(C111,Assumptions!$A$12:$J$13,2,TRUE))</f>
        <v>5.3E-3</v>
      </c>
      <c r="Q111">
        <f t="shared" si="102"/>
        <v>1.660291128170057E-4</v>
      </c>
      <c r="R111">
        <f t="shared" si="66"/>
        <v>9.703912005473099E-2</v>
      </c>
      <c r="S111">
        <f t="shared" si="94"/>
        <v>6.8686179559336949E-5</v>
      </c>
      <c r="T111">
        <f t="shared" si="95"/>
        <v>5.373292990250414E-4</v>
      </c>
      <c r="U111">
        <f t="shared" si="67"/>
        <v>3914.3195514877348</v>
      </c>
      <c r="V111">
        <f t="shared" si="68"/>
        <v>1410.2</v>
      </c>
      <c r="W111">
        <f t="shared" si="69"/>
        <v>0.12</v>
      </c>
      <c r="X111">
        <f t="shared" si="60"/>
        <v>123.08801421548375</v>
      </c>
      <c r="Y111">
        <f t="shared" si="70"/>
        <v>183.63543377576718</v>
      </c>
      <c r="Z111">
        <f t="shared" si="71"/>
        <v>16107.724012519016</v>
      </c>
      <c r="AA111">
        <f t="shared" si="72"/>
        <v>0</v>
      </c>
      <c r="AB111">
        <f t="shared" si="73"/>
        <v>16580.598657352737</v>
      </c>
      <c r="AC111" s="23">
        <f>IF(B111&gt;$AJ$2,0,HLOOKUP(YEAR(A111),Assumptions!$A$25:$AL$29,4,TRUE)/100)</f>
        <v>7.0439999999999999E-3</v>
      </c>
      <c r="AD111">
        <f t="shared" si="74"/>
        <v>434.76928167424148</v>
      </c>
      <c r="AE111">
        <f t="shared" si="75"/>
        <v>5648.2165416530879</v>
      </c>
      <c r="AF111">
        <f t="shared" si="76"/>
        <v>5630.2901729473351</v>
      </c>
      <c r="AG111">
        <f t="shared" si="77"/>
        <v>5906.0669349332002</v>
      </c>
      <c r="AH111">
        <f t="shared" si="78"/>
        <v>244.04955211068267</v>
      </c>
      <c r="AI111">
        <f t="shared" si="79"/>
        <v>243.72268086926513</v>
      </c>
      <c r="AJ111">
        <f t="shared" si="80"/>
        <v>0</v>
      </c>
      <c r="AK111">
        <f t="shared" si="81"/>
        <v>4.8019121193922567</v>
      </c>
      <c r="AL111">
        <f t="shared" si="82"/>
        <v>37.574978893030519</v>
      </c>
      <c r="AM111">
        <f t="shared" si="61"/>
        <v>0</v>
      </c>
      <c r="AN111">
        <f>IF($S$2=0,0,(SUMPRODUCT($K$2:$R$2,Assumptions!$B$34:$I$34)/$U$2+$J$2/$U$2*Assumptions!$A$34*G111)*K111*O110)</f>
        <v>8.1800595370514593</v>
      </c>
      <c r="AO111">
        <f t="shared" si="83"/>
        <v>0</v>
      </c>
      <c r="AP111">
        <f t="shared" si="84"/>
        <v>0</v>
      </c>
      <c r="AQ111">
        <f>IF(B111&gt;$AJ$2,0,AQ110*(1+Assumptions!$B$43)^(1/12))</f>
        <v>1.086454262639621</v>
      </c>
      <c r="AR111" s="27">
        <f>IF(B111&gt;$AJ$2,0,(O110+R110)*Assumptions!$B$39/12*AQ110+AV111*Assumptions!$B$41/12)</f>
        <v>7.6359459982771067</v>
      </c>
      <c r="AS111">
        <f t="shared" si="85"/>
        <v>69.294253325231551</v>
      </c>
      <c r="AT111" s="28">
        <f t="shared" si="86"/>
        <v>6772.484252601449</v>
      </c>
      <c r="AU111">
        <f t="shared" si="87"/>
        <v>29.490427922255158</v>
      </c>
      <c r="AV111" s="28">
        <f t="shared" si="88"/>
        <v>6828.7330062233905</v>
      </c>
      <c r="AW111" s="28">
        <f t="shared" si="89"/>
        <v>6874.8908211153657</v>
      </c>
      <c r="AX111" s="23">
        <f>HLOOKUP(YEAR(A111),Assumptions!$A$25:$AL$29,2,TRUE)/100</f>
        <v>1.3044E-2</v>
      </c>
      <c r="AY111" s="29">
        <f>1/(1+HLOOKUP(YEAR(A111),Assumptions!$A$18:$AL$20,3,TRUE))^(1/12)</f>
        <v>0.99894263644949055</v>
      </c>
      <c r="AZ111" s="26">
        <f t="shared" si="90"/>
        <v>4829.4093260587479</v>
      </c>
      <c r="BA111">
        <f t="shared" si="91"/>
        <v>50.556950549474237</v>
      </c>
      <c r="BB111">
        <f t="shared" si="92"/>
        <v>6806.6712760761957</v>
      </c>
      <c r="BC111">
        <f t="shared" si="93"/>
        <v>0</v>
      </c>
    </row>
    <row r="112" spans="1:55" x14ac:dyDescent="0.2">
      <c r="A112" s="3">
        <f t="shared" si="62"/>
        <v>46173</v>
      </c>
      <c r="B112">
        <f t="shared" si="54"/>
        <v>114</v>
      </c>
      <c r="C112">
        <f t="shared" si="96"/>
        <v>9.4166666666666661</v>
      </c>
      <c r="D112">
        <f t="shared" si="97"/>
        <v>0</v>
      </c>
      <c r="E112">
        <f t="shared" si="55"/>
        <v>65</v>
      </c>
      <c r="F112">
        <f>IF(C112&gt;=$T$2,0,VLOOKUP($E112,'Mortality Table'!$A$3:$C$128,2+AF$2,FALSE))</f>
        <v>8.4460000000000004E-3</v>
      </c>
      <c r="G112">
        <f>F112*Assumptions!$B$1</f>
        <v>8.4460000000000004E-3</v>
      </c>
      <c r="H112">
        <f t="shared" si="63"/>
        <v>7.0657272404539562E-4</v>
      </c>
      <c r="I112">
        <f t="shared" si="99"/>
        <v>2.6411790868615759E-4</v>
      </c>
      <c r="J112">
        <f>IF(B112&gt;$AJ$2,0,HLOOKUP(C112,Assumptions!$A$6:$J$7,2,TRUE))</f>
        <v>6.4199999999999993E-2</v>
      </c>
      <c r="K112" s="4">
        <f t="shared" si="98"/>
        <v>1</v>
      </c>
      <c r="L112" s="4">
        <f t="shared" si="64"/>
        <v>8.3333333333333329E-2</v>
      </c>
      <c r="M112" s="4">
        <f t="shared" si="100"/>
        <v>5.5141990623922554E-3</v>
      </c>
      <c r="N112">
        <f t="shared" si="65"/>
        <v>2.0661840801859113E-3</v>
      </c>
      <c r="O112" s="21">
        <f t="shared" si="101"/>
        <v>0.37233968114747007</v>
      </c>
      <c r="P112">
        <f>IF(B112&gt;$AJ$2,0,HLOOKUP(C112,Assumptions!$A$12:$J$13,2,TRUE))</f>
        <v>5.3E-3</v>
      </c>
      <c r="Q112">
        <f t="shared" si="102"/>
        <v>1.6492387920775134E-4</v>
      </c>
      <c r="R112">
        <f t="shared" si="66"/>
        <v>9.6600763795857691E-2</v>
      </c>
      <c r="S112">
        <f t="shared" si="94"/>
        <v>6.8376154327956661E-5</v>
      </c>
      <c r="T112">
        <f t="shared" si="95"/>
        <v>5.3490398375308429E-4</v>
      </c>
      <c r="U112">
        <f t="shared" si="67"/>
        <v>3914.3195514877348</v>
      </c>
      <c r="V112">
        <f t="shared" si="68"/>
        <v>1410.2</v>
      </c>
      <c r="W112">
        <f t="shared" si="69"/>
        <v>0.12</v>
      </c>
      <c r="X112">
        <f t="shared" si="60"/>
        <v>122.26863375925448</v>
      </c>
      <c r="Y112">
        <f t="shared" si="70"/>
        <v>183.63543377576718</v>
      </c>
      <c r="Z112">
        <f t="shared" si="71"/>
        <v>16291.359446294784</v>
      </c>
      <c r="AA112">
        <f t="shared" si="72"/>
        <v>0</v>
      </c>
      <c r="AB112">
        <f t="shared" si="73"/>
        <v>16774.04306839245</v>
      </c>
      <c r="AC112" s="23">
        <f>IF(B112&gt;$AJ$2,0,HLOOKUP(YEAR(A112),Assumptions!$A$25:$AL$29,4,TRUE)/100)</f>
        <v>7.0439999999999999E-3</v>
      </c>
      <c r="AD112">
        <f t="shared" si="74"/>
        <v>434.76928167424148</v>
      </c>
      <c r="AE112">
        <f t="shared" si="75"/>
        <v>5666.3872925438927</v>
      </c>
      <c r="AF112">
        <f t="shared" si="76"/>
        <v>5648.2165416530879</v>
      </c>
      <c r="AG112">
        <f t="shared" si="77"/>
        <v>5928.0713563207119</v>
      </c>
      <c r="AH112">
        <f t="shared" si="78"/>
        <v>244.37516276224591</v>
      </c>
      <c r="AI112">
        <f t="shared" si="79"/>
        <v>244.04955211068267</v>
      </c>
      <c r="AJ112">
        <f t="shared" si="80"/>
        <v>0</v>
      </c>
      <c r="AK112">
        <f t="shared" si="81"/>
        <v>4.8205606358152178</v>
      </c>
      <c r="AL112">
        <f t="shared" si="82"/>
        <v>37.720951285231244</v>
      </c>
      <c r="AM112">
        <f t="shared" si="61"/>
        <v>0</v>
      </c>
      <c r="AN112">
        <f>IF($S$2=0,0,(SUMPRODUCT($K$2:$R$2,Assumptions!$B$34:$I$34)/$U$2+$J$2/$U$2*Assumptions!$A$34*G112)*K112*O111)</f>
        <v>8.1256059742234985</v>
      </c>
      <c r="AO112">
        <f t="shared" si="83"/>
        <v>0</v>
      </c>
      <c r="AP112">
        <f t="shared" si="84"/>
        <v>0</v>
      </c>
      <c r="AQ112">
        <f>IF(B112&gt;$AJ$2,0,AQ111*(1+Assumptions!$B$43)^(1/12))</f>
        <v>1.0873555178599743</v>
      </c>
      <c r="AR112" s="27">
        <f>IF(B112&gt;$AJ$2,0,(O111+R111)*Assumptions!$B$39/12*AQ111+AV112*Assumptions!$B$41/12)</f>
        <v>7.6106931131743174</v>
      </c>
      <c r="AS112">
        <f t="shared" si="85"/>
        <v>68.832970744099853</v>
      </c>
      <c r="AT112" s="28">
        <f t="shared" si="86"/>
        <v>6798.7856052019788</v>
      </c>
      <c r="AU112">
        <f t="shared" si="87"/>
        <v>36.95544984451552</v>
      </c>
      <c r="AV112" s="28">
        <f t="shared" si="88"/>
        <v>6862.6820452935808</v>
      </c>
      <c r="AW112" s="28">
        <f t="shared" si="89"/>
        <v>6908.5070151955606</v>
      </c>
      <c r="AX112" s="23">
        <f>HLOOKUP(YEAR(A112),Assumptions!$A$25:$AL$29,2,TRUE)/100</f>
        <v>1.3044E-2</v>
      </c>
      <c r="AY112" s="29">
        <f>1/(1+HLOOKUP(YEAR(A112),Assumptions!$A$18:$AL$20,3,TRUE))^(1/12)</f>
        <v>0.99894263644949055</v>
      </c>
      <c r="AZ112" s="26">
        <f t="shared" si="90"/>
        <v>4898.5119952815576</v>
      </c>
      <c r="BA112">
        <f t="shared" si="91"/>
        <v>50.667117895269961</v>
      </c>
      <c r="BB112">
        <f t="shared" si="92"/>
        <v>6833.1916173713253</v>
      </c>
      <c r="BC112">
        <f t="shared" si="93"/>
        <v>0</v>
      </c>
    </row>
    <row r="113" spans="1:55" x14ac:dyDescent="0.2">
      <c r="A113" s="3">
        <f t="shared" si="62"/>
        <v>46203</v>
      </c>
      <c r="B113">
        <f t="shared" si="54"/>
        <v>115</v>
      </c>
      <c r="C113">
        <f t="shared" si="96"/>
        <v>9.5</v>
      </c>
      <c r="D113">
        <f t="shared" si="97"/>
        <v>0</v>
      </c>
      <c r="E113">
        <f t="shared" si="55"/>
        <v>65</v>
      </c>
      <c r="F113">
        <f>IF(C113&gt;=$T$2,0,VLOOKUP($E113,'Mortality Table'!$A$3:$C$128,2+AF$2,FALSE))</f>
        <v>8.4460000000000004E-3</v>
      </c>
      <c r="G113">
        <f>F113*Assumptions!$B$1</f>
        <v>8.4460000000000004E-3</v>
      </c>
      <c r="H113">
        <f t="shared" si="63"/>
        <v>7.0657272404539562E-4</v>
      </c>
      <c r="I113">
        <f t="shared" si="99"/>
        <v>2.6235971107531049E-4</v>
      </c>
      <c r="J113">
        <f>IF(B113&gt;$AJ$2,0,HLOOKUP(C113,Assumptions!$A$6:$J$7,2,TRUE))</f>
        <v>6.4199999999999993E-2</v>
      </c>
      <c r="K113" s="4">
        <f t="shared" si="98"/>
        <v>1</v>
      </c>
      <c r="L113" s="4">
        <f t="shared" si="64"/>
        <v>8.3333333333333329E-2</v>
      </c>
      <c r="M113" s="4">
        <f t="shared" si="100"/>
        <v>5.5141990623922554E-3</v>
      </c>
      <c r="N113">
        <f t="shared" si="65"/>
        <v>2.0524297689715593E-3</v>
      </c>
      <c r="O113" s="21">
        <f t="shared" si="101"/>
        <v>0.36986106566443233</v>
      </c>
      <c r="P113">
        <f>IF(B113&gt;$AJ$2,0,HLOOKUP(C113,Assumptions!$A$12:$J$13,2,TRUE))</f>
        <v>5.3E-3</v>
      </c>
      <c r="Q113">
        <f t="shared" si="102"/>
        <v>1.6382600299088613E-4</v>
      </c>
      <c r="R113">
        <f t="shared" si="66"/>
        <v>9.6164034867099096E-2</v>
      </c>
      <c r="S113">
        <f t="shared" si="94"/>
        <v>6.8067277710047921E-5</v>
      </c>
      <c r="T113">
        <f t="shared" si="95"/>
        <v>5.3248765403943708E-4</v>
      </c>
      <c r="U113">
        <f t="shared" si="67"/>
        <v>3914.3195514877348</v>
      </c>
      <c r="V113">
        <f t="shared" si="68"/>
        <v>1410.2</v>
      </c>
      <c r="W113">
        <f t="shared" si="69"/>
        <v>0.12</v>
      </c>
      <c r="X113">
        <f t="shared" si="60"/>
        <v>121.45470780918761</v>
      </c>
      <c r="Y113">
        <f t="shared" si="70"/>
        <v>183.63543377576718</v>
      </c>
      <c r="Z113">
        <f t="shared" si="71"/>
        <v>16474.99488007055</v>
      </c>
      <c r="AA113">
        <f t="shared" si="72"/>
        <v>0</v>
      </c>
      <c r="AB113">
        <f t="shared" si="73"/>
        <v>16967.600666340637</v>
      </c>
      <c r="AC113" s="23">
        <f>IF(B113&gt;$AJ$2,0,HLOOKUP(YEAR(A113),Assumptions!$A$25:$AL$29,4,TRUE)/100)</f>
        <v>7.0439999999999999E-3</v>
      </c>
      <c r="AD113">
        <f t="shared" si="74"/>
        <v>434.76928167424148</v>
      </c>
      <c r="AE113">
        <f t="shared" si="75"/>
        <v>5684.8009435664253</v>
      </c>
      <c r="AF113">
        <f t="shared" si="76"/>
        <v>5666.3872925438927</v>
      </c>
      <c r="AG113">
        <f t="shared" si="77"/>
        <v>5950.3410924717882</v>
      </c>
      <c r="AH113">
        <f t="shared" si="78"/>
        <v>244.69952007043736</v>
      </c>
      <c r="AI113">
        <f t="shared" si="79"/>
        <v>244.37516276224591</v>
      </c>
      <c r="AJ113">
        <f t="shared" si="80"/>
        <v>0</v>
      </c>
      <c r="AK113">
        <f t="shared" si="81"/>
        <v>4.838770349350451</v>
      </c>
      <c r="AL113">
        <f t="shared" si="82"/>
        <v>37.863489143361164</v>
      </c>
      <c r="AM113">
        <f t="shared" si="61"/>
        <v>0</v>
      </c>
      <c r="AN113">
        <f>IF($S$2=0,0,(SUMPRODUCT($K$2:$R$2,Assumptions!$B$34:$I$34)/$U$2+$J$2/$U$2*Assumptions!$A$34*G113)*K113*O112)</f>
        <v>8.0715149014839334</v>
      </c>
      <c r="AO113">
        <f t="shared" si="83"/>
        <v>0</v>
      </c>
      <c r="AP113">
        <f t="shared" si="84"/>
        <v>0</v>
      </c>
      <c r="AQ113">
        <f>IF(B113&gt;$AJ$2,0,AQ112*(1+Assumptions!$B$43)^(1/12))</f>
        <v>1.0882575207058838</v>
      </c>
      <c r="AR113" s="27">
        <f>IF(B113&gt;$AJ$2,0,(O112+R112)*Assumptions!$B$39/12*AQ112+AV113*Assumptions!$B$41/12)</f>
        <v>7.5854855681652626</v>
      </c>
      <c r="AS113">
        <f t="shared" si="85"/>
        <v>68.374758859446516</v>
      </c>
      <c r="AT113" s="28">
        <f t="shared" si="86"/>
        <v>6824.4680823268109</v>
      </c>
      <c r="AU113">
        <f t="shared" si="87"/>
        <v>44.456164386956345</v>
      </c>
      <c r="AV113" s="28">
        <f t="shared" si="88"/>
        <v>6896.0442990044576</v>
      </c>
      <c r="AW113" s="28">
        <f t="shared" si="89"/>
        <v>6941.5387623860324</v>
      </c>
      <c r="AX113" s="23">
        <f>HLOOKUP(YEAR(A113),Assumptions!$A$25:$AL$29,2,TRUE)/100</f>
        <v>1.3044E-2</v>
      </c>
      <c r="AY113" s="29">
        <f>1/(1+HLOOKUP(YEAR(A113),Assumptions!$A$18:$AL$20,3,TRUE))^(1/12)</f>
        <v>0.99894263644949055</v>
      </c>
      <c r="AZ113" s="26">
        <f t="shared" si="90"/>
        <v>4966.7924335838452</v>
      </c>
      <c r="BA113">
        <f t="shared" si="91"/>
        <v>50.773774394195556</v>
      </c>
      <c r="BB113">
        <f t="shared" si="92"/>
        <v>6859.0888491599417</v>
      </c>
      <c r="BC113">
        <f t="shared" si="93"/>
        <v>0</v>
      </c>
    </row>
    <row r="114" spans="1:55" x14ac:dyDescent="0.2">
      <c r="A114" s="3">
        <f t="shared" si="62"/>
        <v>46234</v>
      </c>
      <c r="B114">
        <f t="shared" si="54"/>
        <v>116</v>
      </c>
      <c r="C114">
        <f t="shared" si="96"/>
        <v>9.5833333333333339</v>
      </c>
      <c r="D114">
        <f t="shared" si="97"/>
        <v>0</v>
      </c>
      <c r="E114">
        <f t="shared" si="55"/>
        <v>65</v>
      </c>
      <c r="F114">
        <f>IF(C114&gt;=$T$2,0,VLOOKUP($E114,'Mortality Table'!$A$3:$C$128,2+AF$2,FALSE))</f>
        <v>8.4460000000000004E-3</v>
      </c>
      <c r="G114">
        <f>F114*Assumptions!$B$1</f>
        <v>8.4460000000000004E-3</v>
      </c>
      <c r="H114">
        <f t="shared" si="63"/>
        <v>7.0657272404539562E-4</v>
      </c>
      <c r="I114">
        <f t="shared" si="99"/>
        <v>2.60613217550923E-4</v>
      </c>
      <c r="J114">
        <f>IF(B114&gt;$AJ$2,0,HLOOKUP(C114,Assumptions!$A$6:$J$7,2,TRUE))</f>
        <v>6.4199999999999993E-2</v>
      </c>
      <c r="K114" s="4">
        <f t="shared" si="98"/>
        <v>1</v>
      </c>
      <c r="L114" s="4">
        <f t="shared" si="64"/>
        <v>8.3333333333333329E-2</v>
      </c>
      <c r="M114" s="4">
        <f t="shared" si="100"/>
        <v>5.5141990623922554E-3</v>
      </c>
      <c r="N114">
        <f t="shared" si="65"/>
        <v>2.0387670183682855E-3</v>
      </c>
      <c r="O114" s="21">
        <f t="shared" si="101"/>
        <v>0.36739894999332384</v>
      </c>
      <c r="P114">
        <f>IF(B114&gt;$AJ$2,0,HLOOKUP(C114,Assumptions!$A$12:$J$13,2,TRUE))</f>
        <v>5.3E-3</v>
      </c>
      <c r="Q114">
        <f t="shared" si="102"/>
        <v>1.6273543518923253E-4</v>
      </c>
      <c r="R114">
        <f t="shared" si="66"/>
        <v>9.5728930459961503E-2</v>
      </c>
      <c r="S114">
        <f t="shared" si="94"/>
        <v>6.7759547749023547E-5</v>
      </c>
      <c r="T114">
        <f t="shared" si="95"/>
        <v>5.3008029457779493E-4</v>
      </c>
      <c r="U114">
        <f t="shared" si="67"/>
        <v>3914.3195514877348</v>
      </c>
      <c r="V114">
        <f t="shared" si="68"/>
        <v>1410.2</v>
      </c>
      <c r="W114">
        <f t="shared" si="69"/>
        <v>0.12</v>
      </c>
      <c r="X114">
        <f t="shared" si="60"/>
        <v>120.6462000553647</v>
      </c>
      <c r="Y114">
        <f t="shared" si="70"/>
        <v>183.63543377576718</v>
      </c>
      <c r="Z114">
        <f t="shared" si="71"/>
        <v>16658.630313846315</v>
      </c>
      <c r="AA114">
        <f t="shared" si="72"/>
        <v>0</v>
      </c>
      <c r="AB114">
        <f t="shared" si="73"/>
        <v>17161.271517424473</v>
      </c>
      <c r="AC114" s="23">
        <f>IF(B114&gt;$AJ$2,0,HLOOKUP(YEAR(A114),Assumptions!$A$25:$AL$29,4,TRUE)/100)</f>
        <v>7.0439999999999999E-3</v>
      </c>
      <c r="AD114">
        <f t="shared" si="74"/>
        <v>434.76928167424148</v>
      </c>
      <c r="AE114">
        <f t="shared" si="75"/>
        <v>5703.4560240074616</v>
      </c>
      <c r="AF114">
        <f t="shared" si="76"/>
        <v>5684.8009435664253</v>
      </c>
      <c r="AG114">
        <f t="shared" si="77"/>
        <v>5972.8749408454814</v>
      </c>
      <c r="AH114">
        <f t="shared" si="78"/>
        <v>245.02263122630515</v>
      </c>
      <c r="AI114">
        <f t="shared" si="79"/>
        <v>244.69952007043736</v>
      </c>
      <c r="AJ114">
        <f t="shared" si="80"/>
        <v>0</v>
      </c>
      <c r="AK114">
        <f t="shared" si="81"/>
        <v>4.8565461372659176</v>
      </c>
      <c r="AL114">
        <f t="shared" si="82"/>
        <v>38.002630644993147</v>
      </c>
      <c r="AM114">
        <f t="shared" si="61"/>
        <v>0</v>
      </c>
      <c r="AN114">
        <f>IF($S$2=0,0,(SUMPRODUCT($K$2:$R$2,Assumptions!$B$34:$I$34)/$U$2+$J$2/$U$2*Assumptions!$A$34*G114)*K114*O113)</f>
        <v>8.017783905784702</v>
      </c>
      <c r="AO114">
        <f t="shared" si="83"/>
        <v>0</v>
      </c>
      <c r="AP114">
        <f t="shared" si="84"/>
        <v>0</v>
      </c>
      <c r="AQ114">
        <f>IF(B114&gt;$AJ$2,0,AQ113*(1+Assumptions!$B$43)^(1/12))</f>
        <v>1.0891602717975331</v>
      </c>
      <c r="AR114" s="27">
        <f>IF(B114&gt;$AJ$2,0,(O113+R113)*Assumptions!$B$39/12*AQ113+AV114*Assumptions!$B$41/12)</f>
        <v>7.5603238226538894</v>
      </c>
      <c r="AS114">
        <f t="shared" si="85"/>
        <v>67.919597230055544</v>
      </c>
      <c r="AT114" s="28">
        <f t="shared" si="86"/>
        <v>6849.5385627399974</v>
      </c>
      <c r="AU114">
        <f t="shared" si="87"/>
        <v>51.99194680450389</v>
      </c>
      <c r="AV114" s="28">
        <f t="shared" si="88"/>
        <v>6928.8260600380381</v>
      </c>
      <c r="AW114" s="28">
        <f t="shared" si="89"/>
        <v>6973.992339040693</v>
      </c>
      <c r="AX114" s="23">
        <f>HLOOKUP(YEAR(A114),Assumptions!$A$25:$AL$29,2,TRUE)/100</f>
        <v>1.3044E-2</v>
      </c>
      <c r="AY114" s="29">
        <f>1/(1+HLOOKUP(YEAR(A114),Assumptions!$A$18:$AL$20,3,TRUE))^(1/12)</f>
        <v>0.99894263644949055</v>
      </c>
      <c r="AZ114" s="26">
        <f t="shared" si="90"/>
        <v>5034.2586132501874</v>
      </c>
      <c r="BA114">
        <f t="shared" si="91"/>
        <v>50.876960688043766</v>
      </c>
      <c r="BB114">
        <f t="shared" si="92"/>
        <v>6884.3698956510816</v>
      </c>
      <c r="BC114">
        <f t="shared" si="93"/>
        <v>0</v>
      </c>
    </row>
    <row r="115" spans="1:55" x14ac:dyDescent="0.2">
      <c r="A115" s="3">
        <f t="shared" si="62"/>
        <v>46265</v>
      </c>
      <c r="B115">
        <f t="shared" si="54"/>
        <v>117</v>
      </c>
      <c r="C115">
        <f t="shared" si="96"/>
        <v>9.6666666666666661</v>
      </c>
      <c r="D115">
        <f t="shared" si="97"/>
        <v>0</v>
      </c>
      <c r="E115">
        <f t="shared" si="55"/>
        <v>65</v>
      </c>
      <c r="F115">
        <f>IF(C115&gt;=$T$2,0,VLOOKUP($E115,'Mortality Table'!$A$3:$C$128,2+AF$2,FALSE))</f>
        <v>8.4460000000000004E-3</v>
      </c>
      <c r="G115">
        <f>F115*Assumptions!$B$1</f>
        <v>8.4460000000000004E-3</v>
      </c>
      <c r="H115">
        <f t="shared" si="63"/>
        <v>7.0657272404539562E-4</v>
      </c>
      <c r="I115">
        <f t="shared" si="99"/>
        <v>2.5887835020045607E-4</v>
      </c>
      <c r="J115">
        <f>IF(B115&gt;$AJ$2,0,HLOOKUP(C115,Assumptions!$A$6:$J$7,2,TRUE))</f>
        <v>6.4199999999999993E-2</v>
      </c>
      <c r="K115" s="4">
        <f t="shared" si="98"/>
        <v>1</v>
      </c>
      <c r="L115" s="4">
        <f t="shared" si="64"/>
        <v>8.3333333333333329E-2</v>
      </c>
      <c r="M115" s="4">
        <f t="shared" si="100"/>
        <v>5.5141990623922554E-3</v>
      </c>
      <c r="N115">
        <f t="shared" si="65"/>
        <v>2.0251952188693407E-3</v>
      </c>
      <c r="O115" s="21">
        <f t="shared" si="101"/>
        <v>0.36495322429710242</v>
      </c>
      <c r="P115">
        <f>IF(B115&gt;$AJ$2,0,HLOOKUP(C115,Assumptions!$A$12:$J$13,2,TRUE))</f>
        <v>5.3E-3</v>
      </c>
      <c r="Q115">
        <f t="shared" si="102"/>
        <v>1.6165212715164745E-4</v>
      </c>
      <c r="R115">
        <f t="shared" si="66"/>
        <v>9.5295447734760161E-2</v>
      </c>
      <c r="S115">
        <f t="shared" si="94"/>
        <v>6.7452962465949743E-5</v>
      </c>
      <c r="T115">
        <f t="shared" si="95"/>
        <v>5.276818898870357E-4</v>
      </c>
      <c r="U115">
        <f t="shared" si="67"/>
        <v>3914.3195514877348</v>
      </c>
      <c r="V115">
        <f t="shared" si="68"/>
        <v>1410.2</v>
      </c>
      <c r="W115">
        <f t="shared" si="69"/>
        <v>0.12</v>
      </c>
      <c r="X115">
        <f t="shared" si="60"/>
        <v>119.84307442957768</v>
      </c>
      <c r="Y115">
        <f t="shared" si="70"/>
        <v>183.63543377576718</v>
      </c>
      <c r="Z115">
        <f t="shared" si="71"/>
        <v>16842.265747622081</v>
      </c>
      <c r="AA115">
        <f t="shared" si="72"/>
        <v>0</v>
      </c>
      <c r="AB115">
        <f t="shared" si="73"/>
        <v>17355.055687909877</v>
      </c>
      <c r="AC115" s="23">
        <f>IF(B115&gt;$AJ$2,0,HLOOKUP(YEAR(A115),Assumptions!$A$25:$AL$29,4,TRUE)/100)</f>
        <v>7.0439999999999999E-3</v>
      </c>
      <c r="AD115">
        <f t="shared" si="74"/>
        <v>434.76928167424148</v>
      </c>
      <c r="AE115">
        <f t="shared" si="75"/>
        <v>5722.3510743856441</v>
      </c>
      <c r="AF115">
        <f t="shared" si="76"/>
        <v>5703.4560240074616</v>
      </c>
      <c r="AG115">
        <f t="shared" si="77"/>
        <v>5995.6717083360736</v>
      </c>
      <c r="AH115">
        <f t="shared" si="78"/>
        <v>245.34450336599207</v>
      </c>
      <c r="AI115">
        <f t="shared" si="79"/>
        <v>245.02263122630515</v>
      </c>
      <c r="AJ115">
        <f t="shared" si="80"/>
        <v>0</v>
      </c>
      <c r="AK115">
        <f t="shared" si="81"/>
        <v>4.8738928322007062</v>
      </c>
      <c r="AL115">
        <f t="shared" si="82"/>
        <v>38.138413618307517</v>
      </c>
      <c r="AM115">
        <f t="shared" si="61"/>
        <v>0</v>
      </c>
      <c r="AN115">
        <f>IF($S$2=0,0,(SUMPRODUCT($K$2:$R$2,Assumptions!$B$34:$I$34)/$U$2+$J$2/$U$2*Assumptions!$A$34*G115)*K115*O114)</f>
        <v>7.9644105901410809</v>
      </c>
      <c r="AO115">
        <f t="shared" si="83"/>
        <v>0</v>
      </c>
      <c r="AP115">
        <f t="shared" si="84"/>
        <v>0</v>
      </c>
      <c r="AQ115">
        <f>IF(B115&gt;$AJ$2,0,AQ114*(1+Assumptions!$B$43)^(1/12))</f>
        <v>1.0900637717556207</v>
      </c>
      <c r="AR115" s="27">
        <f>IF(B115&gt;$AJ$2,0,(O114+R114)*Assumptions!$B$39/12*AQ114+AV115*Assumptions!$B$41/12)</f>
        <v>7.5352083284732601</v>
      </c>
      <c r="AS115">
        <f t="shared" si="85"/>
        <v>67.46746555078542</v>
      </c>
      <c r="AT115" s="28">
        <f t="shared" si="86"/>
        <v>6874.0038622622669</v>
      </c>
      <c r="AU115">
        <f t="shared" si="87"/>
        <v>59.562179073024168</v>
      </c>
      <c r="AV115" s="28">
        <f t="shared" si="88"/>
        <v>6961.0335645051455</v>
      </c>
      <c r="AW115" s="28">
        <f t="shared" si="89"/>
        <v>7005.8739650554644</v>
      </c>
      <c r="AX115" s="23">
        <f>HLOOKUP(YEAR(A115),Assumptions!$A$25:$AL$29,2,TRUE)/100</f>
        <v>1.3044E-2</v>
      </c>
      <c r="AY115" s="29">
        <f>1/(1+HLOOKUP(YEAR(A115),Assumptions!$A$18:$AL$20,3,TRUE))^(1/12)</f>
        <v>0.99894263644949055</v>
      </c>
      <c r="AZ115" s="26">
        <f t="shared" si="90"/>
        <v>5100.91843821981</v>
      </c>
      <c r="BA115">
        <f t="shared" si="91"/>
        <v>50.976717040649298</v>
      </c>
      <c r="BB115">
        <f t="shared" si="92"/>
        <v>6909.0416177006418</v>
      </c>
      <c r="BC115">
        <f t="shared" si="93"/>
        <v>0</v>
      </c>
    </row>
    <row r="116" spans="1:55" x14ac:dyDescent="0.2">
      <c r="A116" s="3">
        <f t="shared" si="62"/>
        <v>46295</v>
      </c>
      <c r="B116">
        <f t="shared" si="54"/>
        <v>118</v>
      </c>
      <c r="C116">
        <f t="shared" si="96"/>
        <v>9.75</v>
      </c>
      <c r="D116">
        <f t="shared" si="97"/>
        <v>0</v>
      </c>
      <c r="E116">
        <f t="shared" si="55"/>
        <v>65</v>
      </c>
      <c r="F116">
        <f>IF(C116&gt;=$T$2,0,VLOOKUP($E116,'Mortality Table'!$A$3:$C$128,2+AF$2,FALSE))</f>
        <v>8.4460000000000004E-3</v>
      </c>
      <c r="G116">
        <f>F116*Assumptions!$B$1</f>
        <v>8.4460000000000004E-3</v>
      </c>
      <c r="H116">
        <f t="shared" si="63"/>
        <v>7.0657272404539562E-4</v>
      </c>
      <c r="I116">
        <f t="shared" si="99"/>
        <v>2.5715503163002419E-4</v>
      </c>
      <c r="J116">
        <f>IF(B116&gt;$AJ$2,0,HLOOKUP(C116,Assumptions!$A$6:$J$7,2,TRUE))</f>
        <v>6.4199999999999993E-2</v>
      </c>
      <c r="K116" s="4">
        <f t="shared" si="98"/>
        <v>1</v>
      </c>
      <c r="L116" s="4">
        <f t="shared" si="64"/>
        <v>8.3333333333333329E-2</v>
      </c>
      <c r="M116" s="4">
        <f t="shared" si="100"/>
        <v>5.5141990623922554E-3</v>
      </c>
      <c r="N116">
        <f t="shared" si="65"/>
        <v>2.0117137650253829E-3</v>
      </c>
      <c r="O116" s="21">
        <f t="shared" si="101"/>
        <v>0.36252377946989611</v>
      </c>
      <c r="P116">
        <f>IF(B116&gt;$AJ$2,0,HLOOKUP(C116,Assumptions!$A$12:$J$13,2,TRUE))</f>
        <v>5.3E-3</v>
      </c>
      <c r="Q116">
        <f t="shared" si="102"/>
        <v>1.6057603055085197E-4</v>
      </c>
      <c r="R116">
        <f t="shared" si="66"/>
        <v>9.4863583821136993E-2</v>
      </c>
      <c r="S116">
        <f t="shared" si="94"/>
        <v>6.7147519859914623E-5</v>
      </c>
      <c r="T116">
        <f t="shared" si="95"/>
        <v>5.2529242431410426E-4</v>
      </c>
      <c r="U116">
        <f t="shared" si="67"/>
        <v>3914.3195514877348</v>
      </c>
      <c r="V116">
        <f t="shared" si="68"/>
        <v>1410.2</v>
      </c>
      <c r="W116">
        <f t="shared" si="69"/>
        <v>0.12</v>
      </c>
      <c r="X116">
        <f t="shared" si="60"/>
        <v>119.04529510371972</v>
      </c>
      <c r="Y116">
        <f t="shared" si="70"/>
        <v>183.63543377576718</v>
      </c>
      <c r="Z116">
        <f t="shared" si="71"/>
        <v>17025.901181397847</v>
      </c>
      <c r="AA116">
        <f t="shared" si="72"/>
        <v>0</v>
      </c>
      <c r="AB116">
        <f t="shared" si="73"/>
        <v>17548.953244101547</v>
      </c>
      <c r="AC116" s="23">
        <f>IF(B116&gt;$AJ$2,0,HLOOKUP(YEAR(A116),Assumptions!$A$25:$AL$29,4,TRUE)/100)</f>
        <v>7.0439999999999999E-3</v>
      </c>
      <c r="AD116">
        <f t="shared" si="74"/>
        <v>434.76928167424148</v>
      </c>
      <c r="AE116">
        <f t="shared" si="75"/>
        <v>5741.4846463444992</v>
      </c>
      <c r="AF116">
        <f t="shared" si="76"/>
        <v>5722.3510743856441</v>
      </c>
      <c r="AG116">
        <f t="shared" si="77"/>
        <v>6018.7302111833824</v>
      </c>
      <c r="AH116">
        <f t="shared" si="78"/>
        <v>245.66514357125845</v>
      </c>
      <c r="AI116">
        <f t="shared" si="79"/>
        <v>245.34450336599207</v>
      </c>
      <c r="AJ116">
        <f t="shared" si="80"/>
        <v>0</v>
      </c>
      <c r="AK116">
        <f t="shared" si="81"/>
        <v>4.8908152225377348</v>
      </c>
      <c r="AL116">
        <f t="shared" si="82"/>
        <v>38.270875545010774</v>
      </c>
      <c r="AM116">
        <f t="shared" si="61"/>
        <v>0</v>
      </c>
      <c r="AN116">
        <f>IF($S$2=0,0,(SUMPRODUCT($K$2:$R$2,Assumptions!$B$34:$I$34)/$U$2+$J$2/$U$2*Assumptions!$A$34*G116)*K116*O115)</f>
        <v>7.9113925735247568</v>
      </c>
      <c r="AO116">
        <f t="shared" si="83"/>
        <v>0</v>
      </c>
      <c r="AP116">
        <f t="shared" si="84"/>
        <v>0</v>
      </c>
      <c r="AQ116">
        <f>IF(B116&gt;$AJ$2,0,AQ115*(1+Assumptions!$B$43)^(1/12))</f>
        <v>1.0909680212013599</v>
      </c>
      <c r="AR116" s="27">
        <f>IF(B116&gt;$AJ$2,0,(O115+R115)*Assumptions!$B$39/12*AQ115+AV116*Assumptions!$B$41/12)</f>
        <v>7.510139529963074</v>
      </c>
      <c r="AS116">
        <f t="shared" si="85"/>
        <v>67.018343651663258</v>
      </c>
      <c r="AT116" s="28">
        <f t="shared" si="86"/>
        <v>6897.8707342966509</v>
      </c>
      <c r="AU116">
        <f t="shared" si="87"/>
        <v>67.166249828821861</v>
      </c>
      <c r="AV116" s="28">
        <f t="shared" si="88"/>
        <v>6992.6729924134297</v>
      </c>
      <c r="AW116" s="28">
        <f t="shared" si="89"/>
        <v>7037.1898043355222</v>
      </c>
      <c r="AX116" s="23">
        <f>HLOOKUP(YEAR(A116),Assumptions!$A$25:$AL$29,2,TRUE)/100</f>
        <v>1.3044E-2</v>
      </c>
      <c r="AY116" s="29">
        <f>1/(1+HLOOKUP(YEAR(A116),Assumptions!$A$18:$AL$20,3,TRUE))^(1/12)</f>
        <v>0.99894263644949055</v>
      </c>
      <c r="AZ116" s="26">
        <f t="shared" si="90"/>
        <v>5166.7797446366149</v>
      </c>
      <c r="BA116">
        <f t="shared" si="91"/>
        <v>51.073083341073264</v>
      </c>
      <c r="BB116">
        <f t="shared" si="92"/>
        <v>6933.1108133404059</v>
      </c>
      <c r="BC116">
        <f t="shared" si="93"/>
        <v>0</v>
      </c>
    </row>
    <row r="117" spans="1:55" x14ac:dyDescent="0.2">
      <c r="A117" s="3">
        <f t="shared" si="62"/>
        <v>46326</v>
      </c>
      <c r="B117">
        <f t="shared" si="54"/>
        <v>119</v>
      </c>
      <c r="C117">
        <f t="shared" si="96"/>
        <v>9.8333333333333339</v>
      </c>
      <c r="D117">
        <f t="shared" si="97"/>
        <v>0</v>
      </c>
      <c r="E117">
        <f t="shared" si="55"/>
        <v>65</v>
      </c>
      <c r="F117">
        <f>IF(C117&gt;=$T$2,0,VLOOKUP($E117,'Mortality Table'!$A$3:$C$128,2+AF$2,FALSE))</f>
        <v>8.4460000000000004E-3</v>
      </c>
      <c r="G117">
        <f>F117*Assumptions!$B$1</f>
        <v>8.4460000000000004E-3</v>
      </c>
      <c r="H117">
        <f t="shared" si="63"/>
        <v>7.0657272404539562E-4</v>
      </c>
      <c r="I117">
        <f t="shared" si="99"/>
        <v>2.5544318496094245E-4</v>
      </c>
      <c r="J117">
        <f>IF(B117&gt;$AJ$2,0,HLOOKUP(C117,Assumptions!$A$6:$J$7,2,TRUE))</f>
        <v>6.4199999999999993E-2</v>
      </c>
      <c r="K117" s="4">
        <f t="shared" si="98"/>
        <v>1</v>
      </c>
      <c r="L117" s="4">
        <f t="shared" si="64"/>
        <v>8.3333333333333329E-2</v>
      </c>
      <c r="M117" s="4">
        <f t="shared" si="100"/>
        <v>5.5141990623922554E-3</v>
      </c>
      <c r="N117">
        <f t="shared" si="65"/>
        <v>1.9983220554174639E-3</v>
      </c>
      <c r="O117" s="21">
        <f t="shared" si="101"/>
        <v>0.36011050713213644</v>
      </c>
      <c r="P117">
        <f>IF(B117&gt;$AJ$2,0,HLOOKUP(C117,Assumptions!$A$12:$J$13,2,TRUE))</f>
        <v>5.3E-3</v>
      </c>
      <c r="Q117">
        <f t="shared" si="102"/>
        <v>1.5950709738127541E-4</v>
      </c>
      <c r="R117">
        <f t="shared" si="66"/>
        <v>9.4433335818573008E-2</v>
      </c>
      <c r="S117">
        <f t="shared" si="94"/>
        <v>6.6843217908393244E-5</v>
      </c>
      <c r="T117">
        <f t="shared" si="95"/>
        <v>5.2291188203686654E-4</v>
      </c>
      <c r="U117">
        <f t="shared" si="67"/>
        <v>3914.3195514877348</v>
      </c>
      <c r="V117">
        <f t="shared" si="68"/>
        <v>1410.2</v>
      </c>
      <c r="W117">
        <f t="shared" si="69"/>
        <v>0.12</v>
      </c>
      <c r="X117">
        <f t="shared" si="60"/>
        <v>118.25282648818686</v>
      </c>
      <c r="Y117">
        <f t="shared" si="70"/>
        <v>183.63543377576718</v>
      </c>
      <c r="Z117">
        <f t="shared" si="71"/>
        <v>17209.536615173613</v>
      </c>
      <c r="AA117">
        <f t="shared" si="72"/>
        <v>0</v>
      </c>
      <c r="AB117">
        <f t="shared" si="73"/>
        <v>17742.964252342972</v>
      </c>
      <c r="AC117" s="23">
        <f>IF(B117&gt;$AJ$2,0,HLOOKUP(YEAR(A117),Assumptions!$A$25:$AL$29,4,TRUE)/100)</f>
        <v>7.0439999999999999E-3</v>
      </c>
      <c r="AD117">
        <f t="shared" si="74"/>
        <v>434.76928167424148</v>
      </c>
      <c r="AE117">
        <f t="shared" si="75"/>
        <v>5760.8553025466681</v>
      </c>
      <c r="AF117">
        <f t="shared" si="76"/>
        <v>5741.4846463444992</v>
      </c>
      <c r="AG117">
        <f t="shared" si="77"/>
        <v>6042.0492748840879</v>
      </c>
      <c r="AH117">
        <f t="shared" si="78"/>
        <v>245.9845588699994</v>
      </c>
      <c r="AI117">
        <f t="shared" si="79"/>
        <v>245.66514357125845</v>
      </c>
      <c r="AJ117">
        <f t="shared" si="80"/>
        <v>0</v>
      </c>
      <c r="AK117">
        <f t="shared" si="81"/>
        <v>4.9073180527734843</v>
      </c>
      <c r="AL117">
        <f t="shared" si="82"/>
        <v>38.400053563230941</v>
      </c>
      <c r="AM117">
        <f t="shared" si="61"/>
        <v>0</v>
      </c>
      <c r="AN117">
        <f>IF($S$2=0,0,(SUMPRODUCT($K$2:$R$2,Assumptions!$B$34:$I$34)/$U$2+$J$2/$U$2*Assumptions!$A$34*G117)*K117*O116)</f>
        <v>7.858727490757599</v>
      </c>
      <c r="AO117">
        <f t="shared" si="83"/>
        <v>0</v>
      </c>
      <c r="AP117">
        <f t="shared" si="84"/>
        <v>0</v>
      </c>
      <c r="AQ117">
        <f>IF(B117&gt;$AJ$2,0,AQ116*(1+Assumptions!$B$43)^(1/12))</f>
        <v>1.0918730207564793</v>
      </c>
      <c r="AR117" s="27">
        <f>IF(B117&gt;$AJ$2,0,(O116+R116)*Assumptions!$B$39/12*AQ116+AV117*Assumptions!$B$41/12)</f>
        <v>7.4851178640464564</v>
      </c>
      <c r="AS117">
        <f t="shared" si="85"/>
        <v>66.572211496984934</v>
      </c>
      <c r="AT117" s="28">
        <f t="shared" si="86"/>
        <v>6921.1458703499775</v>
      </c>
      <c r="AU117">
        <f t="shared" si="87"/>
        <v>74.80355430864013</v>
      </c>
      <c r="AV117" s="28">
        <f t="shared" si="88"/>
        <v>7023.7504681316996</v>
      </c>
      <c r="AW117" s="28">
        <f t="shared" si="89"/>
        <v>7067.9459652588548</v>
      </c>
      <c r="AX117" s="23">
        <f>HLOOKUP(YEAR(A117),Assumptions!$A$25:$AL$29,2,TRUE)/100</f>
        <v>1.3044E-2</v>
      </c>
      <c r="AY117" s="29">
        <f>1/(1+HLOOKUP(YEAR(A117),Assumptions!$A$18:$AL$20,3,TRUE))^(1/12)</f>
        <v>0.99894263644949055</v>
      </c>
      <c r="AZ117" s="26">
        <f t="shared" si="90"/>
        <v>5231.8503013949548</v>
      </c>
      <c r="BA117">
        <f t="shared" si="91"/>
        <v>51.166099106762026</v>
      </c>
      <c r="BB117">
        <f t="shared" si="92"/>
        <v>6956.5842183028781</v>
      </c>
      <c r="BC117">
        <f t="shared" si="93"/>
        <v>0</v>
      </c>
    </row>
    <row r="118" spans="1:55" x14ac:dyDescent="0.2">
      <c r="A118" s="3">
        <f t="shared" si="62"/>
        <v>46356</v>
      </c>
      <c r="B118">
        <f t="shared" si="54"/>
        <v>120</v>
      </c>
      <c r="C118">
        <f t="shared" si="96"/>
        <v>9.9166666666666661</v>
      </c>
      <c r="D118">
        <f t="shared" si="97"/>
        <v>0</v>
      </c>
      <c r="E118">
        <f t="shared" si="55"/>
        <v>65</v>
      </c>
      <c r="F118">
        <f>IF(C118&gt;=$T$2,0,VLOOKUP($E118,'Mortality Table'!$A$3:$C$128,2+AF$2,FALSE))</f>
        <v>8.4460000000000004E-3</v>
      </c>
      <c r="G118">
        <f>F118*Assumptions!$B$1</f>
        <v>8.4460000000000004E-3</v>
      </c>
      <c r="H118">
        <f t="shared" si="63"/>
        <v>7.0657272404539562E-4</v>
      </c>
      <c r="I118">
        <f t="shared" si="99"/>
        <v>2.5374273382629714E-4</v>
      </c>
      <c r="J118">
        <f>IF(B118&gt;$AJ$2,0,HLOOKUP(C118,Assumptions!$A$6:$J$7,2,TRUE))</f>
        <v>6.4199999999999993E-2</v>
      </c>
      <c r="K118" s="4">
        <f t="shared" si="98"/>
        <v>1</v>
      </c>
      <c r="L118" s="4">
        <f t="shared" si="64"/>
        <v>8.3333333333333329E-2</v>
      </c>
      <c r="M118" s="4">
        <f t="shared" si="100"/>
        <v>5.5141990623922554E-3</v>
      </c>
      <c r="N118">
        <f t="shared" si="65"/>
        <v>1.9850194926302011E-3</v>
      </c>
      <c r="O118" s="21">
        <f t="shared" si="101"/>
        <v>0.35771329962572307</v>
      </c>
      <c r="P118">
        <f>IF(B118&gt;$AJ$2,0,HLOOKUP(C118,Assumptions!$A$12:$J$13,2,TRUE))</f>
        <v>5.3E-3</v>
      </c>
      <c r="Q118">
        <f t="shared" si="102"/>
        <v>1.5844527995691378E-4</v>
      </c>
      <c r="R118">
        <f t="shared" si="66"/>
        <v>9.400470079689538E-2</v>
      </c>
      <c r="S118">
        <f t="shared" si="94"/>
        <v>6.6540054567608444E-5</v>
      </c>
      <c r="T118">
        <f t="shared" si="95"/>
        <v>5.2054024706693397E-4</v>
      </c>
      <c r="U118">
        <f t="shared" si="67"/>
        <v>3914.3195514877348</v>
      </c>
      <c r="V118">
        <f t="shared" si="68"/>
        <v>1410.2</v>
      </c>
      <c r="W118">
        <f t="shared" si="69"/>
        <v>0.12</v>
      </c>
      <c r="X118">
        <f t="shared" si="60"/>
        <v>117.46563323029042</v>
      </c>
      <c r="Y118">
        <f t="shared" si="70"/>
        <v>183.63543377576718</v>
      </c>
      <c r="Z118">
        <f t="shared" si="71"/>
        <v>17393.172048949378</v>
      </c>
      <c r="AA118">
        <f t="shared" si="72"/>
        <v>0</v>
      </c>
      <c r="AB118">
        <f t="shared" si="73"/>
        <v>17937.088779016463</v>
      </c>
      <c r="AC118" s="23">
        <f>IF(B118&gt;$AJ$2,0,HLOOKUP(YEAR(A118),Assumptions!$A$25:$AL$29,4,TRUE)/100)</f>
        <v>7.0439999999999999E-3</v>
      </c>
      <c r="AD118">
        <f t="shared" si="74"/>
        <v>434.76928167424148</v>
      </c>
      <c r="AE118">
        <f t="shared" si="75"/>
        <v>5780.4616165693405</v>
      </c>
      <c r="AF118">
        <f t="shared" si="76"/>
        <v>5760.8553025466681</v>
      </c>
      <c r="AG118">
        <f t="shared" si="77"/>
        <v>6065.6277341040786</v>
      </c>
      <c r="AH118">
        <f t="shared" si="78"/>
        <v>246.30275623675593</v>
      </c>
      <c r="AI118">
        <f t="shared" si="79"/>
        <v>245.9845588699994</v>
      </c>
      <c r="AJ118">
        <f t="shared" si="80"/>
        <v>0</v>
      </c>
      <c r="AK118">
        <f t="shared" si="81"/>
        <v>4.9234060238848221</v>
      </c>
      <c r="AL118">
        <f t="shared" si="82"/>
        <v>38.525984470390171</v>
      </c>
      <c r="AM118">
        <f t="shared" si="61"/>
        <v>0</v>
      </c>
      <c r="AN118">
        <f>IF($S$2=0,0,(SUMPRODUCT($K$2:$R$2,Assumptions!$B$34:$I$34)/$U$2+$J$2/$U$2*Assumptions!$A$34*G118)*K118*O117)</f>
        <v>7.8064129924061554</v>
      </c>
      <c r="AO118">
        <f t="shared" si="83"/>
        <v>0</v>
      </c>
      <c r="AP118">
        <f t="shared" si="84"/>
        <v>0</v>
      </c>
      <c r="AQ118">
        <f>IF(B118&gt;$AJ$2,0,AQ117*(1+Assumptions!$B$43)^(1/12))</f>
        <v>1.0927787710432231</v>
      </c>
      <c r="AR118" s="27">
        <f>IF(B118&gt;$AJ$2,0,(O117+R117)*Assumptions!$B$39/12*AQ117+AV118*Assumptions!$B$41/12)</f>
        <v>7.4601437603061154</v>
      </c>
      <c r="AS118">
        <f t="shared" si="85"/>
        <v>66.129049184421376</v>
      </c>
      <c r="AT118" s="28">
        <f t="shared" si="86"/>
        <v>6943.8359005502052</v>
      </c>
      <c r="AU118">
        <f t="shared" si="87"/>
        <v>82.473494290157433</v>
      </c>
      <c r="AV118" s="28">
        <f t="shared" si="88"/>
        <v>7054.2720608506324</v>
      </c>
      <c r="AW118" s="28">
        <f t="shared" si="89"/>
        <v>7098.1485011361956</v>
      </c>
      <c r="AX118" s="23">
        <f>HLOOKUP(YEAR(A118),Assumptions!$A$25:$AL$29,2,TRUE)/100</f>
        <v>1.3044E-2</v>
      </c>
      <c r="AY118" s="29">
        <f>1/(1+HLOOKUP(YEAR(A118),Assumptions!$A$18:$AL$20,3,TRUE))^(1/12)</f>
        <v>0.99894263644949055</v>
      </c>
      <c r="AZ118" s="26">
        <f t="shared" si="90"/>
        <v>5296.1378106811844</v>
      </c>
      <c r="BA118">
        <f t="shared" si="91"/>
        <v>51.255803486681145</v>
      </c>
      <c r="BB118">
        <f t="shared" si="92"/>
        <v>6979.4685065419926</v>
      </c>
      <c r="BC118">
        <f t="shared" si="93"/>
        <v>0</v>
      </c>
    </row>
    <row r="119" spans="1:55" x14ac:dyDescent="0.2">
      <c r="A119" s="3">
        <f t="shared" si="62"/>
        <v>46387</v>
      </c>
      <c r="B119">
        <f t="shared" si="54"/>
        <v>121</v>
      </c>
      <c r="C119">
        <f t="shared" si="96"/>
        <v>10</v>
      </c>
      <c r="D119">
        <f t="shared" si="97"/>
        <v>1</v>
      </c>
      <c r="E119">
        <f t="shared" si="55"/>
        <v>66</v>
      </c>
      <c r="F119">
        <f>IF(C119&gt;=$T$2,0,VLOOKUP($E119,'Mortality Table'!$A$3:$C$128,2+AF$2,FALSE))</f>
        <v>8.1419999999999999E-3</v>
      </c>
      <c r="G119">
        <f>F119*Assumptions!$B$1</f>
        <v>8.1419999999999999E-3</v>
      </c>
      <c r="H119">
        <f t="shared" si="63"/>
        <v>6.8104524207401873E-4</v>
      </c>
      <c r="I119">
        <f t="shared" si="99"/>
        <v>2.4294725906940095E-4</v>
      </c>
      <c r="J119">
        <f>IF(B119&gt;$AJ$2,0,HLOOKUP(C119,Assumptions!$A$6:$J$7,2,TRUE))</f>
        <v>6.4199999999999993E-2</v>
      </c>
      <c r="K119" s="4">
        <f t="shared" si="98"/>
        <v>1</v>
      </c>
      <c r="L119" s="4">
        <f t="shared" si="64"/>
        <v>8.3333333333333329E-2</v>
      </c>
      <c r="M119" s="4">
        <f t="shared" si="100"/>
        <v>5.5141990623922554E-3</v>
      </c>
      <c r="N119">
        <f t="shared" si="65"/>
        <v>1.9718306597341063E-3</v>
      </c>
      <c r="O119" s="21">
        <f t="shared" si="101"/>
        <v>0.35534112715538552</v>
      </c>
      <c r="P119">
        <f>IF(B119&gt;$AJ$2,0,HLOOKUP(C119,Assumptions!$A$12:$J$13,2,TRUE))</f>
        <v>5.3E-3</v>
      </c>
      <c r="Q119">
        <f t="shared" si="102"/>
        <v>1.5739455153400644E-4</v>
      </c>
      <c r="R119">
        <f t="shared" si="66"/>
        <v>9.358006628826715E-2</v>
      </c>
      <c r="S119">
        <f t="shared" si="94"/>
        <v>6.3844940688927558E-5</v>
      </c>
      <c r="T119">
        <f t="shared" si="95"/>
        <v>5.1818411947331523E-4</v>
      </c>
      <c r="U119">
        <f t="shared" si="67"/>
        <v>4031.7491380323668</v>
      </c>
      <c r="V119">
        <f t="shared" si="68"/>
        <v>1410.2</v>
      </c>
      <c r="W119">
        <f t="shared" si="69"/>
        <v>0.12</v>
      </c>
      <c r="X119">
        <f t="shared" si="60"/>
        <v>120.18419061906023</v>
      </c>
      <c r="Y119">
        <f t="shared" si="70"/>
        <v>192.24693678904021</v>
      </c>
      <c r="Z119">
        <f t="shared" si="71"/>
        <v>17585.418985738419</v>
      </c>
      <c r="AA119">
        <f t="shared" si="72"/>
        <v>0</v>
      </c>
      <c r="AB119">
        <f t="shared" si="73"/>
        <v>18139.943432261869</v>
      </c>
      <c r="AC119" s="23">
        <f>IF(B119&gt;$AJ$2,0,HLOOKUP(YEAR(A119),Assumptions!$A$25:$AL$29,4,TRUE)/100)</f>
        <v>7.0439999999999999E-3</v>
      </c>
      <c r="AD119">
        <f t="shared" si="74"/>
        <v>434.76928167424148</v>
      </c>
      <c r="AE119">
        <f t="shared" si="75"/>
        <v>5800.3166566937498</v>
      </c>
      <c r="AF119">
        <f t="shared" si="76"/>
        <v>5780.4616165693405</v>
      </c>
      <c r="AG119">
        <f t="shared" si="77"/>
        <v>6089.4789249593687</v>
      </c>
      <c r="AH119">
        <f t="shared" si="78"/>
        <v>246.61974259322022</v>
      </c>
      <c r="AI119">
        <f t="shared" si="79"/>
        <v>246.30275623675593</v>
      </c>
      <c r="AJ119">
        <f t="shared" si="80"/>
        <v>0</v>
      </c>
      <c r="AK119">
        <f t="shared" si="81"/>
        <v>4.7627337614104297</v>
      </c>
      <c r="AL119">
        <f t="shared" si="82"/>
        <v>38.666186133440767</v>
      </c>
      <c r="AM119">
        <f t="shared" si="61"/>
        <v>0</v>
      </c>
      <c r="AN119">
        <f>IF($S$2=0,0,(SUMPRODUCT($K$2:$R$2,Assumptions!$B$34:$I$34)/$U$2+$J$2/$U$2*Assumptions!$A$34*G119)*K119*O118)</f>
        <v>7.7495070101796459</v>
      </c>
      <c r="AO119">
        <f t="shared" si="83"/>
        <v>0</v>
      </c>
      <c r="AP119">
        <f t="shared" si="84"/>
        <v>0</v>
      </c>
      <c r="AQ119">
        <f>IF(B119&gt;$AJ$2,0,AQ118*(1+Assumptions!$B$43)^(1/12))</f>
        <v>1.0936852726843518</v>
      </c>
      <c r="AR119" s="27">
        <f>IF(B119&gt;$AJ$2,0,(O118+R118)*Assumptions!$B$39/12*AQ118+AV119*Assumptions!$B$41/12)</f>
        <v>7.4359118535605351</v>
      </c>
      <c r="AS119">
        <f t="shared" si="85"/>
        <v>68.769286101745379</v>
      </c>
      <c r="AT119" s="28">
        <f t="shared" si="86"/>
        <v>7015.7217872135689</v>
      </c>
      <c r="AU119">
        <f t="shared" si="87"/>
        <v>0</v>
      </c>
      <c r="AV119" s="28">
        <f t="shared" si="88"/>
        <v>7087.3291739319293</v>
      </c>
      <c r="AW119" s="28">
        <f t="shared" si="89"/>
        <v>7131.3081665956834</v>
      </c>
      <c r="AX119" s="23">
        <f>HLOOKUP(YEAR(A119),Assumptions!$A$25:$AL$29,2,TRUE)/100</f>
        <v>1.3044E-2</v>
      </c>
      <c r="AY119" s="29">
        <f>1/(1+HLOOKUP(YEAR(A119),Assumptions!$A$18:$AL$20,3,TRUE))^(1/12)</f>
        <v>0.99894263644949055</v>
      </c>
      <c r="AZ119" s="26">
        <f t="shared" si="90"/>
        <v>5363.3135330643026</v>
      </c>
      <c r="BA119">
        <f t="shared" si="91"/>
        <v>51.178426905030847</v>
      </c>
      <c r="BB119">
        <f t="shared" si="92"/>
        <v>7004.8556796417715</v>
      </c>
      <c r="BC119">
        <f t="shared" si="93"/>
        <v>0</v>
      </c>
    </row>
    <row r="120" spans="1:55" x14ac:dyDescent="0.2">
      <c r="A120" s="3">
        <f t="shared" si="62"/>
        <v>46418</v>
      </c>
      <c r="B120">
        <f t="shared" si="54"/>
        <v>122</v>
      </c>
      <c r="C120">
        <f t="shared" si="96"/>
        <v>10.083333333333334</v>
      </c>
      <c r="D120">
        <f t="shared" si="97"/>
        <v>0</v>
      </c>
      <c r="E120">
        <f t="shared" si="55"/>
        <v>66</v>
      </c>
      <c r="F120">
        <f>IF(C120&gt;=$T$2,0,VLOOKUP($E120,'Mortality Table'!$A$3:$C$128,2+AF$2,FALSE))</f>
        <v>8.1419999999999999E-3</v>
      </c>
      <c r="G120">
        <f>F120*Assumptions!$B$1</f>
        <v>8.1419999999999999E-3</v>
      </c>
      <c r="H120">
        <f t="shared" si="63"/>
        <v>6.8104524207401873E-4</v>
      </c>
      <c r="I120">
        <f t="shared" si="99"/>
        <v>2.4133615654592364E-4</v>
      </c>
      <c r="J120">
        <f>IF(B120&gt;$AJ$2,0,HLOOKUP(C120,Assumptions!$A$6:$J$7,2,TRUE))</f>
        <v>6.4199999999999993E-2</v>
      </c>
      <c r="K120" s="4">
        <f t="shared" si="98"/>
        <v>1</v>
      </c>
      <c r="L120" s="4">
        <f t="shared" si="64"/>
        <v>8.3333333333333329E-2</v>
      </c>
      <c r="M120" s="4">
        <f t="shared" si="100"/>
        <v>5.5141990623922554E-3</v>
      </c>
      <c r="N120">
        <f t="shared" si="65"/>
        <v>1.9587544827731635E-3</v>
      </c>
      <c r="O120" s="21">
        <f t="shared" si="101"/>
        <v>0.35298468572505942</v>
      </c>
      <c r="P120">
        <f>IF(B120&gt;$AJ$2,0,HLOOKUP(C120,Assumptions!$A$12:$J$13,2,TRUE))</f>
        <v>5.3E-3</v>
      </c>
      <c r="Q120">
        <f t="shared" si="102"/>
        <v>1.563507910070125E-4</v>
      </c>
      <c r="R120">
        <f t="shared" si="66"/>
        <v>9.3157017138952455E-2</v>
      </c>
      <c r="S120">
        <f t="shared" si="94"/>
        <v>6.355654271746423E-5</v>
      </c>
      <c r="T120">
        <f t="shared" si="95"/>
        <v>5.1584339760423641E-4</v>
      </c>
      <c r="U120">
        <f t="shared" si="67"/>
        <v>4031.7491380323668</v>
      </c>
      <c r="V120">
        <f t="shared" si="68"/>
        <v>1410.2</v>
      </c>
      <c r="W120">
        <f t="shared" si="69"/>
        <v>0.12</v>
      </c>
      <c r="X120">
        <f t="shared" si="60"/>
        <v>119.38719025968128</v>
      </c>
      <c r="Y120">
        <f t="shared" si="70"/>
        <v>192.24693678904021</v>
      </c>
      <c r="Z120">
        <f t="shared" si="71"/>
        <v>17777.66592252746</v>
      </c>
      <c r="AA120">
        <f t="shared" si="72"/>
        <v>119.75516484920809</v>
      </c>
      <c r="AB120">
        <f t="shared" si="73"/>
        <v>18342.421874719188</v>
      </c>
      <c r="AC120" s="23">
        <f>IF(B120&gt;$AJ$2,0,HLOOKUP(YEAR(A120),Assumptions!$A$25:$AL$29,4,TRUE)/100)</f>
        <v>6.7179999999999991E-3</v>
      </c>
      <c r="AD120">
        <f t="shared" si="74"/>
        <v>554.52444652344957</v>
      </c>
      <c r="AE120">
        <f t="shared" si="75"/>
        <v>5820.4189322860129</v>
      </c>
      <c r="AF120">
        <f t="shared" si="76"/>
        <v>5800.3166566937498</v>
      </c>
      <c r="AG120">
        <f t="shared" si="77"/>
        <v>6113.4366824160215</v>
      </c>
      <c r="AH120">
        <f t="shared" si="78"/>
        <v>289.60764090364648</v>
      </c>
      <c r="AI120">
        <f t="shared" si="79"/>
        <v>289.16226826561888</v>
      </c>
      <c r="AJ120">
        <f t="shared" si="80"/>
        <v>42.542525672398654</v>
      </c>
      <c r="AK120">
        <f t="shared" si="81"/>
        <v>4.8112465921562215</v>
      </c>
      <c r="AL120">
        <f t="shared" si="82"/>
        <v>39.060076931395805</v>
      </c>
      <c r="AM120">
        <f t="shared" si="61"/>
        <v>0</v>
      </c>
      <c r="AN120">
        <f>IF($S$2=0,0,(SUMPRODUCT($K$2:$R$2,Assumptions!$B$34:$I$34)/$U$2+$J$2/$U$2*Assumptions!$A$34*G120)*K120*O119)</f>
        <v>7.6981162254157853</v>
      </c>
      <c r="AO120">
        <f t="shared" si="83"/>
        <v>0</v>
      </c>
      <c r="AP120">
        <f t="shared" si="84"/>
        <v>0</v>
      </c>
      <c r="AQ120">
        <f>IF(B120&gt;$AJ$2,0,AQ119*(1+Assumptions!$B$43)^(1/12))</f>
        <v>1.0945925263031426</v>
      </c>
      <c r="AR120" s="27">
        <f>IF(B120&gt;$AJ$2,0,(O119+R119)*Assumptions!$B$39/12*AQ119+AV120*Assumptions!$B$41/12)</f>
        <v>7.4020880304330312</v>
      </c>
      <c r="AS120">
        <f t="shared" si="85"/>
        <v>68.313243210787704</v>
      </c>
      <c r="AT120" s="28">
        <f t="shared" si="86"/>
        <v>7040.1743062694813</v>
      </c>
      <c r="AU120">
        <f t="shared" si="87"/>
        <v>7.502390361545439</v>
      </c>
      <c r="AV120" s="28">
        <f t="shared" si="88"/>
        <v>7076.3369141989406</v>
      </c>
      <c r="AW120" s="28">
        <f t="shared" si="89"/>
        <v>7120.0087732174006</v>
      </c>
      <c r="AX120" s="23">
        <f>HLOOKUP(YEAR(A120),Assumptions!$A$25:$AL$29,2,TRUE)/100</f>
        <v>1.2718E-2</v>
      </c>
      <c r="AY120" s="29">
        <f>1/(1+HLOOKUP(YEAR(A120),Assumptions!$A$18:$AL$20,3,TRUE))^(1/12)</f>
        <v>0.99892052914934393</v>
      </c>
      <c r="AZ120" s="26">
        <f t="shared" si="90"/>
        <v>5429.5249925603894</v>
      </c>
      <c r="BA120">
        <f t="shared" si="91"/>
        <v>51.569439748967817</v>
      </c>
      <c r="BB120">
        <f t="shared" si="92"/>
        <v>7076.3369141989406</v>
      </c>
      <c r="BC120">
        <f t="shared" si="93"/>
        <v>0</v>
      </c>
    </row>
    <row r="121" spans="1:55" x14ac:dyDescent="0.2">
      <c r="A121" s="3">
        <f t="shared" si="62"/>
        <v>46446</v>
      </c>
      <c r="B121">
        <f t="shared" si="54"/>
        <v>123</v>
      </c>
      <c r="C121">
        <f t="shared" si="96"/>
        <v>10.166666666666666</v>
      </c>
      <c r="D121">
        <f t="shared" si="97"/>
        <v>0</v>
      </c>
      <c r="E121">
        <f t="shared" si="55"/>
        <v>66</v>
      </c>
      <c r="F121">
        <f>IF(C121&gt;=$T$2,0,VLOOKUP($E121,'Mortality Table'!$A$3:$C$128,2+AF$2,FALSE))</f>
        <v>8.1419999999999999E-3</v>
      </c>
      <c r="G121">
        <f>F121*Assumptions!$B$1</f>
        <v>8.1419999999999999E-3</v>
      </c>
      <c r="H121">
        <f t="shared" si="63"/>
        <v>6.8104524207401873E-4</v>
      </c>
      <c r="I121">
        <f t="shared" si="99"/>
        <v>2.3973573803407543E-4</v>
      </c>
      <c r="J121">
        <f>IF(B121&gt;$AJ$2,0,HLOOKUP(C121,Assumptions!$A$6:$J$7,2,TRUE))</f>
        <v>6.4199999999999993E-2</v>
      </c>
      <c r="K121" s="4">
        <f t="shared" si="98"/>
        <v>1</v>
      </c>
      <c r="L121" s="4">
        <f t="shared" si="64"/>
        <v>8.3333333333333329E-2</v>
      </c>
      <c r="M121" s="4">
        <f t="shared" si="100"/>
        <v>5.5141990623922554E-3</v>
      </c>
      <c r="N121">
        <f t="shared" si="65"/>
        <v>1.9457650203599786E-3</v>
      </c>
      <c r="O121" s="21">
        <f t="shared" si="101"/>
        <v>0.35064387101449696</v>
      </c>
      <c r="P121">
        <f>IF(B121&gt;$AJ$2,0,HLOOKUP(C121,Assumptions!$A$12:$J$13,2,TRUE))</f>
        <v>5.3E-3</v>
      </c>
      <c r="Q121">
        <f t="shared" si="102"/>
        <v>1.5531395216839398E-4</v>
      </c>
      <c r="R121">
        <f t="shared" si="66"/>
        <v>9.2735550454905127E-2</v>
      </c>
      <c r="S121">
        <f t="shared" si="94"/>
        <v>6.3269221470574105E-5</v>
      </c>
      <c r="T121">
        <f t="shared" si="95"/>
        <v>5.1351141474515361E-4</v>
      </c>
      <c r="U121">
        <f t="shared" si="67"/>
        <v>4031.7491380323668</v>
      </c>
      <c r="V121">
        <f t="shared" si="68"/>
        <v>1410.2</v>
      </c>
      <c r="W121">
        <f t="shared" si="69"/>
        <v>0.12</v>
      </c>
      <c r="X121">
        <f t="shared" si="60"/>
        <v>118.59547520088618</v>
      </c>
      <c r="Y121">
        <f t="shared" si="70"/>
        <v>192.24693678904021</v>
      </c>
      <c r="Z121">
        <f t="shared" si="71"/>
        <v>17969.912859316501</v>
      </c>
      <c r="AA121">
        <f t="shared" si="72"/>
        <v>0</v>
      </c>
      <c r="AB121">
        <f t="shared" si="73"/>
        <v>18545.013323821651</v>
      </c>
      <c r="AC121" s="23">
        <f>IF(B121&gt;$AJ$2,0,HLOOKUP(YEAR(A121),Assumptions!$A$25:$AL$29,4,TRUE)/100)</f>
        <v>6.7179999999999991E-3</v>
      </c>
      <c r="AD121">
        <f t="shared" si="74"/>
        <v>554.52444652344957</v>
      </c>
      <c r="AE121">
        <f t="shared" si="75"/>
        <v>5840.7669639674632</v>
      </c>
      <c r="AF121">
        <f t="shared" si="76"/>
        <v>5820.4189322860129</v>
      </c>
      <c r="AG121">
        <f t="shared" si="77"/>
        <v>6137.6634456141192</v>
      </c>
      <c r="AH121">
        <f t="shared" si="78"/>
        <v>290.05132486168424</v>
      </c>
      <c r="AI121">
        <f t="shared" si="79"/>
        <v>289.60764090364648</v>
      </c>
      <c r="AJ121">
        <f t="shared" si="80"/>
        <v>0</v>
      </c>
      <c r="AK121">
        <f t="shared" si="81"/>
        <v>4.8275462736317305</v>
      </c>
      <c r="AL121">
        <f t="shared" si="82"/>
        <v>39.192447304596939</v>
      </c>
      <c r="AM121">
        <f t="shared" si="61"/>
        <v>0</v>
      </c>
      <c r="AN121">
        <f>IF($S$2=0,0,(SUMPRODUCT($K$2:$R$2,Assumptions!$B$34:$I$34)/$U$2+$J$2/$U$2*Assumptions!$A$34*G121)*K121*O120)</f>
        <v>7.6470662381704226</v>
      </c>
      <c r="AO121">
        <f t="shared" si="83"/>
        <v>0</v>
      </c>
      <c r="AP121">
        <f t="shared" si="84"/>
        <v>0</v>
      </c>
      <c r="AQ121">
        <f>IF(B121&gt;$AJ$2,0,AQ120*(1+Assumptions!$B$43)^(1/12))</f>
        <v>1.0955005325233895</v>
      </c>
      <c r="AR121" s="27">
        <f>IF(B121&gt;$AJ$2,0,(O120+R120)*Assumptions!$B$39/12*AQ120+AV121*Assumptions!$B$41/12)</f>
        <v>7.3780051386193852</v>
      </c>
      <c r="AS121">
        <f t="shared" si="85"/>
        <v>67.860224564084717</v>
      </c>
      <c r="AT121" s="28">
        <f t="shared" si="86"/>
        <v>7064.0252140386501</v>
      </c>
      <c r="AU121">
        <f t="shared" si="87"/>
        <v>15.037696711349302</v>
      </c>
      <c r="AV121" s="28">
        <f t="shared" si="88"/>
        <v>7107.8898549569412</v>
      </c>
      <c r="AW121" s="28">
        <f t="shared" si="89"/>
        <v>7151.2471004551235</v>
      </c>
      <c r="AX121" s="23">
        <f>HLOOKUP(YEAR(A121),Assumptions!$A$25:$AL$29,2,TRUE)/100</f>
        <v>1.2718E-2</v>
      </c>
      <c r="AY121" s="29">
        <f>1/(1+HLOOKUP(YEAR(A121),Assumptions!$A$18:$AL$20,3,TRUE))^(1/12)</f>
        <v>0.99892052914934393</v>
      </c>
      <c r="AZ121" s="26">
        <f t="shared" si="90"/>
        <v>5494.942750399332</v>
      </c>
      <c r="BA121">
        <f t="shared" si="91"/>
        <v>51.667059816399096</v>
      </c>
      <c r="BB121">
        <f t="shared" si="92"/>
        <v>7100.3874645953956</v>
      </c>
      <c r="BC121">
        <f t="shared" si="93"/>
        <v>0</v>
      </c>
    </row>
    <row r="122" spans="1:55" x14ac:dyDescent="0.2">
      <c r="A122" s="3">
        <f t="shared" si="62"/>
        <v>46477</v>
      </c>
      <c r="B122">
        <f t="shared" si="54"/>
        <v>124</v>
      </c>
      <c r="C122">
        <f t="shared" si="96"/>
        <v>10.25</v>
      </c>
      <c r="D122">
        <f t="shared" si="97"/>
        <v>0</v>
      </c>
      <c r="E122">
        <f t="shared" si="55"/>
        <v>66</v>
      </c>
      <c r="F122">
        <f>IF(C122&gt;=$T$2,0,VLOOKUP($E122,'Mortality Table'!$A$3:$C$128,2+AF$2,FALSE))</f>
        <v>8.1419999999999999E-3</v>
      </c>
      <c r="G122">
        <f>F122*Assumptions!$B$1</f>
        <v>8.1419999999999999E-3</v>
      </c>
      <c r="H122">
        <f t="shared" si="63"/>
        <v>6.8104524207401873E-4</v>
      </c>
      <c r="I122">
        <f t="shared" si="99"/>
        <v>2.3814593268293107E-4</v>
      </c>
      <c r="J122">
        <f>IF(B122&gt;$AJ$2,0,HLOOKUP(C122,Assumptions!$A$6:$J$7,2,TRUE))</f>
        <v>6.4199999999999993E-2</v>
      </c>
      <c r="K122" s="4">
        <f t="shared" si="98"/>
        <v>1</v>
      </c>
      <c r="L122" s="4">
        <f t="shared" si="64"/>
        <v>8.3333333333333329E-2</v>
      </c>
      <c r="M122" s="4">
        <f t="shared" si="100"/>
        <v>5.5141990623922554E-3</v>
      </c>
      <c r="N122">
        <f t="shared" si="65"/>
        <v>1.9328616974478221E-3</v>
      </c>
      <c r="O122" s="21">
        <f t="shared" si="101"/>
        <v>0.34831857939524913</v>
      </c>
      <c r="P122">
        <f>IF(B122&gt;$AJ$2,0,HLOOKUP(C122,Assumptions!$A$12:$J$13,2,TRUE))</f>
        <v>5.3E-3</v>
      </c>
      <c r="Q122">
        <f t="shared" si="102"/>
        <v>1.5428398911703783E-4</v>
      </c>
      <c r="R122">
        <f t="shared" si="66"/>
        <v>9.2315663314096311E-2</v>
      </c>
      <c r="S122">
        <f t="shared" si="94"/>
        <v>6.2982974982714953E-5</v>
      </c>
      <c r="T122">
        <f t="shared" si="95"/>
        <v>5.1118815494315421E-4</v>
      </c>
      <c r="U122">
        <f t="shared" si="67"/>
        <v>4031.7491380323668</v>
      </c>
      <c r="V122">
        <f t="shared" si="68"/>
        <v>1410.2</v>
      </c>
      <c r="W122">
        <f t="shared" si="69"/>
        <v>0.12</v>
      </c>
      <c r="X122">
        <f t="shared" si="60"/>
        <v>117.80901039325255</v>
      </c>
      <c r="Y122">
        <f t="shared" si="70"/>
        <v>192.24693678904021</v>
      </c>
      <c r="Z122">
        <f t="shared" si="71"/>
        <v>18162.159796105541</v>
      </c>
      <c r="AA122">
        <f t="shared" si="72"/>
        <v>0</v>
      </c>
      <c r="AB122">
        <f t="shared" si="73"/>
        <v>18747.717842640177</v>
      </c>
      <c r="AC122" s="23">
        <f>IF(B122&gt;$AJ$2,0,HLOOKUP(YEAR(A122),Assumptions!$A$25:$AL$29,4,TRUE)/100)</f>
        <v>6.7179999999999991E-3</v>
      </c>
      <c r="AD122">
        <f t="shared" si="74"/>
        <v>554.52444652344957</v>
      </c>
      <c r="AE122">
        <f t="shared" si="75"/>
        <v>5861.3592835086483</v>
      </c>
      <c r="AF122">
        <f t="shared" si="76"/>
        <v>5840.7669639674632</v>
      </c>
      <c r="AG122">
        <f t="shared" si="77"/>
        <v>6162.1580041441675</v>
      </c>
      <c r="AH122">
        <f t="shared" si="78"/>
        <v>290.49332968252787</v>
      </c>
      <c r="AI122">
        <f t="shared" si="79"/>
        <v>290.05132486168424</v>
      </c>
      <c r="AJ122">
        <f t="shared" si="80"/>
        <v>0</v>
      </c>
      <c r="AK122">
        <f t="shared" si="81"/>
        <v>4.8434394006016985</v>
      </c>
      <c r="AL122">
        <f t="shared" si="82"/>
        <v>39.321516262622197</v>
      </c>
      <c r="AM122">
        <f t="shared" si="61"/>
        <v>0</v>
      </c>
      <c r="AN122">
        <f>IF($S$2=0,0,(SUMPRODUCT($K$2:$R$2,Assumptions!$B$34:$I$34)/$U$2+$J$2/$U$2*Assumptions!$A$34*G122)*K122*O121)</f>
        <v>7.5963547884479334</v>
      </c>
      <c r="AO122">
        <f t="shared" si="83"/>
        <v>0</v>
      </c>
      <c r="AP122">
        <f t="shared" si="84"/>
        <v>0</v>
      </c>
      <c r="AQ122">
        <f>IF(B122&gt;$AJ$2,0,AQ121*(1+Assumptions!$B$43)^(1/12))</f>
        <v>1.0964092919694042</v>
      </c>
      <c r="AR122" s="27">
        <f>IF(B122&gt;$AJ$2,0,(O121+R121)*Assumptions!$B$39/12*AQ121+AV122*Assumptions!$B$41/12)</f>
        <v>7.353962248266054</v>
      </c>
      <c r="AS122">
        <f t="shared" si="85"/>
        <v>67.410210106388362</v>
      </c>
      <c r="AT122" s="28">
        <f t="shared" si="86"/>
        <v>7087.2812209792746</v>
      </c>
      <c r="AU122">
        <f t="shared" si="87"/>
        <v>22.605324945559435</v>
      </c>
      <c r="AV122" s="28">
        <f t="shared" si="88"/>
        <v>7138.8767660679396</v>
      </c>
      <c r="AW122" s="28">
        <f t="shared" si="89"/>
        <v>7181.9216041065383</v>
      </c>
      <c r="AX122" s="23">
        <f>HLOOKUP(YEAR(A122),Assumptions!$A$25:$AL$29,2,TRUE)/100</f>
        <v>1.2718E-2</v>
      </c>
      <c r="AY122" s="29">
        <f>1/(1+HLOOKUP(YEAR(A122),Assumptions!$A$18:$AL$20,3,TRUE))^(1/12)</f>
        <v>0.99892052914934393</v>
      </c>
      <c r="AZ122" s="26">
        <f t="shared" si="90"/>
        <v>5559.5745285593202</v>
      </c>
      <c r="BA122">
        <f t="shared" si="91"/>
        <v>51.761310451671825</v>
      </c>
      <c r="BB122">
        <f t="shared" si="92"/>
        <v>7123.8390693565907</v>
      </c>
      <c r="BC122">
        <f t="shared" si="93"/>
        <v>0</v>
      </c>
    </row>
    <row r="123" spans="1:55" x14ac:dyDescent="0.2">
      <c r="A123" s="3">
        <f t="shared" si="62"/>
        <v>46507</v>
      </c>
      <c r="B123">
        <f t="shared" si="54"/>
        <v>125</v>
      </c>
      <c r="C123">
        <f t="shared" si="96"/>
        <v>10.333333333333334</v>
      </c>
      <c r="D123">
        <f t="shared" si="97"/>
        <v>0</v>
      </c>
      <c r="E123">
        <f t="shared" si="55"/>
        <v>66</v>
      </c>
      <c r="F123">
        <f>IF(C123&gt;=$T$2,0,VLOOKUP($E123,'Mortality Table'!$A$3:$C$128,2+AF$2,FALSE))</f>
        <v>8.1419999999999999E-3</v>
      </c>
      <c r="G123">
        <f>F123*Assumptions!$B$1</f>
        <v>8.1419999999999999E-3</v>
      </c>
      <c r="H123">
        <f t="shared" si="63"/>
        <v>6.8104524207401873E-4</v>
      </c>
      <c r="I123">
        <f t="shared" si="99"/>
        <v>2.365666701114125E-4</v>
      </c>
      <c r="J123">
        <f>IF(B123&gt;$AJ$2,0,HLOOKUP(C123,Assumptions!$A$6:$J$7,2,TRUE))</f>
        <v>6.4199999999999993E-2</v>
      </c>
      <c r="K123" s="4">
        <f t="shared" si="98"/>
        <v>1</v>
      </c>
      <c r="L123" s="4">
        <f t="shared" si="64"/>
        <v>8.3333333333333329E-2</v>
      </c>
      <c r="M123" s="4">
        <f t="shared" si="100"/>
        <v>5.5141990623922554E-3</v>
      </c>
      <c r="N123">
        <f t="shared" si="65"/>
        <v>1.9200439428033818E-3</v>
      </c>
      <c r="O123" s="21">
        <f t="shared" si="101"/>
        <v>0.34600870792607813</v>
      </c>
      <c r="P123">
        <f>IF(B123&gt;$AJ$2,0,HLOOKUP(C123,Assumptions!$A$12:$J$13,2,TRUE))</f>
        <v>5.3E-3</v>
      </c>
      <c r="Q123">
        <f t="shared" si="102"/>
        <v>1.5326085625622381E-4</v>
      </c>
      <c r="R123">
        <f t="shared" si="66"/>
        <v>9.189735276699211E-2</v>
      </c>
      <c r="S123">
        <f t="shared" si="94"/>
        <v>6.2697801269339683E-5</v>
      </c>
      <c r="T123">
        <f t="shared" si="95"/>
        <v>5.088736020910764E-4</v>
      </c>
      <c r="U123">
        <f t="shared" si="67"/>
        <v>4031.7491380323668</v>
      </c>
      <c r="V123">
        <f t="shared" si="68"/>
        <v>1410.2</v>
      </c>
      <c r="W123">
        <f t="shared" si="69"/>
        <v>0.12</v>
      </c>
      <c r="X123">
        <f t="shared" si="60"/>
        <v>117.02776101978786</v>
      </c>
      <c r="Y123">
        <f t="shared" si="70"/>
        <v>192.24693678904021</v>
      </c>
      <c r="Z123">
        <f t="shared" si="71"/>
        <v>18354.406732894582</v>
      </c>
      <c r="AA123">
        <f t="shared" si="72"/>
        <v>0</v>
      </c>
      <c r="AB123">
        <f t="shared" si="73"/>
        <v>18950.535494280884</v>
      </c>
      <c r="AC123" s="23">
        <f>IF(B123&gt;$AJ$2,0,HLOOKUP(YEAR(A123),Assumptions!$A$25:$AL$29,4,TRUE)/100)</f>
        <v>6.7179999999999991E-3</v>
      </c>
      <c r="AD123">
        <f t="shared" si="74"/>
        <v>554.52444652344957</v>
      </c>
      <c r="AE123">
        <f t="shared" si="75"/>
        <v>5882.194433724535</v>
      </c>
      <c r="AF123">
        <f t="shared" si="76"/>
        <v>5861.3592835086483</v>
      </c>
      <c r="AG123">
        <f t="shared" si="77"/>
        <v>6186.9191569325121</v>
      </c>
      <c r="AH123">
        <f t="shared" si="78"/>
        <v>290.9336648372078</v>
      </c>
      <c r="AI123">
        <f t="shared" si="79"/>
        <v>290.49332968252787</v>
      </c>
      <c r="AJ123">
        <f t="shared" si="80"/>
        <v>0</v>
      </c>
      <c r="AK123">
        <f t="shared" si="81"/>
        <v>4.8589305170609167</v>
      </c>
      <c r="AL123">
        <f t="shared" si="82"/>
        <v>39.447320707612349</v>
      </c>
      <c r="AM123">
        <f t="shared" si="61"/>
        <v>0</v>
      </c>
      <c r="AN123">
        <f>IF($S$2=0,0,(SUMPRODUCT($K$2:$R$2,Assumptions!$B$34:$I$34)/$U$2+$J$2/$U$2*Assumptions!$A$34*G123)*K123*O122)</f>
        <v>7.5459796312398364</v>
      </c>
      <c r="AO123">
        <f t="shared" si="83"/>
        <v>0</v>
      </c>
      <c r="AP123">
        <f t="shared" si="84"/>
        <v>0</v>
      </c>
      <c r="AQ123">
        <f>IF(B123&gt;$AJ$2,0,AQ122*(1+Assumptions!$B$43)^(1/12))</f>
        <v>1.0973188052660161</v>
      </c>
      <c r="AR123" s="27">
        <f>IF(B123&gt;$AJ$2,0,(O122+R122)*Assumptions!$B$39/12*AQ122+AV123*Assumptions!$B$41/12)</f>
        <v>7.3299598333497658</v>
      </c>
      <c r="AS123">
        <f t="shared" si="85"/>
        <v>66.963179915446744</v>
      </c>
      <c r="AT123" s="28">
        <f t="shared" si="86"/>
        <v>7109.9489762029252</v>
      </c>
      <c r="AU123">
        <f t="shared" si="87"/>
        <v>30.204687370337446</v>
      </c>
      <c r="AV123" s="28">
        <f t="shared" si="88"/>
        <v>7169.3037462090406</v>
      </c>
      <c r="AW123" s="28">
        <f t="shared" si="89"/>
        <v>7212.0383674800323</v>
      </c>
      <c r="AX123" s="23">
        <f>HLOOKUP(YEAR(A123),Assumptions!$A$25:$AL$29,2,TRUE)/100</f>
        <v>1.2718E-2</v>
      </c>
      <c r="AY123" s="29">
        <f>1/(1+HLOOKUP(YEAR(A123),Assumptions!$A$18:$AL$20,3,TRUE))^(1/12)</f>
        <v>0.99892052914934393</v>
      </c>
      <c r="AZ123" s="26">
        <f t="shared" si="90"/>
        <v>5623.4279828711069</v>
      </c>
      <c r="BA123">
        <f t="shared" si="91"/>
        <v>51.852230855913106</v>
      </c>
      <c r="BB123">
        <f t="shared" si="92"/>
        <v>7146.6984212634816</v>
      </c>
      <c r="BC123">
        <f t="shared" si="93"/>
        <v>0</v>
      </c>
    </row>
    <row r="124" spans="1:55" x14ac:dyDescent="0.2">
      <c r="A124" s="3">
        <f t="shared" si="62"/>
        <v>46538</v>
      </c>
      <c r="B124">
        <f t="shared" si="54"/>
        <v>126</v>
      </c>
      <c r="C124">
        <f t="shared" si="96"/>
        <v>10.416666666666666</v>
      </c>
      <c r="D124">
        <f t="shared" si="97"/>
        <v>0</v>
      </c>
      <c r="E124">
        <f t="shared" si="55"/>
        <v>66</v>
      </c>
      <c r="F124">
        <f>IF(C124&gt;=$T$2,0,VLOOKUP($E124,'Mortality Table'!$A$3:$C$128,2+AF$2,FALSE))</f>
        <v>8.1419999999999999E-3</v>
      </c>
      <c r="G124">
        <f>F124*Assumptions!$B$1</f>
        <v>8.1419999999999999E-3</v>
      </c>
      <c r="H124">
        <f t="shared" si="63"/>
        <v>6.8104524207401873E-4</v>
      </c>
      <c r="I124">
        <f t="shared" si="99"/>
        <v>2.3499788040517327E-4</v>
      </c>
      <c r="J124">
        <f>IF(B124&gt;$AJ$2,0,HLOOKUP(C124,Assumptions!$A$6:$J$7,2,TRUE))</f>
        <v>6.4199999999999993E-2</v>
      </c>
      <c r="K124" s="4">
        <f t="shared" si="98"/>
        <v>1</v>
      </c>
      <c r="L124" s="4">
        <f t="shared" si="64"/>
        <v>8.3333333333333329E-2</v>
      </c>
      <c r="M124" s="4">
        <f t="shared" si="100"/>
        <v>5.5141990623922554E-3</v>
      </c>
      <c r="N124">
        <f t="shared" si="65"/>
        <v>1.9073111889814746E-3</v>
      </c>
      <c r="O124" s="21">
        <f t="shared" si="101"/>
        <v>0.34371415434839991</v>
      </c>
      <c r="P124">
        <f>IF(B124&gt;$AJ$2,0,HLOOKUP(C124,Assumptions!$A$12:$J$13,2,TRUE))</f>
        <v>5.3E-3</v>
      </c>
      <c r="Q124">
        <f t="shared" si="102"/>
        <v>1.5224450829160591E-4</v>
      </c>
      <c r="R124">
        <f t="shared" si="66"/>
        <v>9.1480615837026338E-2</v>
      </c>
      <c r="S124">
        <f t="shared" si="94"/>
        <v>6.2413698327220621E-5</v>
      </c>
      <c r="T124">
        <f t="shared" si="95"/>
        <v>5.0656773993014122E-4</v>
      </c>
      <c r="U124">
        <f t="shared" si="67"/>
        <v>4031.7491380323668</v>
      </c>
      <c r="V124">
        <f t="shared" si="68"/>
        <v>1410.2</v>
      </c>
      <c r="W124">
        <f t="shared" si="69"/>
        <v>0.12</v>
      </c>
      <c r="X124">
        <f t="shared" si="60"/>
        <v>116.25169249438821</v>
      </c>
      <c r="Y124">
        <f t="shared" si="70"/>
        <v>192.24693678904021</v>
      </c>
      <c r="Z124">
        <f t="shared" si="71"/>
        <v>18546.653669683623</v>
      </c>
      <c r="AA124">
        <f t="shared" si="72"/>
        <v>0</v>
      </c>
      <c r="AB124">
        <f t="shared" si="73"/>
        <v>19153.46634188512</v>
      </c>
      <c r="AC124" s="23">
        <f>IF(B124&gt;$AJ$2,0,HLOOKUP(YEAR(A124),Assumptions!$A$25:$AL$29,4,TRUE)/100)</f>
        <v>6.7179999999999991E-3</v>
      </c>
      <c r="AD124">
        <f t="shared" si="74"/>
        <v>554.52444652344957</v>
      </c>
      <c r="AE124">
        <f t="shared" si="75"/>
        <v>5903.2709683708763</v>
      </c>
      <c r="AF124">
        <f t="shared" si="76"/>
        <v>5882.194433724535</v>
      </c>
      <c r="AG124">
        <f t="shared" si="77"/>
        <v>6211.9457121538971</v>
      </c>
      <c r="AH124">
        <f t="shared" si="78"/>
        <v>291.37233972566196</v>
      </c>
      <c r="AI124">
        <f t="shared" si="79"/>
        <v>290.9336648372078</v>
      </c>
      <c r="AJ124">
        <f t="shared" si="80"/>
        <v>0</v>
      </c>
      <c r="AK124">
        <f t="shared" si="81"/>
        <v>4.8740241254292647</v>
      </c>
      <c r="AL124">
        <f t="shared" si="82"/>
        <v>39.569897204025672</v>
      </c>
      <c r="AM124">
        <f t="shared" si="61"/>
        <v>0</v>
      </c>
      <c r="AN124">
        <f>IF($S$2=0,0,(SUMPRODUCT($K$2:$R$2,Assumptions!$B$34:$I$34)/$U$2+$J$2/$U$2*Assumptions!$A$34*G124)*K124*O123)</f>
        <v>7.4959385364254025</v>
      </c>
      <c r="AO124">
        <f t="shared" si="83"/>
        <v>0</v>
      </c>
      <c r="AP124">
        <f t="shared" si="84"/>
        <v>0</v>
      </c>
      <c r="AQ124">
        <f>IF(B124&gt;$AJ$2,0,AQ123*(1+Assumptions!$B$43)^(1/12))</f>
        <v>1.0982290730385731</v>
      </c>
      <c r="AR124" s="27">
        <f>IF(B124&gt;$AJ$2,0,(O123+R123)*Assumptions!$B$39/12*AQ123+AV124*Assumptions!$B$41/12)</f>
        <v>7.3059983603337377</v>
      </c>
      <c r="AS124">
        <f t="shared" si="85"/>
        <v>66.519114201122221</v>
      </c>
      <c r="AT124" s="28">
        <f t="shared" si="86"/>
        <v>7132.035067985662</v>
      </c>
      <c r="AU124">
        <f t="shared" si="87"/>
        <v>37.835202644207222</v>
      </c>
      <c r="AV124" s="28">
        <f t="shared" si="88"/>
        <v>7199.1768392379599</v>
      </c>
      <c r="AW124" s="28">
        <f t="shared" si="89"/>
        <v>7241.6034191708923</v>
      </c>
      <c r="AX124" s="23">
        <f>HLOOKUP(YEAR(A124),Assumptions!$A$25:$AL$29,2,TRUE)/100</f>
        <v>1.2718E-2</v>
      </c>
      <c r="AY124" s="29">
        <f>1/(1+HLOOKUP(YEAR(A124),Assumptions!$A$18:$AL$20,3,TRUE))^(1/12)</f>
        <v>0.99892052914934393</v>
      </c>
      <c r="AZ124" s="26">
        <f t="shared" si="90"/>
        <v>5686.5107035492974</v>
      </c>
      <c r="BA124">
        <f t="shared" si="91"/>
        <v>51.939859865880337</v>
      </c>
      <c r="BB124">
        <f t="shared" si="92"/>
        <v>7168.9721518676224</v>
      </c>
      <c r="BC124">
        <f t="shared" si="93"/>
        <v>0</v>
      </c>
    </row>
    <row r="125" spans="1:55" x14ac:dyDescent="0.2">
      <c r="A125" s="3">
        <f t="shared" si="62"/>
        <v>46568</v>
      </c>
      <c r="B125">
        <f t="shared" si="54"/>
        <v>127</v>
      </c>
      <c r="C125">
        <f t="shared" si="96"/>
        <v>10.5</v>
      </c>
      <c r="D125">
        <f t="shared" si="97"/>
        <v>0</v>
      </c>
      <c r="E125">
        <f t="shared" si="55"/>
        <v>66</v>
      </c>
      <c r="F125">
        <f>IF(C125&gt;=$T$2,0,VLOOKUP($E125,'Mortality Table'!$A$3:$C$128,2+AF$2,FALSE))</f>
        <v>8.1419999999999999E-3</v>
      </c>
      <c r="G125">
        <f>F125*Assumptions!$B$1</f>
        <v>8.1419999999999999E-3</v>
      </c>
      <c r="H125">
        <f t="shared" si="63"/>
        <v>6.8104524207401873E-4</v>
      </c>
      <c r="I125">
        <f t="shared" si="99"/>
        <v>2.3343949411350315E-4</v>
      </c>
      <c r="J125">
        <f>IF(B125&gt;$AJ$2,0,HLOOKUP(C125,Assumptions!$A$6:$J$7,2,TRUE))</f>
        <v>6.4199999999999993E-2</v>
      </c>
      <c r="K125" s="4">
        <f t="shared" si="98"/>
        <v>1</v>
      </c>
      <c r="L125" s="4">
        <f t="shared" si="64"/>
        <v>8.3333333333333329E-2</v>
      </c>
      <c r="M125" s="4">
        <f t="shared" si="100"/>
        <v>5.5141990623922554E-3</v>
      </c>
      <c r="N125">
        <f t="shared" si="65"/>
        <v>1.8946628722999242E-3</v>
      </c>
      <c r="O125" s="21">
        <f t="shared" si="101"/>
        <v>0.34143481708175721</v>
      </c>
      <c r="P125">
        <f>IF(B125&gt;$AJ$2,0,HLOOKUP(C125,Assumptions!$A$12:$J$13,2,TRUE))</f>
        <v>5.3E-3</v>
      </c>
      <c r="Q125">
        <f t="shared" si="102"/>
        <v>1.5123490022920705E-4</v>
      </c>
      <c r="R125">
        <f t="shared" si="66"/>
        <v>9.1065449521068223E-2</v>
      </c>
      <c r="S125">
        <f t="shared" si="94"/>
        <v>6.2130664134770646E-5</v>
      </c>
      <c r="T125">
        <f t="shared" si="95"/>
        <v>5.042705520525595E-4</v>
      </c>
      <c r="U125">
        <f t="shared" si="67"/>
        <v>4031.7491380323668</v>
      </c>
      <c r="V125">
        <f t="shared" si="68"/>
        <v>1410.2</v>
      </c>
      <c r="W125">
        <f t="shared" si="69"/>
        <v>0.12</v>
      </c>
      <c r="X125">
        <f t="shared" si="60"/>
        <v>115.48077046030711</v>
      </c>
      <c r="Y125">
        <f t="shared" si="70"/>
        <v>192.24693678904021</v>
      </c>
      <c r="Z125">
        <f t="shared" si="71"/>
        <v>18738.900606472664</v>
      </c>
      <c r="AA125">
        <f t="shared" si="72"/>
        <v>0</v>
      </c>
      <c r="AB125">
        <f t="shared" si="73"/>
        <v>19356.510448629466</v>
      </c>
      <c r="AC125" s="23">
        <f>IF(B125&gt;$AJ$2,0,HLOOKUP(YEAR(A125),Assumptions!$A$25:$AL$29,4,TRUE)/100)</f>
        <v>6.7179999999999991E-3</v>
      </c>
      <c r="AD125">
        <f t="shared" si="74"/>
        <v>554.52444652344957</v>
      </c>
      <c r="AE125">
        <f t="shared" si="75"/>
        <v>5924.5874520417592</v>
      </c>
      <c r="AF125">
        <f t="shared" si="76"/>
        <v>5903.2709683708763</v>
      </c>
      <c r="AG125">
        <f t="shared" si="77"/>
        <v>6237.2364871450109</v>
      </c>
      <c r="AH125">
        <f t="shared" si="78"/>
        <v>291.80936367740185</v>
      </c>
      <c r="AI125">
        <f t="shared" si="79"/>
        <v>291.37233972566196</v>
      </c>
      <c r="AJ125">
        <f t="shared" si="80"/>
        <v>0</v>
      </c>
      <c r="AK125">
        <f t="shared" si="81"/>
        <v>4.888724686898251</v>
      </c>
      <c r="AL125">
        <f t="shared" si="82"/>
        <v>39.689281981453412</v>
      </c>
      <c r="AM125">
        <f t="shared" si="61"/>
        <v>0</v>
      </c>
      <c r="AN125">
        <f>IF($S$2=0,0,(SUMPRODUCT($K$2:$R$2,Assumptions!$B$34:$I$34)/$U$2+$J$2/$U$2*Assumptions!$A$34*G125)*K125*O124)</f>
        <v>7.4462292886729289</v>
      </c>
      <c r="AO125">
        <f t="shared" si="83"/>
        <v>0</v>
      </c>
      <c r="AP125">
        <f t="shared" si="84"/>
        <v>0</v>
      </c>
      <c r="AQ125">
        <f>IF(B125&gt;$AJ$2,0,AQ124*(1+Assumptions!$B$43)^(1/12))</f>
        <v>1.0991400959129416</v>
      </c>
      <c r="AR125" s="27">
        <f>IF(B125&gt;$AJ$2,0,(O124+R124)*Assumptions!$B$39/12*AQ124+AV125*Assumptions!$B$41/12)</f>
        <v>7.2820782882436612</v>
      </c>
      <c r="AS125">
        <f t="shared" si="85"/>
        <v>66.077993304515246</v>
      </c>
      <c r="AT125" s="28">
        <f t="shared" si="86"/>
        <v>7153.5460242751224</v>
      </c>
      <c r="AU125">
        <f t="shared" si="87"/>
        <v>45.496295720879687</v>
      </c>
      <c r="AV125" s="28">
        <f t="shared" si="88"/>
        <v>7228.5020346457113</v>
      </c>
      <c r="AW125" s="28">
        <f t="shared" si="89"/>
        <v>7270.6227335132598</v>
      </c>
      <c r="AX125" s="23">
        <f>HLOOKUP(YEAR(A125),Assumptions!$A$25:$AL$29,2,TRUE)/100</f>
        <v>1.2718E-2</v>
      </c>
      <c r="AY125" s="29">
        <f>1/(1+HLOOKUP(YEAR(A125),Assumptions!$A$18:$AL$20,3,TRUE))^(1/12)</f>
        <v>0.99892052914934393</v>
      </c>
      <c r="AZ125" s="26">
        <f t="shared" si="90"/>
        <v>5748.8302157195412</v>
      </c>
      <c r="BA125">
        <f t="shared" si="91"/>
        <v>52.024235957024594</v>
      </c>
      <c r="BB125">
        <f t="shared" si="92"/>
        <v>7190.6668320015042</v>
      </c>
      <c r="BC125">
        <f t="shared" si="93"/>
        <v>0</v>
      </c>
    </row>
    <row r="126" spans="1:55" x14ac:dyDescent="0.2">
      <c r="A126" s="3">
        <f t="shared" si="62"/>
        <v>46599</v>
      </c>
      <c r="B126">
        <f t="shared" si="54"/>
        <v>128</v>
      </c>
      <c r="C126">
        <f t="shared" si="96"/>
        <v>10.583333333333334</v>
      </c>
      <c r="D126">
        <f t="shared" si="97"/>
        <v>0</v>
      </c>
      <c r="E126">
        <f t="shared" si="55"/>
        <v>66</v>
      </c>
      <c r="F126">
        <f>IF(C126&gt;=$T$2,0,VLOOKUP($E126,'Mortality Table'!$A$3:$C$128,2+AF$2,FALSE))</f>
        <v>8.1419999999999999E-3</v>
      </c>
      <c r="G126">
        <f>F126*Assumptions!$B$1</f>
        <v>8.1419999999999999E-3</v>
      </c>
      <c r="H126">
        <f t="shared" si="63"/>
        <v>6.8104524207401873E-4</v>
      </c>
      <c r="I126">
        <f t="shared" si="99"/>
        <v>2.3189144224625364E-4</v>
      </c>
      <c r="J126">
        <f>IF(B126&gt;$AJ$2,0,HLOOKUP(C126,Assumptions!$A$6:$J$7,2,TRUE))</f>
        <v>6.4199999999999993E-2</v>
      </c>
      <c r="K126" s="4">
        <f t="shared" si="98"/>
        <v>1</v>
      </c>
      <c r="L126" s="4">
        <f t="shared" si="64"/>
        <v>8.3333333333333329E-2</v>
      </c>
      <c r="M126" s="4">
        <f t="shared" si="100"/>
        <v>5.5141990623922554E-3</v>
      </c>
      <c r="N126">
        <f t="shared" si="65"/>
        <v>1.8820984328146069E-3</v>
      </c>
      <c r="O126" s="21">
        <f t="shared" si="101"/>
        <v>0.33917059521932291</v>
      </c>
      <c r="P126">
        <f>IF(B126&gt;$AJ$2,0,HLOOKUP(C126,Assumptions!$A$12:$J$13,2,TRUE))</f>
        <v>5.3E-3</v>
      </c>
      <c r="Q126">
        <f t="shared" si="102"/>
        <v>1.5023198737342745E-4</v>
      </c>
      <c r="R126">
        <f t="shared" si="66"/>
        <v>9.0651850789885177E-2</v>
      </c>
      <c r="S126">
        <f t="shared" si="94"/>
        <v>6.1848696652360861E-5</v>
      </c>
      <c r="T126">
        <f t="shared" si="95"/>
        <v>5.0198202190410927E-4</v>
      </c>
      <c r="U126">
        <f t="shared" si="67"/>
        <v>4031.7491380323668</v>
      </c>
      <c r="V126">
        <f t="shared" si="68"/>
        <v>1410.2</v>
      </c>
      <c r="W126">
        <f t="shared" si="69"/>
        <v>0.12</v>
      </c>
      <c r="X126">
        <f t="shared" si="60"/>
        <v>114.71496078863446</v>
      </c>
      <c r="Y126">
        <f t="shared" si="70"/>
        <v>192.24693678904021</v>
      </c>
      <c r="Z126">
        <f t="shared" si="71"/>
        <v>18931.147543261704</v>
      </c>
      <c r="AA126">
        <f t="shared" si="72"/>
        <v>0</v>
      </c>
      <c r="AB126">
        <f t="shared" si="73"/>
        <v>19559.667877725766</v>
      </c>
      <c r="AC126" s="23">
        <f>IF(B126&gt;$AJ$2,0,HLOOKUP(YEAR(A126),Assumptions!$A$25:$AL$29,4,TRUE)/100)</f>
        <v>6.7179999999999991E-3</v>
      </c>
      <c r="AD126">
        <f t="shared" si="74"/>
        <v>554.52444652344957</v>
      </c>
      <c r="AE126">
        <f t="shared" si="75"/>
        <v>5946.1424600682894</v>
      </c>
      <c r="AF126">
        <f t="shared" si="76"/>
        <v>5924.5874520417592</v>
      </c>
      <c r="AG126">
        <f t="shared" si="77"/>
        <v>6262.7903083190085</v>
      </c>
      <c r="AH126">
        <f t="shared" si="78"/>
        <v>292.244745952171</v>
      </c>
      <c r="AI126">
        <f t="shared" si="79"/>
        <v>291.80936367740185</v>
      </c>
      <c r="AJ126">
        <f t="shared" si="80"/>
        <v>0</v>
      </c>
      <c r="AK126">
        <f t="shared" si="81"/>
        <v>4.903036621774822</v>
      </c>
      <c r="AL126">
        <f t="shared" si="82"/>
        <v>39.805510937412997</v>
      </c>
      <c r="AM126">
        <f t="shared" si="61"/>
        <v>0</v>
      </c>
      <c r="AN126">
        <f>IF($S$2=0,0,(SUMPRODUCT($K$2:$R$2,Assumptions!$B$34:$I$34)/$U$2+$J$2/$U$2*Assumptions!$A$34*G126)*K126*O125)</f>
        <v>7.3968496873416587</v>
      </c>
      <c r="AO126">
        <f t="shared" si="83"/>
        <v>0</v>
      </c>
      <c r="AP126">
        <f t="shared" si="84"/>
        <v>0</v>
      </c>
      <c r="AQ126">
        <f>IF(B126&gt;$AJ$2,0,AQ125*(1+Assumptions!$B$43)^(1/12))</f>
        <v>1.1000518745155075</v>
      </c>
      <c r="AR126" s="27">
        <f>IF(B126&gt;$AJ$2,0,(O125+R125)*Assumptions!$B$39/12*AQ125+AV126*Assumptions!$B$41/12)</f>
        <v>7.2582000687430233</v>
      </c>
      <c r="AS126">
        <f t="shared" si="85"/>
        <v>65.639797697094082</v>
      </c>
      <c r="AT126" s="28">
        <f t="shared" si="86"/>
        <v>7174.4883131936149</v>
      </c>
      <c r="AU126">
        <f t="shared" si="87"/>
        <v>53.187397792550037</v>
      </c>
      <c r="AV126" s="28">
        <f t="shared" si="88"/>
        <v>7257.2852680057549</v>
      </c>
      <c r="AW126" s="28">
        <f t="shared" si="89"/>
        <v>7299.1022310285516</v>
      </c>
      <c r="AX126" s="23">
        <f>HLOOKUP(YEAR(A126),Assumptions!$A$25:$AL$29,2,TRUE)/100</f>
        <v>1.2718E-2</v>
      </c>
      <c r="AY126" s="29">
        <f>1/(1+HLOOKUP(YEAR(A126),Assumptions!$A$18:$AL$20,3,TRUE))^(1/12)</f>
        <v>0.99892052914934393</v>
      </c>
      <c r="AZ126" s="26">
        <f t="shared" si="90"/>
        <v>5810.393979941663</v>
      </c>
      <c r="BA126">
        <f t="shared" si="91"/>
        <v>52.105397246529478</v>
      </c>
      <c r="BB126">
        <f t="shared" si="92"/>
        <v>7211.7889722848749</v>
      </c>
      <c r="BC126">
        <f t="shared" si="93"/>
        <v>0</v>
      </c>
    </row>
    <row r="127" spans="1:55" x14ac:dyDescent="0.2">
      <c r="A127" s="3">
        <f t="shared" si="62"/>
        <v>46630</v>
      </c>
      <c r="B127">
        <f t="shared" si="54"/>
        <v>129</v>
      </c>
      <c r="C127">
        <f t="shared" si="96"/>
        <v>10.666666666666666</v>
      </c>
      <c r="D127">
        <f t="shared" si="97"/>
        <v>0</v>
      </c>
      <c r="E127">
        <f t="shared" si="55"/>
        <v>66</v>
      </c>
      <c r="F127">
        <f>IF(C127&gt;=$T$2,0,VLOOKUP($E127,'Mortality Table'!$A$3:$C$128,2+AF$2,FALSE))</f>
        <v>8.1419999999999999E-3</v>
      </c>
      <c r="G127">
        <f>F127*Assumptions!$B$1</f>
        <v>8.1419999999999999E-3</v>
      </c>
      <c r="H127">
        <f t="shared" si="63"/>
        <v>6.8104524207401873E-4</v>
      </c>
      <c r="I127">
        <f t="shared" si="99"/>
        <v>2.3035365627078395E-4</v>
      </c>
      <c r="J127">
        <f>IF(B127&gt;$AJ$2,0,HLOOKUP(C127,Assumptions!$A$6:$J$7,2,TRUE))</f>
        <v>6.4199999999999993E-2</v>
      </c>
      <c r="K127" s="4">
        <f t="shared" si="98"/>
        <v>1</v>
      </c>
      <c r="L127" s="4">
        <f t="shared" si="64"/>
        <v>8.3333333333333329E-2</v>
      </c>
      <c r="M127" s="4">
        <f t="shared" si="100"/>
        <v>5.5141990623922554E-3</v>
      </c>
      <c r="N127">
        <f t="shared" si="65"/>
        <v>1.8696173142946648E-3</v>
      </c>
      <c r="O127" s="21">
        <f t="shared" si="101"/>
        <v>0.3369213885234324</v>
      </c>
      <c r="P127">
        <f>IF(B127&gt;$AJ$2,0,HLOOKUP(C127,Assumptions!$A$12:$J$13,2,TRUE))</f>
        <v>5.3E-3</v>
      </c>
      <c r="Q127">
        <f t="shared" si="102"/>
        <v>1.4923572532506577E-4</v>
      </c>
      <c r="R127">
        <f t="shared" si="66"/>
        <v>9.0239816588600918E-2</v>
      </c>
      <c r="S127">
        <f t="shared" si="94"/>
        <v>6.1567793822634825E-5</v>
      </c>
      <c r="T127">
        <f t="shared" si="95"/>
        <v>4.9970213278668712E-4</v>
      </c>
      <c r="U127">
        <f t="shared" si="67"/>
        <v>4031.7491380323668</v>
      </c>
      <c r="V127">
        <f t="shared" si="68"/>
        <v>1410.2</v>
      </c>
      <c r="W127">
        <f t="shared" si="69"/>
        <v>0.12</v>
      </c>
      <c r="X127">
        <f t="shared" si="60"/>
        <v>113.95422957678583</v>
      </c>
      <c r="Y127">
        <f t="shared" si="70"/>
        <v>192.24693678904021</v>
      </c>
      <c r="Z127">
        <f t="shared" si="71"/>
        <v>19123.394480050745</v>
      </c>
      <c r="AA127">
        <f t="shared" si="72"/>
        <v>0</v>
      </c>
      <c r="AB127">
        <f t="shared" si="73"/>
        <v>19762.938692421139</v>
      </c>
      <c r="AC127" s="23">
        <f>IF(B127&gt;$AJ$2,0,HLOOKUP(YEAR(A127),Assumptions!$A$25:$AL$29,4,TRUE)/100)</f>
        <v>6.7179999999999991E-3</v>
      </c>
      <c r="AD127">
        <f t="shared" si="74"/>
        <v>554.52444652344957</v>
      </c>
      <c r="AE127">
        <f t="shared" si="75"/>
        <v>5967.9345784184252</v>
      </c>
      <c r="AF127">
        <f t="shared" si="76"/>
        <v>5946.1424600682894</v>
      </c>
      <c r="AG127">
        <f t="shared" si="77"/>
        <v>6288.6060110809876</v>
      </c>
      <c r="AH127">
        <f t="shared" si="78"/>
        <v>292.67849574059579</v>
      </c>
      <c r="AI127">
        <f t="shared" si="79"/>
        <v>292.244745952171</v>
      </c>
      <c r="AJ127">
        <f t="shared" si="80"/>
        <v>0</v>
      </c>
      <c r="AK127">
        <f t="shared" si="81"/>
        <v>4.9169643098224567</v>
      </c>
      <c r="AL127">
        <f t="shared" si="82"/>
        <v>39.918619640119275</v>
      </c>
      <c r="AM127">
        <f t="shared" si="61"/>
        <v>0</v>
      </c>
      <c r="AN127">
        <f>IF($S$2=0,0,(SUMPRODUCT($K$2:$R$2,Assumptions!$B$34:$I$34)/$U$2+$J$2/$U$2*Assumptions!$A$34*G127)*K127*O126)</f>
        <v>7.3477975463843732</v>
      </c>
      <c r="AO127">
        <f t="shared" si="83"/>
        <v>0</v>
      </c>
      <c r="AP127">
        <f t="shared" si="84"/>
        <v>0</v>
      </c>
      <c r="AQ127">
        <f>IF(B127&gt;$AJ$2,0,AQ126*(1+Assumptions!$B$43)^(1/12))</f>
        <v>1.1009644094731761</v>
      </c>
      <c r="AR127" s="27">
        <f>IF(B127&gt;$AJ$2,0,(O126+R126)*Assumptions!$B$39/12*AQ126+AV127*Assumptions!$B$41/12)</f>
        <v>7.2343641462077724</v>
      </c>
      <c r="AS127">
        <f t="shared" si="85"/>
        <v>65.204507979830311</v>
      </c>
      <c r="AT127" s="28">
        <f t="shared" si="86"/>
        <v>7194.8683435372159</v>
      </c>
      <c r="AU127">
        <f t="shared" si="87"/>
        <v>60.907946233663793</v>
      </c>
      <c r="AV127" s="28">
        <f t="shared" si="88"/>
        <v>7285.5324214196098</v>
      </c>
      <c r="AW127" s="28">
        <f t="shared" si="89"/>
        <v>7327.0477788703583</v>
      </c>
      <c r="AX127" s="23">
        <f>HLOOKUP(YEAR(A127),Assumptions!$A$25:$AL$29,2,TRUE)/100</f>
        <v>1.2718E-2</v>
      </c>
      <c r="AY127" s="29">
        <f>1/(1+HLOOKUP(YEAR(A127),Assumptions!$A$18:$AL$20,3,TRUE))^(1/12)</f>
        <v>0.99892052914934393</v>
      </c>
      <c r="AZ127" s="26">
        <f t="shared" si="90"/>
        <v>5871.2093927287597</v>
      </c>
      <c r="BA127">
        <f t="shared" si="91"/>
        <v>52.183381496326099</v>
      </c>
      <c r="BB127">
        <f t="shared" si="92"/>
        <v>7232.3450236270601</v>
      </c>
      <c r="BC127">
        <f t="shared" si="93"/>
        <v>0</v>
      </c>
    </row>
    <row r="128" spans="1:55" x14ac:dyDescent="0.2">
      <c r="A128" s="3">
        <f t="shared" si="62"/>
        <v>46660</v>
      </c>
      <c r="B128">
        <f t="shared" si="54"/>
        <v>130</v>
      </c>
      <c r="C128">
        <f t="shared" si="96"/>
        <v>10.75</v>
      </c>
      <c r="D128">
        <f t="shared" si="97"/>
        <v>0</v>
      </c>
      <c r="E128">
        <f t="shared" si="55"/>
        <v>66</v>
      </c>
      <c r="F128">
        <f>IF(C128&gt;=$T$2,0,VLOOKUP($E128,'Mortality Table'!$A$3:$C$128,2+AF$2,FALSE))</f>
        <v>8.1419999999999999E-3</v>
      </c>
      <c r="G128">
        <f>F128*Assumptions!$B$1</f>
        <v>8.1419999999999999E-3</v>
      </c>
      <c r="H128">
        <f t="shared" si="63"/>
        <v>6.8104524207401873E-4</v>
      </c>
      <c r="I128">
        <f t="shared" si="99"/>
        <v>2.2882606810892671E-4</v>
      </c>
      <c r="J128">
        <f>IF(B128&gt;$AJ$2,0,HLOOKUP(C128,Assumptions!$A$6:$J$7,2,TRUE))</f>
        <v>6.4199999999999993E-2</v>
      </c>
      <c r="K128" s="4">
        <f t="shared" si="98"/>
        <v>1</v>
      </c>
      <c r="L128" s="4">
        <f t="shared" si="64"/>
        <v>8.3333333333333329E-2</v>
      </c>
      <c r="M128" s="4">
        <f t="shared" si="100"/>
        <v>5.5141990623922554E-3</v>
      </c>
      <c r="N128">
        <f t="shared" si="65"/>
        <v>1.857218964197879E-3</v>
      </c>
      <c r="O128" s="21">
        <f t="shared" si="101"/>
        <v>0.33468709742114622</v>
      </c>
      <c r="P128">
        <f>IF(B128&gt;$AJ$2,0,HLOOKUP(C128,Assumptions!$A$12:$J$13,2,TRUE))</f>
        <v>5.3E-3</v>
      </c>
      <c r="Q128">
        <f t="shared" si="102"/>
        <v>1.4824606997935352E-4</v>
      </c>
      <c r="R128">
        <f t="shared" si="66"/>
        <v>8.982934383714862E-2</v>
      </c>
      <c r="S128">
        <f t="shared" si="94"/>
        <v>6.1287953570819757E-5</v>
      </c>
      <c r="T128">
        <f t="shared" si="95"/>
        <v>4.9743086786083331E-4</v>
      </c>
      <c r="U128">
        <f t="shared" si="67"/>
        <v>4031.7491380323668</v>
      </c>
      <c r="V128">
        <f t="shared" si="68"/>
        <v>1410.2</v>
      </c>
      <c r="W128">
        <f t="shared" si="69"/>
        <v>0.12</v>
      </c>
      <c r="X128">
        <f t="shared" si="60"/>
        <v>113.1985431470014</v>
      </c>
      <c r="Y128">
        <f t="shared" si="70"/>
        <v>192.24693678904021</v>
      </c>
      <c r="Z128">
        <f t="shared" si="71"/>
        <v>19315.641416839786</v>
      </c>
      <c r="AA128">
        <f t="shared" si="72"/>
        <v>0</v>
      </c>
      <c r="AB128">
        <f t="shared" si="73"/>
        <v>19966.32295599801</v>
      </c>
      <c r="AC128" s="23">
        <f>IF(B128&gt;$AJ$2,0,HLOOKUP(YEAR(A128),Assumptions!$A$25:$AL$29,4,TRUE)/100)</f>
        <v>6.7179999999999991E-3</v>
      </c>
      <c r="AD128">
        <f t="shared" si="74"/>
        <v>554.52444652344957</v>
      </c>
      <c r="AE128">
        <f t="shared" si="75"/>
        <v>5989.9624035979095</v>
      </c>
      <c r="AF128">
        <f t="shared" si="76"/>
        <v>5967.9345784184252</v>
      </c>
      <c r="AG128">
        <f t="shared" si="77"/>
        <v>6314.6824397443988</v>
      </c>
      <c r="AH128">
        <f t="shared" si="78"/>
        <v>293.11062216482901</v>
      </c>
      <c r="AI128">
        <f t="shared" si="79"/>
        <v>292.67849574059579</v>
      </c>
      <c r="AJ128">
        <f t="shared" si="80"/>
        <v>0</v>
      </c>
      <c r="AK128">
        <f t="shared" si="81"/>
        <v>4.9305120905995512</v>
      </c>
      <c r="AL128">
        <f t="shared" si="82"/>
        <v>40.028643331233674</v>
      </c>
      <c r="AM128">
        <f t="shared" si="61"/>
        <v>0</v>
      </c>
      <c r="AN128">
        <f>IF($S$2=0,0,(SUMPRODUCT($K$2:$R$2,Assumptions!$B$34:$I$34)/$U$2+$J$2/$U$2*Assumptions!$A$34*G128)*K128*O127)</f>
        <v>7.2990706942506005</v>
      </c>
      <c r="AO128">
        <f t="shared" si="83"/>
        <v>0</v>
      </c>
      <c r="AP128">
        <f t="shared" si="84"/>
        <v>0</v>
      </c>
      <c r="AQ128">
        <f>IF(B128&gt;$AJ$2,0,AQ127*(1+Assumptions!$B$43)^(1/12))</f>
        <v>1.1018777014133727</v>
      </c>
      <c r="AR128" s="27">
        <f>IF(B128&gt;$AJ$2,0,(O127+R127)*Assumptions!$B$39/12*AQ127+AV128*Assumptions!$B$41/12)</f>
        <v>7.2105709578003374</v>
      </c>
      <c r="AS128">
        <f t="shared" si="85"/>
        <v>64.77210488233996</v>
      </c>
      <c r="AT128" s="28">
        <f t="shared" si="86"/>
        <v>7214.6924652709404</v>
      </c>
      <c r="AU128">
        <f t="shared" si="87"/>
        <v>68.657384545147949</v>
      </c>
      <c r="AV128" s="28">
        <f t="shared" si="88"/>
        <v>7313.2493239589685</v>
      </c>
      <c r="AW128" s="28">
        <f t="shared" si="89"/>
        <v>7354.4651912658301</v>
      </c>
      <c r="AX128" s="23">
        <f>HLOOKUP(YEAR(A128),Assumptions!$A$25:$AL$29,2,TRUE)/100</f>
        <v>1.2718E-2</v>
      </c>
      <c r="AY128" s="29">
        <f>1/(1+HLOOKUP(YEAR(A128),Assumptions!$A$18:$AL$20,3,TRUE))^(1/12)</f>
        <v>0.99892052914934393</v>
      </c>
      <c r="AZ128" s="26">
        <f t="shared" si="90"/>
        <v>5931.2837870622807</v>
      </c>
      <c r="BA128">
        <f t="shared" si="91"/>
        <v>52.258226116083826</v>
      </c>
      <c r="BB128">
        <f t="shared" si="92"/>
        <v>7252.3413777253045</v>
      </c>
      <c r="BC128">
        <f t="shared" si="93"/>
        <v>0</v>
      </c>
    </row>
    <row r="129" spans="1:55" x14ac:dyDescent="0.2">
      <c r="A129" s="3">
        <f t="shared" si="62"/>
        <v>46691</v>
      </c>
      <c r="B129">
        <f t="shared" si="54"/>
        <v>131</v>
      </c>
      <c r="C129">
        <f t="shared" si="96"/>
        <v>10.833333333333334</v>
      </c>
      <c r="D129">
        <f t="shared" si="97"/>
        <v>0</v>
      </c>
      <c r="E129">
        <f t="shared" si="55"/>
        <v>66</v>
      </c>
      <c r="F129">
        <f>IF(C129&gt;=$T$2,0,VLOOKUP($E129,'Mortality Table'!$A$3:$C$128,2+AF$2,FALSE))</f>
        <v>8.1419999999999999E-3</v>
      </c>
      <c r="G129">
        <f>F129*Assumptions!$B$1</f>
        <v>8.1419999999999999E-3</v>
      </c>
      <c r="H129">
        <f t="shared" si="63"/>
        <v>6.8104524207401873E-4</v>
      </c>
      <c r="I129">
        <f t="shared" si="99"/>
        <v>2.2730861013397436E-4</v>
      </c>
      <c r="J129">
        <f>IF(B129&gt;$AJ$2,0,HLOOKUP(C129,Assumptions!$A$6:$J$7,2,TRUE))</f>
        <v>6.4199999999999993E-2</v>
      </c>
      <c r="K129" s="4">
        <f t="shared" si="98"/>
        <v>1</v>
      </c>
      <c r="L129" s="4">
        <f t="shared" si="64"/>
        <v>8.3333333333333329E-2</v>
      </c>
      <c r="M129" s="4">
        <f t="shared" si="100"/>
        <v>5.5141990623922554E-3</v>
      </c>
      <c r="N129">
        <f t="shared" si="65"/>
        <v>1.8449028336462092E-3</v>
      </c>
      <c r="O129" s="21">
        <f t="shared" si="101"/>
        <v>0.33246762299984206</v>
      </c>
      <c r="P129">
        <f>IF(B129&gt;$AJ$2,0,HLOOKUP(C129,Assumptions!$A$12:$J$13,2,TRUE))</f>
        <v>5.3E-3</v>
      </c>
      <c r="Q129">
        <f t="shared" si="102"/>
        <v>1.4726297752400255E-4</v>
      </c>
      <c r="R129">
        <f t="shared" si="66"/>
        <v>8.9420429430719345E-2</v>
      </c>
      <c r="S129">
        <f t="shared" si="94"/>
        <v>6.1009173805034273E-5</v>
      </c>
      <c r="T129">
        <f t="shared" si="95"/>
        <v>4.9516821014822959E-4</v>
      </c>
      <c r="U129">
        <f t="shared" si="67"/>
        <v>4031.7491380323668</v>
      </c>
      <c r="V129">
        <f t="shared" si="68"/>
        <v>1410.2</v>
      </c>
      <c r="W129">
        <f t="shared" si="69"/>
        <v>0.12</v>
      </c>
      <c r="X129">
        <f t="shared" si="60"/>
        <v>112.4478680448551</v>
      </c>
      <c r="Y129">
        <f t="shared" si="70"/>
        <v>192.24693678904021</v>
      </c>
      <c r="Z129">
        <f t="shared" si="71"/>
        <v>19507.888353628827</v>
      </c>
      <c r="AA129">
        <f t="shared" si="72"/>
        <v>0</v>
      </c>
      <c r="AB129">
        <f t="shared" si="73"/>
        <v>20169.820731774118</v>
      </c>
      <c r="AC129" s="23">
        <f>IF(B129&gt;$AJ$2,0,HLOOKUP(YEAR(A129),Assumptions!$A$25:$AL$29,4,TRUE)/100)</f>
        <v>6.7179999999999991E-3</v>
      </c>
      <c r="AD129">
        <f t="shared" si="74"/>
        <v>554.52444652344957</v>
      </c>
      <c r="AE129">
        <f t="shared" si="75"/>
        <v>6012.2245425523297</v>
      </c>
      <c r="AF129">
        <f t="shared" si="76"/>
        <v>5989.9624035979095</v>
      </c>
      <c r="AG129">
        <f t="shared" si="77"/>
        <v>6341.0184474484095</v>
      </c>
      <c r="AH129">
        <f t="shared" si="78"/>
        <v>293.54113427918662</v>
      </c>
      <c r="AI129">
        <f t="shared" si="79"/>
        <v>293.11062216482901</v>
      </c>
      <c r="AJ129">
        <f t="shared" si="80"/>
        <v>0</v>
      </c>
      <c r="AK129">
        <f t="shared" si="81"/>
        <v>4.9436842637951521</v>
      </c>
      <c r="AL129">
        <f t="shared" si="82"/>
        <v>40.135616928591716</v>
      </c>
      <c r="AM129">
        <f t="shared" si="61"/>
        <v>0</v>
      </c>
      <c r="AN129">
        <f>IF($S$2=0,0,(SUMPRODUCT($K$2:$R$2,Assumptions!$B$34:$I$34)/$U$2+$J$2/$U$2*Assumptions!$A$34*G129)*K129*O128)</f>
        <v>7.2506669737904854</v>
      </c>
      <c r="AO129">
        <f t="shared" si="83"/>
        <v>0</v>
      </c>
      <c r="AP129">
        <f t="shared" si="84"/>
        <v>0</v>
      </c>
      <c r="AQ129">
        <f>IF(B129&gt;$AJ$2,0,AQ128*(1+Assumptions!$B$43)^(1/12))</f>
        <v>1.1027917509640432</v>
      </c>
      <c r="AR129" s="27">
        <f>IF(B129&gt;$AJ$2,0,(O128+R128)*Assumptions!$B$39/12*AQ128+AV129*Assumptions!$B$41/12)</f>
        <v>7.186820933542994</v>
      </c>
      <c r="AS129">
        <f t="shared" si="85"/>
        <v>64.342569262030437</v>
      </c>
      <c r="AT129" s="28">
        <f t="shared" si="86"/>
        <v>7233.9669700199975</v>
      </c>
      <c r="AU129">
        <f t="shared" si="87"/>
        <v>76.435162299103524</v>
      </c>
      <c r="AV129" s="28">
        <f t="shared" si="88"/>
        <v>7340.4417521043279</v>
      </c>
      <c r="AW129" s="28">
        <f t="shared" si="89"/>
        <v>7381.3602299536096</v>
      </c>
      <c r="AX129" s="23">
        <f>HLOOKUP(YEAR(A129),Assumptions!$A$25:$AL$29,2,TRUE)/100</f>
        <v>1.2718E-2</v>
      </c>
      <c r="AY129" s="29">
        <f>1/(1+HLOOKUP(YEAR(A129),Assumptions!$A$18:$AL$20,3,TRUE))^(1/12)</f>
        <v>0.99892052914934393</v>
      </c>
      <c r="AZ129" s="26">
        <f t="shared" si="90"/>
        <v>5990.624432903147</v>
      </c>
      <c r="BA129">
        <f t="shared" si="91"/>
        <v>52.329968166177352</v>
      </c>
      <c r="BB129">
        <f t="shared" si="92"/>
        <v>7271.7843675591803</v>
      </c>
      <c r="BC129">
        <f t="shared" si="93"/>
        <v>0</v>
      </c>
    </row>
    <row r="130" spans="1:55" x14ac:dyDescent="0.2">
      <c r="A130" s="3">
        <f t="shared" si="62"/>
        <v>46721</v>
      </c>
      <c r="B130">
        <f t="shared" si="54"/>
        <v>132</v>
      </c>
      <c r="C130">
        <f t="shared" si="96"/>
        <v>10.916666666666666</v>
      </c>
      <c r="D130">
        <f t="shared" si="97"/>
        <v>0</v>
      </c>
      <c r="E130">
        <f t="shared" si="55"/>
        <v>66</v>
      </c>
      <c r="F130">
        <f>IF(C130&gt;=$T$2,0,VLOOKUP($E130,'Mortality Table'!$A$3:$C$128,2+AF$2,FALSE))</f>
        <v>8.1419999999999999E-3</v>
      </c>
      <c r="G130">
        <f>F130*Assumptions!$B$1</f>
        <v>8.1419999999999999E-3</v>
      </c>
      <c r="H130">
        <f t="shared" si="63"/>
        <v>6.8104524207401873E-4</v>
      </c>
      <c r="I130">
        <f t="shared" si="99"/>
        <v>2.2580121516768524E-4</v>
      </c>
      <c r="J130">
        <f>IF(B130&gt;$AJ$2,0,HLOOKUP(C130,Assumptions!$A$6:$J$7,2,TRUE))</f>
        <v>6.4199999999999993E-2</v>
      </c>
      <c r="K130" s="4">
        <f t="shared" si="98"/>
        <v>1</v>
      </c>
      <c r="L130" s="4">
        <f t="shared" si="64"/>
        <v>8.3333333333333329E-2</v>
      </c>
      <c r="M130" s="4">
        <f t="shared" si="100"/>
        <v>5.5141990623922554E-3</v>
      </c>
      <c r="N130">
        <f t="shared" si="65"/>
        <v>1.8326683774014952E-3</v>
      </c>
      <c r="O130" s="21">
        <f t="shared" si="101"/>
        <v>0.33026286700283564</v>
      </c>
      <c r="P130">
        <f>IF(B130&gt;$AJ$2,0,HLOOKUP(C130,Assumptions!$A$12:$J$13,2,TRUE))</f>
        <v>5.3E-3</v>
      </c>
      <c r="Q130">
        <f t="shared" si="102"/>
        <v>1.4628640443726555E-4</v>
      </c>
      <c r="R130">
        <f t="shared" si="66"/>
        <v>8.9013070240205841E-2</v>
      </c>
      <c r="S130">
        <f t="shared" si="94"/>
        <v>6.0731452416592943E-5</v>
      </c>
      <c r="T130">
        <f t="shared" si="95"/>
        <v>4.9291414253417143E-4</v>
      </c>
      <c r="U130">
        <f t="shared" si="67"/>
        <v>4031.7491380323668</v>
      </c>
      <c r="V130">
        <f t="shared" si="68"/>
        <v>1410.2</v>
      </c>
      <c r="W130">
        <f t="shared" si="69"/>
        <v>0.12</v>
      </c>
      <c r="X130">
        <f t="shared" si="60"/>
        <v>111.7021710377736</v>
      </c>
      <c r="Y130">
        <f t="shared" si="70"/>
        <v>192.24693678904021</v>
      </c>
      <c r="Z130">
        <f t="shared" si="71"/>
        <v>19700.135290417868</v>
      </c>
      <c r="AA130">
        <f t="shared" si="72"/>
        <v>0</v>
      </c>
      <c r="AB130">
        <f t="shared" si="73"/>
        <v>20373.432083102543</v>
      </c>
      <c r="AC130" s="23">
        <f>IF(B130&gt;$AJ$2,0,HLOOKUP(YEAR(A130),Assumptions!$A$25:$AL$29,4,TRUE)/100)</f>
        <v>6.7179999999999991E-3</v>
      </c>
      <c r="AD130">
        <f t="shared" si="74"/>
        <v>554.52444652344957</v>
      </c>
      <c r="AE130">
        <f t="shared" si="75"/>
        <v>6034.7196125702494</v>
      </c>
      <c r="AF130">
        <f t="shared" si="76"/>
        <v>6012.2245425523297</v>
      </c>
      <c r="AG130">
        <f t="shared" si="77"/>
        <v>6367.6128960761616</v>
      </c>
      <c r="AH130">
        <f t="shared" si="78"/>
        <v>293.97004107077703</v>
      </c>
      <c r="AI130">
        <f t="shared" si="79"/>
        <v>293.54113427918662</v>
      </c>
      <c r="AJ130">
        <f t="shared" si="80"/>
        <v>0</v>
      </c>
      <c r="AK130">
        <f t="shared" si="81"/>
        <v>4.9564850895620154</v>
      </c>
      <c r="AL130">
        <f t="shared" si="82"/>
        <v>40.239575028908988</v>
      </c>
      <c r="AM130">
        <f t="shared" si="61"/>
        <v>0</v>
      </c>
      <c r="AN130">
        <f>IF($S$2=0,0,(SUMPRODUCT($K$2:$R$2,Assumptions!$B$34:$I$34)/$U$2+$J$2/$U$2*Assumptions!$A$34*G130)*K130*O129)</f>
        <v>7.202584242159296</v>
      </c>
      <c r="AO130">
        <f t="shared" si="83"/>
        <v>0</v>
      </c>
      <c r="AP130">
        <f t="shared" si="84"/>
        <v>0</v>
      </c>
      <c r="AQ130">
        <f>IF(B130&gt;$AJ$2,0,AQ129*(1+Assumptions!$B$43)^(1/12))</f>
        <v>1.1037065587536545</v>
      </c>
      <c r="AR130" s="27">
        <f>IF(B130&gt;$AJ$2,0,(O129+R129)*Assumptions!$B$39/12*AQ129+AV130*Assumptions!$B$41/12)</f>
        <v>7.1631144963905991</v>
      </c>
      <c r="AS130">
        <f t="shared" si="85"/>
        <v>63.915882103253089</v>
      </c>
      <c r="AT130" s="28">
        <f t="shared" si="86"/>
        <v>7252.698091557153</v>
      </c>
      <c r="AU130">
        <f t="shared" si="87"/>
        <v>84.240735083955997</v>
      </c>
      <c r="AV130" s="28">
        <f t="shared" si="88"/>
        <v>7367.1154301801953</v>
      </c>
      <c r="AW130" s="28">
        <f t="shared" si="89"/>
        <v>7407.7386046183256</v>
      </c>
      <c r="AX130" s="23">
        <f>HLOOKUP(YEAR(A130),Assumptions!$A$25:$AL$29,2,TRUE)/100</f>
        <v>1.2718E-2</v>
      </c>
      <c r="AY130" s="29">
        <f>1/(1+HLOOKUP(YEAR(A130),Assumptions!$A$18:$AL$20,3,TRUE))^(1/12)</f>
        <v>0.99892052914934393</v>
      </c>
      <c r="AZ130" s="26">
        <f t="shared" si="90"/>
        <v>6049.2385376989214</v>
      </c>
      <c r="BA130">
        <f t="shared" si="91"/>
        <v>52.3986443606303</v>
      </c>
      <c r="BB130">
        <f t="shared" si="92"/>
        <v>7290.6802678810918</v>
      </c>
      <c r="BC130">
        <f t="shared" si="93"/>
        <v>0</v>
      </c>
    </row>
    <row r="131" spans="1:55" x14ac:dyDescent="0.2">
      <c r="A131" s="3">
        <f t="shared" si="62"/>
        <v>46752</v>
      </c>
      <c r="B131">
        <f t="shared" si="54"/>
        <v>133</v>
      </c>
      <c r="C131">
        <f t="shared" si="96"/>
        <v>11</v>
      </c>
      <c r="D131">
        <f t="shared" si="97"/>
        <v>1</v>
      </c>
      <c r="E131">
        <f t="shared" si="55"/>
        <v>67</v>
      </c>
      <c r="F131">
        <f>IF(C131&gt;=$T$2,0,VLOOKUP($E131,'Mortality Table'!$A$3:$C$128,2+AF$2,FALSE))</f>
        <v>1.00047E-2</v>
      </c>
      <c r="G131">
        <f>F131*Assumptions!$B$1</f>
        <v>1.00047E-2</v>
      </c>
      <c r="H131">
        <f t="shared" si="63"/>
        <v>8.3757265166972683E-4</v>
      </c>
      <c r="I131">
        <f t="shared" si="99"/>
        <v>2.7585647874788524E-4</v>
      </c>
      <c r="J131">
        <f>IF(B131&gt;$AJ$2,0,HLOOKUP(C131,Assumptions!$A$6:$J$7,2,TRUE))</f>
        <v>6.4199999999999993E-2</v>
      </c>
      <c r="K131" s="4">
        <f t="shared" si="98"/>
        <v>1</v>
      </c>
      <c r="L131" s="4">
        <f t="shared" si="64"/>
        <v>8.3333333333333329E-2</v>
      </c>
      <c r="M131" s="4">
        <f t="shared" si="100"/>
        <v>5.5141990623922554E-3</v>
      </c>
      <c r="N131">
        <f t="shared" si="65"/>
        <v>1.820372525054288E-3</v>
      </c>
      <c r="O131" s="21">
        <f t="shared" si="101"/>
        <v>0.32802134445303421</v>
      </c>
      <c r="P131">
        <f>IF(B131&gt;$AJ$2,0,HLOOKUP(C131,Assumptions!$A$12:$J$13,2,TRUE))</f>
        <v>5.3E-3</v>
      </c>
      <c r="Q131">
        <f t="shared" si="102"/>
        <v>1.4529354599922419E-4</v>
      </c>
      <c r="R131">
        <f t="shared" si="66"/>
        <v>8.8593384195104388E-2</v>
      </c>
      <c r="S131">
        <f t="shared" si="94"/>
        <v>7.4349357957915766E-5</v>
      </c>
      <c r="T131">
        <f t="shared" si="95"/>
        <v>4.9063023314276186E-4</v>
      </c>
      <c r="U131">
        <f t="shared" si="67"/>
        <v>4152.7016121733377</v>
      </c>
      <c r="V131">
        <f t="shared" si="68"/>
        <v>1410.2</v>
      </c>
      <c r="W131">
        <f t="shared" si="69"/>
        <v>0.12</v>
      </c>
      <c r="X131">
        <f t="shared" si="60"/>
        <v>114.29026168697202</v>
      </c>
      <c r="Y131">
        <f t="shared" si="70"/>
        <v>201.11678489271142</v>
      </c>
      <c r="Z131">
        <f t="shared" si="71"/>
        <v>19901.252075310578</v>
      </c>
      <c r="AA131">
        <f t="shared" si="72"/>
        <v>0</v>
      </c>
      <c r="AB131">
        <f t="shared" si="73"/>
        <v>20586.031871887717</v>
      </c>
      <c r="AC131" s="23">
        <f>IF(B131&gt;$AJ$2,0,HLOOKUP(YEAR(A131),Assumptions!$A$25:$AL$29,4,TRUE)/100)</f>
        <v>6.7179999999999991E-3</v>
      </c>
      <c r="AD131">
        <f t="shared" si="74"/>
        <v>554.52444652344957</v>
      </c>
      <c r="AE131">
        <f t="shared" si="75"/>
        <v>6057.4607877779599</v>
      </c>
      <c r="AF131">
        <f t="shared" si="76"/>
        <v>6034.7196125702494</v>
      </c>
      <c r="AG131">
        <f t="shared" si="77"/>
        <v>6394.4792108831953</v>
      </c>
      <c r="AH131">
        <f t="shared" si="78"/>
        <v>294.39735146012356</v>
      </c>
      <c r="AI131">
        <f t="shared" si="79"/>
        <v>293.97004107077703</v>
      </c>
      <c r="AJ131">
        <f t="shared" si="80"/>
        <v>0</v>
      </c>
      <c r="AK131">
        <f t="shared" si="81"/>
        <v>6.1133924938299131</v>
      </c>
      <c r="AL131">
        <f t="shared" si="82"/>
        <v>40.35354719874136</v>
      </c>
      <c r="AM131">
        <f t="shared" si="61"/>
        <v>0</v>
      </c>
      <c r="AN131">
        <f>IF($S$2=0,0,(SUMPRODUCT($K$2:$R$2,Assumptions!$B$34:$I$34)/$U$2+$J$2/$U$2*Assumptions!$A$34*G131)*K131*O130)</f>
        <v>7.1827649514020351</v>
      </c>
      <c r="AO131">
        <f t="shared" si="83"/>
        <v>0</v>
      </c>
      <c r="AP131">
        <f t="shared" si="84"/>
        <v>0</v>
      </c>
      <c r="AQ131">
        <f>IF(B131&gt;$AJ$2,0,AQ130*(1+Assumptions!$B$43)^(1/12))</f>
        <v>1.1046221254111945</v>
      </c>
      <c r="AR131" s="27">
        <f>IF(B131&gt;$AJ$2,0,(O130+R130)*Assumptions!$B$39/12*AQ130+AV131*Assumptions!$B$41/12)</f>
        <v>7.1401048856015672</v>
      </c>
      <c r="AS131">
        <f t="shared" si="85"/>
        <v>66.421405981059451</v>
      </c>
      <c r="AT131" s="28">
        <f t="shared" si="86"/>
        <v>7319.1664050270047</v>
      </c>
      <c r="AU131">
        <f t="shared" si="87"/>
        <v>0</v>
      </c>
      <c r="AV131" s="28">
        <f t="shared" si="88"/>
        <v>7396.1774676707664</v>
      </c>
      <c r="AW131" s="28">
        <f t="shared" si="89"/>
        <v>7436.9062184910781</v>
      </c>
      <c r="AX131" s="23">
        <f>HLOOKUP(YEAR(A131),Assumptions!$A$25:$AL$29,2,TRUE)/100</f>
        <v>1.2718E-2</v>
      </c>
      <c r="AY131" s="29">
        <f>1/(1+HLOOKUP(YEAR(A131),Assumptions!$A$18:$AL$20,3,TRUE))^(1/12)</f>
        <v>0.99892052914934393</v>
      </c>
      <c r="AZ131" s="26">
        <f t="shared" si="90"/>
        <v>6109.2760230632266</v>
      </c>
      <c r="BA131">
        <f t="shared" si="91"/>
        <v>53.649704643973308</v>
      </c>
      <c r="BB131">
        <f t="shared" si="92"/>
        <v>7311.9367325868106</v>
      </c>
      <c r="BC131">
        <f t="shared" si="93"/>
        <v>0</v>
      </c>
    </row>
    <row r="132" spans="1:55" x14ac:dyDescent="0.2">
      <c r="A132" s="3">
        <f t="shared" si="62"/>
        <v>46783</v>
      </c>
      <c r="B132">
        <f t="shared" si="54"/>
        <v>134</v>
      </c>
      <c r="C132">
        <f t="shared" si="96"/>
        <v>11.083333333333334</v>
      </c>
      <c r="D132">
        <f t="shared" si="97"/>
        <v>0</v>
      </c>
      <c r="E132">
        <f t="shared" si="55"/>
        <v>67</v>
      </c>
      <c r="F132">
        <f>IF(C132&gt;=$T$2,0,VLOOKUP($E132,'Mortality Table'!$A$3:$C$128,2+AF$2,FALSE))</f>
        <v>1.00047E-2</v>
      </c>
      <c r="G132">
        <f>F132*Assumptions!$B$1</f>
        <v>1.00047E-2</v>
      </c>
      <c r="H132">
        <f t="shared" si="63"/>
        <v>8.3757265166972683E-4</v>
      </c>
      <c r="I132">
        <f t="shared" si="99"/>
        <v>2.739842170454611E-4</v>
      </c>
      <c r="J132">
        <f>IF(B132&gt;$AJ$2,0,HLOOKUP(C132,Assumptions!$A$6:$J$7,2,TRUE))</f>
        <v>6.4199999999999993E-2</v>
      </c>
      <c r="K132" s="4">
        <f t="shared" si="98"/>
        <v>1</v>
      </c>
      <c r="L132" s="4">
        <f t="shared" si="64"/>
        <v>8.3333333333333329E-2</v>
      </c>
      <c r="M132" s="4">
        <f t="shared" si="100"/>
        <v>5.5141990623922554E-3</v>
      </c>
      <c r="N132">
        <f t="shared" si="65"/>
        <v>1.8080174997952326E-3</v>
      </c>
      <c r="O132" s="21">
        <f t="shared" si="101"/>
        <v>0.32579503531001652</v>
      </c>
      <c r="P132">
        <f>IF(B132&gt;$AJ$2,0,HLOOKUP(C132,Assumptions!$A$12:$J$13,2,TRUE))</f>
        <v>5.3E-3</v>
      </c>
      <c r="Q132">
        <f t="shared" si="102"/>
        <v>1.4430742617699461E-4</v>
      </c>
      <c r="R132">
        <f t="shared" si="66"/>
        <v>8.8175375841792997E-2</v>
      </c>
      <c r="S132">
        <f t="shared" si="94"/>
        <v>7.3998809573133783E-5</v>
      </c>
      <c r="T132">
        <f t="shared" si="95"/>
        <v>4.8831696991524678E-4</v>
      </c>
      <c r="U132">
        <f t="shared" si="67"/>
        <v>4152.7016121733377</v>
      </c>
      <c r="V132">
        <f t="shared" si="68"/>
        <v>1410.2</v>
      </c>
      <c r="W132">
        <f t="shared" si="69"/>
        <v>0.12</v>
      </c>
      <c r="X132">
        <f t="shared" si="60"/>
        <v>113.51456382811509</v>
      </c>
      <c r="Y132">
        <f t="shared" si="70"/>
        <v>201.11678489271142</v>
      </c>
      <c r="Z132">
        <f t="shared" si="71"/>
        <v>20102.368860203289</v>
      </c>
      <c r="AA132">
        <f t="shared" si="72"/>
        <v>130.25535005368874</v>
      </c>
      <c r="AB132">
        <f t="shared" si="73"/>
        <v>20798.865664119287</v>
      </c>
      <c r="AC132" s="23">
        <f>IF(B132&gt;$AJ$2,0,HLOOKUP(YEAR(A132),Assumptions!$A$25:$AL$29,4,TRUE)/100)</f>
        <v>6.7850000000000002E-3</v>
      </c>
      <c r="AD132">
        <f t="shared" si="74"/>
        <v>684.77979657713831</v>
      </c>
      <c r="AE132">
        <f t="shared" si="75"/>
        <v>6080.4466215833154</v>
      </c>
      <c r="AF132">
        <f t="shared" si="76"/>
        <v>6057.4607877779599</v>
      </c>
      <c r="AG132">
        <f t="shared" si="77"/>
        <v>6421.6518165654052</v>
      </c>
      <c r="AH132">
        <f t="shared" si="78"/>
        <v>337.58756781542689</v>
      </c>
      <c r="AI132">
        <f t="shared" si="79"/>
        <v>337.01842310523534</v>
      </c>
      <c r="AJ132">
        <f t="shared" si="80"/>
        <v>42.621071645111783</v>
      </c>
      <c r="AK132">
        <f t="shared" si="81"/>
        <v>6.1685344987811019</v>
      </c>
      <c r="AL132">
        <f t="shared" si="82"/>
        <v>40.717563550483632</v>
      </c>
      <c r="AM132">
        <f t="shared" si="61"/>
        <v>0</v>
      </c>
      <c r="AN132">
        <f>IF($S$2=0,0,(SUMPRODUCT($K$2:$R$2,Assumptions!$B$34:$I$34)/$U$2+$J$2/$U$2*Assumptions!$A$34*G132)*K132*O131)</f>
        <v>7.1340149064617639</v>
      </c>
      <c r="AO132">
        <f t="shared" si="83"/>
        <v>0</v>
      </c>
      <c r="AP132">
        <f t="shared" si="84"/>
        <v>0</v>
      </c>
      <c r="AQ132">
        <f>IF(B132&gt;$AJ$2,0,AQ131*(1+Assumptions!$B$43)^(1/12))</f>
        <v>1.1055384515661733</v>
      </c>
      <c r="AR132" s="27">
        <f>IF(B132&gt;$AJ$2,0,(O131+R131)*Assumptions!$B$39/12*AQ131+AV132*Assumptions!$B$41/12)</f>
        <v>7.105772528969446</v>
      </c>
      <c r="AS132">
        <f t="shared" si="85"/>
        <v>65.970598172578875</v>
      </c>
      <c r="AT132" s="28">
        <f t="shared" si="86"/>
        <v>7338.2624074460527</v>
      </c>
      <c r="AU132">
        <f t="shared" si="87"/>
        <v>7.857791470834286</v>
      </c>
      <c r="AV132" s="28">
        <f t="shared" si="88"/>
        <v>7378.0029882931221</v>
      </c>
      <c r="AW132" s="28">
        <f t="shared" si="89"/>
        <v>7418.4411814196883</v>
      </c>
      <c r="AX132" s="23">
        <f>HLOOKUP(YEAR(A132),Assumptions!$A$25:$AL$29,2,TRUE)/100</f>
        <v>1.2784999999999999E-2</v>
      </c>
      <c r="AY132" s="29">
        <f>1/(1+HLOOKUP(YEAR(A132),Assumptions!$A$18:$AL$20,3,TRUE))^(1/12)</f>
        <v>0.99894707511282388</v>
      </c>
      <c r="AZ132" s="26">
        <f t="shared" si="90"/>
        <v>6168.1040903668518</v>
      </c>
      <c r="BA132">
        <f t="shared" si="91"/>
        <v>54.020112955726496</v>
      </c>
      <c r="BB132">
        <f t="shared" si="92"/>
        <v>7378.0029882931221</v>
      </c>
      <c r="BC132">
        <f t="shared" si="93"/>
        <v>0</v>
      </c>
    </row>
    <row r="133" spans="1:55" x14ac:dyDescent="0.2">
      <c r="A133" s="3">
        <f t="shared" si="62"/>
        <v>46812</v>
      </c>
      <c r="B133">
        <f t="shared" si="54"/>
        <v>135</v>
      </c>
      <c r="C133">
        <f t="shared" si="96"/>
        <v>11.166666666666666</v>
      </c>
      <c r="D133">
        <f t="shared" si="97"/>
        <v>0</v>
      </c>
      <c r="E133">
        <f t="shared" si="55"/>
        <v>67</v>
      </c>
      <c r="F133">
        <f>IF(C133&gt;=$T$2,0,VLOOKUP($E133,'Mortality Table'!$A$3:$C$128,2+AF$2,FALSE))</f>
        <v>1.00047E-2</v>
      </c>
      <c r="G133">
        <f>F133*Assumptions!$B$1</f>
        <v>1.00047E-2</v>
      </c>
      <c r="H133">
        <f t="shared" si="63"/>
        <v>8.3757265166972683E-4</v>
      </c>
      <c r="I133">
        <f t="shared" si="99"/>
        <v>2.7212466254461612E-4</v>
      </c>
      <c r="J133">
        <f>IF(B133&gt;$AJ$2,0,HLOOKUP(C133,Assumptions!$A$6:$J$7,2,TRUE))</f>
        <v>6.4199999999999993E-2</v>
      </c>
      <c r="K133" s="4">
        <f t="shared" si="98"/>
        <v>1</v>
      </c>
      <c r="L133" s="4">
        <f t="shared" si="64"/>
        <v>8.3333333333333329E-2</v>
      </c>
      <c r="M133" s="4">
        <f t="shared" si="100"/>
        <v>5.5141990623922554E-3</v>
      </c>
      <c r="N133">
        <f t="shared" si="65"/>
        <v>1.795746329157718E-3</v>
      </c>
      <c r="O133" s="21">
        <f t="shared" si="101"/>
        <v>0.32358383631907917</v>
      </c>
      <c r="P133">
        <f>IF(B133&gt;$AJ$2,0,HLOOKUP(C133,Assumptions!$A$12:$J$13,2,TRUE))</f>
        <v>5.3E-3</v>
      </c>
      <c r="Q133">
        <f t="shared" si="102"/>
        <v>1.4332799923501036E-4</v>
      </c>
      <c r="R133">
        <f t="shared" si="66"/>
        <v>8.7759041224585166E-2</v>
      </c>
      <c r="S133">
        <f t="shared" si="94"/>
        <v>7.3649662502867804E-5</v>
      </c>
      <c r="T133">
        <f t="shared" si="95"/>
        <v>4.860129539399821E-4</v>
      </c>
      <c r="U133">
        <f t="shared" si="67"/>
        <v>4152.7016121733377</v>
      </c>
      <c r="V133">
        <f t="shared" si="68"/>
        <v>1410.2</v>
      </c>
      <c r="W133">
        <f t="shared" si="69"/>
        <v>0.12</v>
      </c>
      <c r="X133">
        <f t="shared" si="60"/>
        <v>112.74413069749794</v>
      </c>
      <c r="Y133">
        <f t="shared" si="70"/>
        <v>201.11678489271142</v>
      </c>
      <c r="Z133">
        <f t="shared" si="71"/>
        <v>20303.485645096</v>
      </c>
      <c r="AA133">
        <f t="shared" si="72"/>
        <v>0</v>
      </c>
      <c r="AB133">
        <f t="shared" si="73"/>
        <v>21011.819423506848</v>
      </c>
      <c r="AC133" s="23">
        <f>IF(B133&gt;$AJ$2,0,HLOOKUP(YEAR(A133),Assumptions!$A$25:$AL$29,4,TRUE)/100)</f>
        <v>6.7850000000000002E-3</v>
      </c>
      <c r="AD133">
        <f t="shared" si="74"/>
        <v>684.77979657713831</v>
      </c>
      <c r="AE133">
        <f t="shared" si="75"/>
        <v>6103.675678075223</v>
      </c>
      <c r="AF133">
        <f t="shared" si="76"/>
        <v>6080.4466215833154</v>
      </c>
      <c r="AG133">
        <f t="shared" si="77"/>
        <v>6449.0942218435075</v>
      </c>
      <c r="AH133">
        <f t="shared" si="78"/>
        <v>338.15460189879855</v>
      </c>
      <c r="AI133">
        <f t="shared" si="79"/>
        <v>337.58756781542689</v>
      </c>
      <c r="AJ133">
        <f t="shared" si="80"/>
        <v>0</v>
      </c>
      <c r="AK133">
        <f t="shared" si="81"/>
        <v>6.1841107026932152</v>
      </c>
      <c r="AL133">
        <f t="shared" si="82"/>
        <v>40.820413585422529</v>
      </c>
      <c r="AM133">
        <f t="shared" si="61"/>
        <v>0</v>
      </c>
      <c r="AN133">
        <f>IF($S$2=0,0,(SUMPRODUCT($K$2:$R$2,Assumptions!$B$34:$I$34)/$U$2+$J$2/$U$2*Assumptions!$A$34*G133)*K133*O132)</f>
        <v>7.0855957322791694</v>
      </c>
      <c r="AO133">
        <f t="shared" si="83"/>
        <v>0</v>
      </c>
      <c r="AP133">
        <f t="shared" si="84"/>
        <v>0</v>
      </c>
      <c r="AQ133">
        <f>IF(B133&gt;$AJ$2,0,AQ132*(1+Assumptions!$B$43)^(1/12))</f>
        <v>1.1064555378486227</v>
      </c>
      <c r="AR133" s="27">
        <f>IF(B133&gt;$AJ$2,0,(O132+R132)*Assumptions!$B$39/12*AQ132+AV133*Assumptions!$B$41/12)</f>
        <v>7.0816712138191766</v>
      </c>
      <c r="AS133">
        <f t="shared" si="85"/>
        <v>65.522850035557909</v>
      </c>
      <c r="AT133" s="28">
        <f t="shared" si="86"/>
        <v>7356.7922984017678</v>
      </c>
      <c r="AU133">
        <f t="shared" si="87"/>
        <v>15.743393803100108</v>
      </c>
      <c r="AV133" s="28">
        <f t="shared" si="88"/>
        <v>7404.5574532201654</v>
      </c>
      <c r="AW133" s="28">
        <f t="shared" si="89"/>
        <v>7444.697062668286</v>
      </c>
      <c r="AX133" s="23">
        <f>HLOOKUP(YEAR(A133),Assumptions!$A$25:$AL$29,2,TRUE)/100</f>
        <v>1.2784999999999999E-2</v>
      </c>
      <c r="AY133" s="29">
        <f>1/(1+HLOOKUP(YEAR(A133),Assumptions!$A$18:$AL$20,3,TRUE))^(1/12)</f>
        <v>0.99894707511282388</v>
      </c>
      <c r="AZ133" s="26">
        <f t="shared" si="90"/>
        <v>6226.1778256149983</v>
      </c>
      <c r="BA133">
        <f t="shared" si="91"/>
        <v>54.090120020394913</v>
      </c>
      <c r="BB133">
        <f t="shared" si="92"/>
        <v>7396.6996617493314</v>
      </c>
      <c r="BC133">
        <f t="shared" si="93"/>
        <v>0</v>
      </c>
    </row>
    <row r="134" spans="1:55" x14ac:dyDescent="0.2">
      <c r="A134" s="3">
        <f t="shared" si="62"/>
        <v>46843</v>
      </c>
      <c r="B134">
        <f t="shared" si="54"/>
        <v>136</v>
      </c>
      <c r="C134">
        <f t="shared" si="96"/>
        <v>11.25</v>
      </c>
      <c r="D134">
        <f t="shared" si="97"/>
        <v>0</v>
      </c>
      <c r="E134">
        <f t="shared" si="55"/>
        <v>67</v>
      </c>
      <c r="F134">
        <f>IF(C134&gt;=$T$2,0,VLOOKUP($E134,'Mortality Table'!$A$3:$C$128,2+AF$2,FALSE))</f>
        <v>1.00047E-2</v>
      </c>
      <c r="G134">
        <f>F134*Assumptions!$B$1</f>
        <v>1.00047E-2</v>
      </c>
      <c r="H134">
        <f t="shared" si="63"/>
        <v>8.3757265166972683E-4</v>
      </c>
      <c r="I134">
        <f t="shared" si="99"/>
        <v>2.7027772900047774E-4</v>
      </c>
      <c r="J134">
        <f>IF(B134&gt;$AJ$2,0,HLOOKUP(C134,Assumptions!$A$6:$J$7,2,TRUE))</f>
        <v>6.4199999999999993E-2</v>
      </c>
      <c r="K134" s="4">
        <f t="shared" si="98"/>
        <v>1</v>
      </c>
      <c r="L134" s="4">
        <f t="shared" si="64"/>
        <v>8.3333333333333329E-2</v>
      </c>
      <c r="M134" s="4">
        <f t="shared" si="100"/>
        <v>5.5141990623922554E-3</v>
      </c>
      <c r="N134">
        <f t="shared" si="65"/>
        <v>1.783558444013199E-3</v>
      </c>
      <c r="O134" s="21">
        <f t="shared" si="101"/>
        <v>0.32138764492631744</v>
      </c>
      <c r="P134">
        <f>IF(B134&gt;$AJ$2,0,HLOOKUP(C134,Assumptions!$A$12:$J$13,2,TRUE))</f>
        <v>5.3E-3</v>
      </c>
      <c r="Q134">
        <f t="shared" si="102"/>
        <v>1.4235521974811628E-4</v>
      </c>
      <c r="R134">
        <f t="shared" si="66"/>
        <v>8.7344376367476537E-2</v>
      </c>
      <c r="S134">
        <f t="shared" si="94"/>
        <v>7.330191344307775E-5</v>
      </c>
      <c r="T134">
        <f t="shared" si="95"/>
        <v>4.8371816341365989E-4</v>
      </c>
      <c r="U134">
        <f t="shared" si="67"/>
        <v>4152.7016121733377</v>
      </c>
      <c r="V134">
        <f t="shared" si="68"/>
        <v>1410.2</v>
      </c>
      <c r="W134">
        <f t="shared" si="69"/>
        <v>0.12</v>
      </c>
      <c r="X134">
        <f t="shared" si="60"/>
        <v>111.97892656295613</v>
      </c>
      <c r="Y134">
        <f t="shared" si="70"/>
        <v>201.11678489271142</v>
      </c>
      <c r="Z134">
        <f t="shared" si="71"/>
        <v>20504.60242998871</v>
      </c>
      <c r="AA134">
        <f t="shared" si="72"/>
        <v>0</v>
      </c>
      <c r="AB134">
        <f t="shared" si="73"/>
        <v>21224.893217671801</v>
      </c>
      <c r="AC134" s="23">
        <f>IF(B134&gt;$AJ$2,0,HLOOKUP(YEAR(A134),Assumptions!$A$25:$AL$29,4,TRUE)/100)</f>
        <v>6.7850000000000002E-3</v>
      </c>
      <c r="AD134">
        <f t="shared" si="74"/>
        <v>684.77979657713831</v>
      </c>
      <c r="AE134">
        <f t="shared" si="75"/>
        <v>6127.1465319252766</v>
      </c>
      <c r="AF134">
        <f t="shared" si="76"/>
        <v>6103.675678075223</v>
      </c>
      <c r="AG134">
        <f t="shared" si="77"/>
        <v>6476.8052583424987</v>
      </c>
      <c r="AH134">
        <f t="shared" si="78"/>
        <v>338.71953701896092</v>
      </c>
      <c r="AI134">
        <f t="shared" si="79"/>
        <v>338.15460189879855</v>
      </c>
      <c r="AJ134">
        <f t="shared" si="80"/>
        <v>0</v>
      </c>
      <c r="AK134">
        <f t="shared" si="81"/>
        <v>6.1992165927169571</v>
      </c>
      <c r="AL134">
        <f t="shared" si="82"/>
        <v>40.920158453363129</v>
      </c>
      <c r="AM134">
        <f t="shared" si="61"/>
        <v>0</v>
      </c>
      <c r="AN134">
        <f>IF($S$2=0,0,(SUMPRODUCT($K$2:$R$2,Assumptions!$B$34:$I$34)/$U$2+$J$2/$U$2*Assumptions!$A$34*G134)*K134*O133)</f>
        <v>7.0375051832058944</v>
      </c>
      <c r="AO134">
        <f t="shared" si="83"/>
        <v>0</v>
      </c>
      <c r="AP134">
        <f t="shared" si="84"/>
        <v>0</v>
      </c>
      <c r="AQ134">
        <f>IF(B134&gt;$AJ$2,0,AQ133*(1+Assumptions!$B$43)^(1/12))</f>
        <v>1.1073733848890974</v>
      </c>
      <c r="AR134" s="27">
        <f>IF(B134&gt;$AJ$2,0,(O133+R133)*Assumptions!$B$39/12*AQ133+AV134*Assumptions!$B$41/12)</f>
        <v>7.0576154973785572</v>
      </c>
      <c r="AS134">
        <f t="shared" si="85"/>
        <v>65.078140803742585</v>
      </c>
      <c r="AT134" s="28">
        <f t="shared" si="86"/>
        <v>7374.7626907071281</v>
      </c>
      <c r="AU134">
        <f t="shared" si="87"/>
        <v>23.656241958133975</v>
      </c>
      <c r="AV134" s="28">
        <f t="shared" si="88"/>
        <v>7430.5763278254044</v>
      </c>
      <c r="AW134" s="28">
        <f t="shared" si="89"/>
        <v>7470.4194980872389</v>
      </c>
      <c r="AX134" s="23">
        <f>HLOOKUP(YEAR(A134),Assumptions!$A$25:$AL$29,2,TRUE)/100</f>
        <v>1.2784999999999999E-2</v>
      </c>
      <c r="AY134" s="29">
        <f>1/(1+HLOOKUP(YEAR(A134),Assumptions!$A$18:$AL$20,3,TRUE))^(1/12)</f>
        <v>0.99894707511282388</v>
      </c>
      <c r="AZ134" s="26">
        <f t="shared" si="90"/>
        <v>6283.5048639686438</v>
      </c>
      <c r="BA134">
        <f t="shared" si="91"/>
        <v>54.156880229285981</v>
      </c>
      <c r="BB134">
        <f t="shared" si="92"/>
        <v>7414.8329340223045</v>
      </c>
      <c r="BC134">
        <f t="shared" si="93"/>
        <v>0</v>
      </c>
    </row>
    <row r="135" spans="1:55" x14ac:dyDescent="0.2">
      <c r="A135" s="3">
        <f t="shared" si="62"/>
        <v>46873</v>
      </c>
      <c r="B135">
        <f t="shared" si="54"/>
        <v>137</v>
      </c>
      <c r="C135">
        <f t="shared" si="96"/>
        <v>11.333333333333334</v>
      </c>
      <c r="D135">
        <f t="shared" si="97"/>
        <v>0</v>
      </c>
      <c r="E135">
        <f t="shared" si="55"/>
        <v>67</v>
      </c>
      <c r="F135">
        <f>IF(C135&gt;=$T$2,0,VLOOKUP($E135,'Mortality Table'!$A$3:$C$128,2+AF$2,FALSE))</f>
        <v>1.00047E-2</v>
      </c>
      <c r="G135">
        <f>F135*Assumptions!$B$1</f>
        <v>1.00047E-2</v>
      </c>
      <c r="H135">
        <f t="shared" si="63"/>
        <v>8.3757265166972683E-4</v>
      </c>
      <c r="I135">
        <f t="shared" si="99"/>
        <v>2.6844333075352471E-4</v>
      </c>
      <c r="J135">
        <f>IF(B135&gt;$AJ$2,0,HLOOKUP(C135,Assumptions!$A$6:$J$7,2,TRUE))</f>
        <v>6.4199999999999993E-2</v>
      </c>
      <c r="K135" s="4">
        <f t="shared" si="98"/>
        <v>1</v>
      </c>
      <c r="L135" s="4">
        <f t="shared" si="64"/>
        <v>8.3333333333333329E-2</v>
      </c>
      <c r="M135" s="4">
        <f t="shared" si="100"/>
        <v>5.5141990623922554E-3</v>
      </c>
      <c r="N135">
        <f t="shared" si="65"/>
        <v>1.771453279095855E-3</v>
      </c>
      <c r="O135" s="21">
        <f t="shared" si="101"/>
        <v>0.31920635927386859</v>
      </c>
      <c r="P135">
        <f>IF(B135&gt;$AJ$2,0,HLOOKUP(C135,Assumptions!$A$12:$J$13,2,TRUE))</f>
        <v>5.3E-3</v>
      </c>
      <c r="Q135">
        <f t="shared" si="102"/>
        <v>1.4138904259946157E-4</v>
      </c>
      <c r="R135">
        <f t="shared" si="66"/>
        <v>8.6931377274582264E-2</v>
      </c>
      <c r="S135">
        <f t="shared" si="94"/>
        <v>7.295555907275281E-5</v>
      </c>
      <c r="T135">
        <f t="shared" si="95"/>
        <v>4.8143257642098224E-4</v>
      </c>
      <c r="U135">
        <f t="shared" si="67"/>
        <v>4152.7016121733377</v>
      </c>
      <c r="V135">
        <f t="shared" si="68"/>
        <v>1410.2</v>
      </c>
      <c r="W135">
        <f t="shared" si="69"/>
        <v>0.12</v>
      </c>
      <c r="X135">
        <f t="shared" si="60"/>
        <v>111.21891593484256</v>
      </c>
      <c r="Y135">
        <f t="shared" si="70"/>
        <v>201.11678489271142</v>
      </c>
      <c r="Z135">
        <f t="shared" si="71"/>
        <v>20705.719214881421</v>
      </c>
      <c r="AA135">
        <f t="shared" si="72"/>
        <v>0</v>
      </c>
      <c r="AB135">
        <f t="shared" si="73"/>
        <v>21438.087114273658</v>
      </c>
      <c r="AC135" s="23">
        <f>IF(B135&gt;$AJ$2,0,HLOOKUP(YEAR(A135),Assumptions!$A$25:$AL$29,4,TRUE)/100)</f>
        <v>6.7850000000000002E-3</v>
      </c>
      <c r="AD135">
        <f t="shared" si="74"/>
        <v>684.77979657713831</v>
      </c>
      <c r="AE135">
        <f t="shared" si="75"/>
        <v>6150.8577682904761</v>
      </c>
      <c r="AF135">
        <f t="shared" si="76"/>
        <v>6127.1465319252766</v>
      </c>
      <c r="AG135">
        <f t="shared" si="77"/>
        <v>6504.7837665254228</v>
      </c>
      <c r="AH135">
        <f t="shared" si="78"/>
        <v>339.28238475374496</v>
      </c>
      <c r="AI135">
        <f t="shared" si="79"/>
        <v>338.71953701896092</v>
      </c>
      <c r="AJ135">
        <f t="shared" si="80"/>
        <v>0</v>
      </c>
      <c r="AK135">
        <f t="shared" si="81"/>
        <v>6.2138576750652827</v>
      </c>
      <c r="AL135">
        <f t="shared" si="82"/>
        <v>41.016834510558255</v>
      </c>
      <c r="AM135">
        <f t="shared" si="61"/>
        <v>0</v>
      </c>
      <c r="AN135">
        <f>IF($S$2=0,0,(SUMPRODUCT($K$2:$R$2,Assumptions!$B$34:$I$34)/$U$2+$J$2/$U$2*Assumptions!$A$34*G135)*K135*O134)</f>
        <v>6.9897410288349935</v>
      </c>
      <c r="AO135">
        <f t="shared" si="83"/>
        <v>0</v>
      </c>
      <c r="AP135">
        <f t="shared" si="84"/>
        <v>0</v>
      </c>
      <c r="AQ135">
        <f>IF(B135&gt;$AJ$2,0,AQ134*(1+Assumptions!$B$43)^(1/12))</f>
        <v>1.1082919933186755</v>
      </c>
      <c r="AR135" s="27">
        <f>IF(B135&gt;$AJ$2,0,(O134+R134)*Assumptions!$B$39/12*AQ134+AV135*Assumptions!$B$41/12)</f>
        <v>7.0336058188714663</v>
      </c>
      <c r="AS135">
        <f t="shared" si="85"/>
        <v>64.636449851821297</v>
      </c>
      <c r="AT135" s="28">
        <f t="shared" si="86"/>
        <v>7392.1801347081737</v>
      </c>
      <c r="AU135">
        <f t="shared" si="87"/>
        <v>31.595777267526309</v>
      </c>
      <c r="AV135" s="28">
        <f t="shared" si="88"/>
        <v>7456.0656414882487</v>
      </c>
      <c r="AW135" s="28">
        <f t="shared" si="89"/>
        <v>7495.6145017523986</v>
      </c>
      <c r="AX135" s="23">
        <f>HLOOKUP(YEAR(A135),Assumptions!$A$25:$AL$29,2,TRUE)/100</f>
        <v>1.2784999999999999E-2</v>
      </c>
      <c r="AY135" s="29">
        <f>1/(1+HLOOKUP(YEAR(A135),Assumptions!$A$18:$AL$20,3,TRUE))^(1/12)</f>
        <v>0.99894707511282388</v>
      </c>
      <c r="AZ135" s="26">
        <f t="shared" si="90"/>
        <v>6340.0927730755593</v>
      </c>
      <c r="BA135">
        <f t="shared" si="91"/>
        <v>54.220433214458531</v>
      </c>
      <c r="BB135">
        <f t="shared" si="92"/>
        <v>7432.4093995301146</v>
      </c>
      <c r="BC135">
        <f t="shared" si="93"/>
        <v>0</v>
      </c>
    </row>
    <row r="136" spans="1:55" x14ac:dyDescent="0.2">
      <c r="A136" s="3">
        <f t="shared" si="62"/>
        <v>46904</v>
      </c>
      <c r="B136">
        <f t="shared" si="54"/>
        <v>138</v>
      </c>
      <c r="C136">
        <f t="shared" si="96"/>
        <v>11.416666666666666</v>
      </c>
      <c r="D136">
        <f t="shared" si="97"/>
        <v>0</v>
      </c>
      <c r="E136">
        <f t="shared" si="55"/>
        <v>67</v>
      </c>
      <c r="F136">
        <f>IF(C136&gt;=$T$2,0,VLOOKUP($E136,'Mortality Table'!$A$3:$C$128,2+AF$2,FALSE))</f>
        <v>1.00047E-2</v>
      </c>
      <c r="G136">
        <f>F136*Assumptions!$B$1</f>
        <v>1.00047E-2</v>
      </c>
      <c r="H136">
        <f t="shared" si="63"/>
        <v>8.3757265166972683E-4</v>
      </c>
      <c r="I136">
        <f t="shared" si="99"/>
        <v>2.6662138272561447E-4</v>
      </c>
      <c r="J136">
        <f>IF(B136&gt;$AJ$2,0,HLOOKUP(C136,Assumptions!$A$6:$J$7,2,TRUE))</f>
        <v>6.4199999999999993E-2</v>
      </c>
      <c r="K136" s="4">
        <f t="shared" si="98"/>
        <v>1</v>
      </c>
      <c r="L136" s="4">
        <f t="shared" si="64"/>
        <v>8.3333333333333329E-2</v>
      </c>
      <c r="M136" s="4">
        <f t="shared" si="100"/>
        <v>5.5141990623922554E-3</v>
      </c>
      <c r="N136">
        <f t="shared" si="65"/>
        <v>1.7594302729763724E-3</v>
      </c>
      <c r="O136" s="21">
        <f t="shared" si="101"/>
        <v>0.3170398781951882</v>
      </c>
      <c r="P136">
        <f>IF(B136&gt;$AJ$2,0,HLOOKUP(C136,Assumptions!$A$12:$J$13,2,TRUE))</f>
        <v>5.3E-3</v>
      </c>
      <c r="Q136">
        <f t="shared" si="102"/>
        <v>1.4042942297840739E-4</v>
      </c>
      <c r="R136">
        <f t="shared" si="66"/>
        <v>8.6520039930569323E-2</v>
      </c>
      <c r="S136">
        <f t="shared" si="94"/>
        <v>7.2610596054276653E-5</v>
      </c>
      <c r="T136">
        <f t="shared" si="95"/>
        <v>4.7915617093707228E-4</v>
      </c>
      <c r="U136">
        <f t="shared" si="67"/>
        <v>4152.7016121733377</v>
      </c>
      <c r="V136">
        <f t="shared" si="68"/>
        <v>1410.2</v>
      </c>
      <c r="W136">
        <f t="shared" si="69"/>
        <v>0.12</v>
      </c>
      <c r="X136">
        <f t="shared" si="60"/>
        <v>110.46406356438132</v>
      </c>
      <c r="Y136">
        <f t="shared" si="70"/>
        <v>201.11678489271142</v>
      </c>
      <c r="Z136">
        <f t="shared" si="71"/>
        <v>20906.835999774132</v>
      </c>
      <c r="AA136">
        <f t="shared" si="72"/>
        <v>0</v>
      </c>
      <c r="AB136">
        <f t="shared" si="73"/>
        <v>21651.401181010067</v>
      </c>
      <c r="AC136" s="23">
        <f>IF(B136&gt;$AJ$2,0,HLOOKUP(YEAR(A136),Assumptions!$A$25:$AL$29,4,TRUE)/100)</f>
        <v>6.7850000000000002E-3</v>
      </c>
      <c r="AD136">
        <f t="shared" si="74"/>
        <v>684.77979657713831</v>
      </c>
      <c r="AE136">
        <f t="shared" si="75"/>
        <v>6174.8079827170068</v>
      </c>
      <c r="AF136">
        <f t="shared" si="76"/>
        <v>6150.8577682904761</v>
      </c>
      <c r="AG136">
        <f t="shared" si="77"/>
        <v>6533.0285956124471</v>
      </c>
      <c r="AH136">
        <f t="shared" si="78"/>
        <v>339.84315659598894</v>
      </c>
      <c r="AI136">
        <f t="shared" si="79"/>
        <v>339.28238475374496</v>
      </c>
      <c r="AJ136">
        <f t="shared" si="80"/>
        <v>0</v>
      </c>
      <c r="AK136">
        <f t="shared" si="81"/>
        <v>6.2280394038917306</v>
      </c>
      <c r="AL136">
        <f t="shared" si="82"/>
        <v>41.110477769479317</v>
      </c>
      <c r="AM136">
        <f t="shared" si="61"/>
        <v>0</v>
      </c>
      <c r="AN136">
        <f>IF($S$2=0,0,(SUMPRODUCT($K$2:$R$2,Assumptions!$B$34:$I$34)/$U$2+$J$2/$U$2*Assumptions!$A$34*G136)*K136*O135)</f>
        <v>6.9423010538974808</v>
      </c>
      <c r="AO136">
        <f t="shared" si="83"/>
        <v>0</v>
      </c>
      <c r="AP136">
        <f t="shared" si="84"/>
        <v>0</v>
      </c>
      <c r="AQ136">
        <f>IF(B136&gt;$AJ$2,0,AQ135*(1+Assumptions!$B$43)^(1/12))</f>
        <v>1.109211363768958</v>
      </c>
      <c r="AR136" s="27">
        <f>IF(B136&gt;$AJ$2,0,(O135+R135)*Assumptions!$B$39/12*AQ135+AV136*Assumptions!$B$41/12)</f>
        <v>7.0096426099947369</v>
      </c>
      <c r="AS136">
        <f t="shared" si="85"/>
        <v>64.197756694468183</v>
      </c>
      <c r="AT136" s="28">
        <f t="shared" si="86"/>
        <v>7409.0511188195978</v>
      </c>
      <c r="AU136">
        <f t="shared" si="87"/>
        <v>39.561447373949541</v>
      </c>
      <c r="AV136" s="28">
        <f t="shared" si="88"/>
        <v>7481.0313676162705</v>
      </c>
      <c r="AW136" s="28">
        <f t="shared" si="89"/>
        <v>7520.2880318761891</v>
      </c>
      <c r="AX136" s="23">
        <f>HLOOKUP(YEAR(A136),Assumptions!$A$25:$AL$29,2,TRUE)/100</f>
        <v>1.2784999999999999E-2</v>
      </c>
      <c r="AY136" s="29">
        <f>1/(1+HLOOKUP(YEAR(A136),Assumptions!$A$18:$AL$20,3,TRUE))^(1/12)</f>
        <v>0.99894707511282388</v>
      </c>
      <c r="AZ136" s="26">
        <f t="shared" si="90"/>
        <v>6395.9490536282501</v>
      </c>
      <c r="BA136">
        <f t="shared" si="91"/>
        <v>54.280818227268526</v>
      </c>
      <c r="BB136">
        <f t="shared" si="92"/>
        <v>7449.435590348744</v>
      </c>
      <c r="BC136">
        <f t="shared" si="93"/>
        <v>0</v>
      </c>
    </row>
    <row r="137" spans="1:55" x14ac:dyDescent="0.2">
      <c r="A137" s="3">
        <f t="shared" si="62"/>
        <v>46934</v>
      </c>
      <c r="B137">
        <f t="shared" si="54"/>
        <v>139</v>
      </c>
      <c r="C137">
        <f t="shared" si="96"/>
        <v>11.5</v>
      </c>
      <c r="D137">
        <f t="shared" si="97"/>
        <v>0</v>
      </c>
      <c r="E137">
        <f t="shared" si="55"/>
        <v>67</v>
      </c>
      <c r="F137">
        <f>IF(C137&gt;=$T$2,0,VLOOKUP($E137,'Mortality Table'!$A$3:$C$128,2+AF$2,FALSE))</f>
        <v>1.00047E-2</v>
      </c>
      <c r="G137">
        <f>F137*Assumptions!$B$1</f>
        <v>1.00047E-2</v>
      </c>
      <c r="H137">
        <f t="shared" si="63"/>
        <v>8.3757265166972683E-4</v>
      </c>
      <c r="I137">
        <f t="shared" si="99"/>
        <v>2.6481180041603689E-4</v>
      </c>
      <c r="J137">
        <f>IF(B137&gt;$AJ$2,0,HLOOKUP(C137,Assumptions!$A$6:$J$7,2,TRUE))</f>
        <v>6.4199999999999993E-2</v>
      </c>
      <c r="K137" s="4">
        <f t="shared" si="98"/>
        <v>1</v>
      </c>
      <c r="L137" s="4">
        <f t="shared" si="64"/>
        <v>8.3333333333333329E-2</v>
      </c>
      <c r="M137" s="4">
        <f t="shared" si="100"/>
        <v>5.5141990623922554E-3</v>
      </c>
      <c r="N137">
        <f t="shared" si="65"/>
        <v>1.7474888680359074E-3</v>
      </c>
      <c r="O137" s="21">
        <f t="shared" si="101"/>
        <v>0.31488810121035782</v>
      </c>
      <c r="P137">
        <f>IF(B137&gt;$AJ$2,0,HLOOKUP(C137,Assumptions!$A$12:$J$13,2,TRUE))</f>
        <v>5.3E-3</v>
      </c>
      <c r="Q137">
        <f t="shared" si="102"/>
        <v>1.3947631637844864E-4</v>
      </c>
      <c r="R137">
        <f t="shared" si="66"/>
        <v>8.6110360301084127E-2</v>
      </c>
      <c r="S137">
        <f t="shared" si="94"/>
        <v>7.2267021033788675E-5</v>
      </c>
      <c r="T137">
        <f t="shared" si="95"/>
        <v>4.7688892482985692E-4</v>
      </c>
      <c r="U137">
        <f t="shared" si="67"/>
        <v>4152.7016121733377</v>
      </c>
      <c r="V137">
        <f t="shared" si="68"/>
        <v>1410.2</v>
      </c>
      <c r="W137">
        <f t="shared" si="69"/>
        <v>0.12</v>
      </c>
      <c r="X137">
        <f t="shared" si="60"/>
        <v>109.71433444203306</v>
      </c>
      <c r="Y137">
        <f t="shared" si="70"/>
        <v>201.11678489271142</v>
      </c>
      <c r="Z137">
        <f t="shared" si="71"/>
        <v>21107.952784666842</v>
      </c>
      <c r="AA137">
        <f t="shared" si="72"/>
        <v>0</v>
      </c>
      <c r="AB137">
        <f t="shared" si="73"/>
        <v>21864.835485616841</v>
      </c>
      <c r="AC137" s="23">
        <f>IF(B137&gt;$AJ$2,0,HLOOKUP(YEAR(A137),Assumptions!$A$25:$AL$29,4,TRUE)/100)</f>
        <v>6.7850000000000002E-3</v>
      </c>
      <c r="AD137">
        <f t="shared" si="74"/>
        <v>684.77979657713831</v>
      </c>
      <c r="AE137">
        <f t="shared" si="75"/>
        <v>6198.9957810450978</v>
      </c>
      <c r="AF137">
        <f t="shared" si="76"/>
        <v>6174.8079827170068</v>
      </c>
      <c r="AG137">
        <f t="shared" si="77"/>
        <v>6561.5386035008232</v>
      </c>
      <c r="AH137">
        <f t="shared" si="78"/>
        <v>340.40186395431738</v>
      </c>
      <c r="AI137">
        <f t="shared" si="79"/>
        <v>339.84315659598894</v>
      </c>
      <c r="AJ137">
        <f t="shared" si="80"/>
        <v>0</v>
      </c>
      <c r="AK137">
        <f t="shared" si="81"/>
        <v>6.2417671817369733</v>
      </c>
      <c r="AL137">
        <f t="shared" si="82"/>
        <v>41.201123901765953</v>
      </c>
      <c r="AM137">
        <f t="shared" si="61"/>
        <v>0</v>
      </c>
      <c r="AN137">
        <f>IF($S$2=0,0,(SUMPRODUCT($K$2:$R$2,Assumptions!$B$34:$I$34)/$U$2+$J$2/$U$2*Assumptions!$A$34*G137)*K137*O136)</f>
        <v>6.8951830581595956</v>
      </c>
      <c r="AO137">
        <f t="shared" si="83"/>
        <v>0</v>
      </c>
      <c r="AP137">
        <f t="shared" si="84"/>
        <v>0</v>
      </c>
      <c r="AQ137">
        <f>IF(B137&gt;$AJ$2,0,AQ136*(1+Assumptions!$B$43)^(1/12))</f>
        <v>1.1101314968720704</v>
      </c>
      <c r="AR137" s="27">
        <f>IF(B137&gt;$AJ$2,0,(O136+R136)*Assumptions!$B$39/12*AQ136+AV137*Assumptions!$B$41/12)</f>
        <v>6.9857262949971757</v>
      </c>
      <c r="AS137">
        <f t="shared" si="85"/>
        <v>63.762040985393092</v>
      </c>
      <c r="AT137" s="28">
        <f t="shared" si="86"/>
        <v>7425.3820700559781</v>
      </c>
      <c r="AU137">
        <f t="shared" si="87"/>
        <v>47.552706172489188</v>
      </c>
      <c r="AV137" s="28">
        <f t="shared" si="88"/>
        <v>7505.479424120781</v>
      </c>
      <c r="AW137" s="28">
        <f t="shared" si="89"/>
        <v>7544.4459912824232</v>
      </c>
      <c r="AX137" s="23">
        <f>HLOOKUP(YEAR(A137),Assumptions!$A$25:$AL$29,2,TRUE)/100</f>
        <v>1.2784999999999999E-2</v>
      </c>
      <c r="AY137" s="29">
        <f>1/(1+HLOOKUP(YEAR(A137),Assumptions!$A$18:$AL$20,3,TRUE))^(1/12)</f>
        <v>0.99894707511282388</v>
      </c>
      <c r="AZ137" s="26">
        <f t="shared" si="90"/>
        <v>6451.0811399174772</v>
      </c>
      <c r="BA137">
        <f t="shared" si="91"/>
        <v>54.338074141662524</v>
      </c>
      <c r="BB137">
        <f t="shared" si="92"/>
        <v>7465.9179767468313</v>
      </c>
      <c r="BC137">
        <f t="shared" si="93"/>
        <v>0</v>
      </c>
    </row>
    <row r="138" spans="1:55" x14ac:dyDescent="0.2">
      <c r="A138" s="3">
        <f t="shared" si="62"/>
        <v>46965</v>
      </c>
      <c r="B138">
        <f t="shared" si="54"/>
        <v>140</v>
      </c>
      <c r="C138">
        <f t="shared" si="96"/>
        <v>11.583333333333334</v>
      </c>
      <c r="D138">
        <f t="shared" si="97"/>
        <v>0</v>
      </c>
      <c r="E138">
        <f t="shared" si="55"/>
        <v>67</v>
      </c>
      <c r="F138">
        <f>IF(C138&gt;=$T$2,0,VLOOKUP($E138,'Mortality Table'!$A$3:$C$128,2+AF$2,FALSE))</f>
        <v>1.00047E-2</v>
      </c>
      <c r="G138">
        <f>F138*Assumptions!$B$1</f>
        <v>1.00047E-2</v>
      </c>
      <c r="H138">
        <f t="shared" si="63"/>
        <v>8.3757265166972683E-4</v>
      </c>
      <c r="I138">
        <f t="shared" si="99"/>
        <v>2.6301449989759581E-4</v>
      </c>
      <c r="J138">
        <f>IF(B138&gt;$AJ$2,0,HLOOKUP(C138,Assumptions!$A$6:$J$7,2,TRUE))</f>
        <v>6.4199999999999993E-2</v>
      </c>
      <c r="K138" s="4">
        <f t="shared" si="98"/>
        <v>1</v>
      </c>
      <c r="L138" s="4">
        <f t="shared" si="64"/>
        <v>8.3333333333333329E-2</v>
      </c>
      <c r="M138" s="4">
        <f t="shared" si="100"/>
        <v>5.5141990623922554E-3</v>
      </c>
      <c r="N138">
        <f t="shared" si="65"/>
        <v>1.7356285104402236E-3</v>
      </c>
      <c r="O138" s="21">
        <f t="shared" si="101"/>
        <v>0.31275092852142489</v>
      </c>
      <c r="P138">
        <f>IF(B138&gt;$AJ$2,0,HLOOKUP(C138,Assumptions!$A$12:$J$13,2,TRUE))</f>
        <v>5.3E-3</v>
      </c>
      <c r="Q138">
        <f t="shared" si="102"/>
        <v>1.3852967859514969E-4</v>
      </c>
      <c r="R138">
        <f t="shared" si="66"/>
        <v>8.5702334333175312E-2</v>
      </c>
      <c r="S138">
        <f t="shared" si="94"/>
        <v>7.1924830641541062E-5</v>
      </c>
      <c r="T138">
        <f t="shared" si="95"/>
        <v>4.7463081586242376E-4</v>
      </c>
      <c r="U138">
        <f t="shared" si="67"/>
        <v>4152.7016121733377</v>
      </c>
      <c r="V138">
        <f t="shared" si="68"/>
        <v>1410.2</v>
      </c>
      <c r="W138">
        <f t="shared" si="69"/>
        <v>0.12</v>
      </c>
      <c r="X138">
        <f t="shared" si="60"/>
        <v>108.96969379587118</v>
      </c>
      <c r="Y138">
        <f t="shared" si="70"/>
        <v>201.11678489271142</v>
      </c>
      <c r="Z138">
        <f t="shared" si="71"/>
        <v>21309.069569559553</v>
      </c>
      <c r="AA138">
        <f t="shared" si="72"/>
        <v>0</v>
      </c>
      <c r="AB138">
        <f t="shared" si="73"/>
        <v>22078.39009586797</v>
      </c>
      <c r="AC138" s="23">
        <f>IF(B138&gt;$AJ$2,0,HLOOKUP(YEAR(A138),Assumptions!$A$25:$AL$29,4,TRUE)/100)</f>
        <v>6.7850000000000002E-3</v>
      </c>
      <c r="AD138">
        <f t="shared" si="74"/>
        <v>684.77979657713831</v>
      </c>
      <c r="AE138">
        <f t="shared" si="75"/>
        <v>6223.4197793149042</v>
      </c>
      <c r="AF138">
        <f t="shared" si="76"/>
        <v>6198.9957810450978</v>
      </c>
      <c r="AG138">
        <f t="shared" si="77"/>
        <v>6590.3126566857245</v>
      </c>
      <c r="AH138">
        <f t="shared" si="78"/>
        <v>340.95851815391057</v>
      </c>
      <c r="AI138">
        <f t="shared" si="79"/>
        <v>340.40186395431738</v>
      </c>
      <c r="AJ138">
        <f t="shared" si="80"/>
        <v>0</v>
      </c>
      <c r="AK138">
        <f t="shared" si="81"/>
        <v>6.2550463599717716</v>
      </c>
      <c r="AL138">
        <f t="shared" si="82"/>
        <v>41.288808241151699</v>
      </c>
      <c r="AM138">
        <f t="shared" si="61"/>
        <v>0</v>
      </c>
      <c r="AN138">
        <f>IF($S$2=0,0,(SUMPRODUCT($K$2:$R$2,Assumptions!$B$34:$I$34)/$U$2+$J$2/$U$2*Assumptions!$A$34*G138)*K138*O137)</f>
        <v>6.8483848563207541</v>
      </c>
      <c r="AO138">
        <f t="shared" si="83"/>
        <v>0</v>
      </c>
      <c r="AP138">
        <f t="shared" si="84"/>
        <v>0</v>
      </c>
      <c r="AQ138">
        <f>IF(B138&gt;$AJ$2,0,AQ137*(1+Assumptions!$B$43)^(1/12))</f>
        <v>1.111052393260662</v>
      </c>
      <c r="AR138" s="27">
        <f>IF(B138&gt;$AJ$2,0,(O137+R137)*Assumptions!$B$39/12*AQ137+AV138*Assumptions!$B$41/12)</f>
        <v>6.9618572907578722</v>
      </c>
      <c r="AS138">
        <f t="shared" si="85"/>
        <v>63.329282516397875</v>
      </c>
      <c r="AT138" s="28">
        <f t="shared" si="86"/>
        <v>7441.1793545587152</v>
      </c>
      <c r="AU138">
        <f t="shared" si="87"/>
        <v>55.56901375247373</v>
      </c>
      <c r="AV138" s="28">
        <f t="shared" si="88"/>
        <v>7529.415673888544</v>
      </c>
      <c r="AW138" s="28">
        <f t="shared" si="89"/>
        <v>7568.09422787726</v>
      </c>
      <c r="AX138" s="23">
        <f>HLOOKUP(YEAR(A138),Assumptions!$A$25:$AL$29,2,TRUE)/100</f>
        <v>1.2784999999999999E-2</v>
      </c>
      <c r="AY138" s="29">
        <f>1/(1+HLOOKUP(YEAR(A138),Assumptions!$A$18:$AL$20,3,TRUE))^(1/12)</f>
        <v>0.99894707511282388</v>
      </c>
      <c r="AZ138" s="26">
        <f t="shared" si="90"/>
        <v>6505.4964003813948</v>
      </c>
      <c r="BA138">
        <f t="shared" si="91"/>
        <v>54.392239457444227</v>
      </c>
      <c r="BB138">
        <f t="shared" si="92"/>
        <v>7481.8629677160552</v>
      </c>
      <c r="BC138">
        <f t="shared" si="93"/>
        <v>0</v>
      </c>
    </row>
    <row r="139" spans="1:55" x14ac:dyDescent="0.2">
      <c r="A139" s="3">
        <f t="shared" si="62"/>
        <v>46996</v>
      </c>
      <c r="B139">
        <f t="shared" si="54"/>
        <v>141</v>
      </c>
      <c r="C139">
        <f t="shared" si="96"/>
        <v>11.666666666666666</v>
      </c>
      <c r="D139">
        <f t="shared" si="97"/>
        <v>0</v>
      </c>
      <c r="E139">
        <f t="shared" si="55"/>
        <v>67</v>
      </c>
      <c r="F139">
        <f>IF(C139&gt;=$T$2,0,VLOOKUP($E139,'Mortality Table'!$A$3:$C$128,2+AF$2,FALSE))</f>
        <v>1.00047E-2</v>
      </c>
      <c r="G139">
        <f>F139*Assumptions!$B$1</f>
        <v>1.00047E-2</v>
      </c>
      <c r="H139">
        <f t="shared" si="63"/>
        <v>8.3757265166972683E-4</v>
      </c>
      <c r="I139">
        <f t="shared" si="99"/>
        <v>2.6122939781271585E-4</v>
      </c>
      <c r="J139">
        <f>IF(B139&gt;$AJ$2,0,HLOOKUP(C139,Assumptions!$A$6:$J$7,2,TRUE))</f>
        <v>6.4199999999999993E-2</v>
      </c>
      <c r="K139" s="4">
        <f t="shared" ref="K139:K160" si="103">IF(B139&gt;$AJ$2,0,IF(($U$2*(B139+11))/12-INT(($U$2*(B139+11))/12)=0,1,0))</f>
        <v>1</v>
      </c>
      <c r="L139" s="4">
        <f t="shared" si="64"/>
        <v>8.3333333333333329E-2</v>
      </c>
      <c r="M139" s="4">
        <f t="shared" si="100"/>
        <v>5.5141990623922554E-3</v>
      </c>
      <c r="N139">
        <f t="shared" si="65"/>
        <v>1.723848650114005E-3</v>
      </c>
      <c r="O139" s="21">
        <f t="shared" si="101"/>
        <v>0.31062826100777408</v>
      </c>
      <c r="P139">
        <f>IF(B139&gt;$AJ$2,0,HLOOKUP(C139,Assumptions!$A$12:$J$13,2,TRUE))</f>
        <v>5.3E-3</v>
      </c>
      <c r="Q139">
        <f t="shared" si="102"/>
        <v>1.3758946572409419E-4</v>
      </c>
      <c r="R139">
        <f t="shared" si="66"/>
        <v>8.5295957955711793E-2</v>
      </c>
      <c r="S139">
        <f t="shared" si="94"/>
        <v>7.1584021492251932E-5</v>
      </c>
      <c r="T139">
        <f t="shared" si="95"/>
        <v>4.723818216953517E-4</v>
      </c>
      <c r="U139">
        <f t="shared" si="67"/>
        <v>4152.7016121733377</v>
      </c>
      <c r="V139">
        <f t="shared" si="68"/>
        <v>1410.2</v>
      </c>
      <c r="W139">
        <f t="shared" si="69"/>
        <v>0.12</v>
      </c>
      <c r="X139">
        <f t="shared" si="60"/>
        <v>108.23010708996912</v>
      </c>
      <c r="Y139">
        <f t="shared" si="70"/>
        <v>201.11678489271142</v>
      </c>
      <c r="Z139">
        <f t="shared" si="71"/>
        <v>21510.186354452264</v>
      </c>
      <c r="AA139">
        <f t="shared" si="72"/>
        <v>0</v>
      </c>
      <c r="AB139">
        <f t="shared" si="73"/>
        <v>22292.065079575645</v>
      </c>
      <c r="AC139" s="23">
        <f>IF(B139&gt;$AJ$2,0,HLOOKUP(YEAR(A139),Assumptions!$A$25:$AL$29,4,TRUE)/100)</f>
        <v>6.7850000000000002E-3</v>
      </c>
      <c r="AD139">
        <f t="shared" si="74"/>
        <v>684.77979657713831</v>
      </c>
      <c r="AE139">
        <f t="shared" si="75"/>
        <v>6248.0786036734289</v>
      </c>
      <c r="AF139">
        <f t="shared" si="76"/>
        <v>6223.4197793149042</v>
      </c>
      <c r="AG139">
        <f t="shared" si="77"/>
        <v>6619.3496301819559</v>
      </c>
      <c r="AH139">
        <f t="shared" si="78"/>
        <v>341.51313043726628</v>
      </c>
      <c r="AI139">
        <f t="shared" si="79"/>
        <v>340.95851815391057</v>
      </c>
      <c r="AJ139">
        <f t="shared" si="80"/>
        <v>0</v>
      </c>
      <c r="AK139">
        <f t="shared" si="81"/>
        <v>6.2678822392363021</v>
      </c>
      <c r="AL139">
        <f t="shared" si="82"/>
        <v>41.373565786365909</v>
      </c>
      <c r="AM139">
        <f t="shared" si="61"/>
        <v>0</v>
      </c>
      <c r="AN139">
        <f>IF($S$2=0,0,(SUMPRODUCT($K$2:$R$2,Assumptions!$B$34:$I$34)/$U$2+$J$2/$U$2*Assumptions!$A$34*G139)*K139*O138)</f>
        <v>6.8019042779121941</v>
      </c>
      <c r="AO139">
        <f t="shared" si="83"/>
        <v>0</v>
      </c>
      <c r="AP139">
        <f t="shared" si="84"/>
        <v>0</v>
      </c>
      <c r="AQ139">
        <f>IF(B139&gt;$AJ$2,0,AQ138*(1+Assumptions!$B$43)^(1/12))</f>
        <v>1.1119740535679072</v>
      </c>
      <c r="AR139" s="27">
        <f>IF(B139&gt;$AJ$2,0,(O138+R138)*Assumptions!$B$39/12*AQ138+AV139*Assumptions!$B$41/12)</f>
        <v>6.9380360068638103</v>
      </c>
      <c r="AS139">
        <f t="shared" si="85"/>
        <v>62.899461216439171</v>
      </c>
      <c r="AT139" s="28">
        <f t="shared" si="86"/>
        <v>7456.4492781186846</v>
      </c>
      <c r="AU139">
        <f t="shared" si="87"/>
        <v>63.609836339799358</v>
      </c>
      <c r="AV139" s="28">
        <f t="shared" si="88"/>
        <v>7552.845925249715</v>
      </c>
      <c r="AW139" s="28">
        <f t="shared" si="89"/>
        <v>7591.2385351163821</v>
      </c>
      <c r="AX139" s="23">
        <f>HLOOKUP(YEAR(A139),Assumptions!$A$25:$AL$29,2,TRUE)/100</f>
        <v>1.2784999999999999E-2</v>
      </c>
      <c r="AY139" s="29">
        <f>1/(1+HLOOKUP(YEAR(A139),Assumptions!$A$18:$AL$20,3,TRUE))^(1/12)</f>
        <v>0.99894707511282388</v>
      </c>
      <c r="AZ139" s="26">
        <f t="shared" si="90"/>
        <v>6559.2021381503282</v>
      </c>
      <c r="BA139">
        <f t="shared" si="91"/>
        <v>54.443352303514402</v>
      </c>
      <c r="BB139">
        <f t="shared" si="92"/>
        <v>7497.2769114972416</v>
      </c>
      <c r="BC139">
        <f t="shared" si="93"/>
        <v>0</v>
      </c>
    </row>
    <row r="140" spans="1:55" x14ac:dyDescent="0.2">
      <c r="A140" s="3">
        <f t="shared" si="62"/>
        <v>47026</v>
      </c>
      <c r="B140">
        <f t="shared" ref="B140:B203" si="104">B139+1</f>
        <v>142</v>
      </c>
      <c r="C140">
        <f t="shared" si="96"/>
        <v>11.75</v>
      </c>
      <c r="D140">
        <f t="shared" si="97"/>
        <v>0</v>
      </c>
      <c r="E140">
        <f t="shared" ref="E140:E203" si="105">$C$2+INT($C140)</f>
        <v>67</v>
      </c>
      <c r="F140">
        <f>IF(C140&gt;=$T$2,0,VLOOKUP($E140,'Mortality Table'!$A$3:$C$128,2+AF$2,FALSE))</f>
        <v>1.00047E-2</v>
      </c>
      <c r="G140">
        <f>F140*Assumptions!$B$1</f>
        <v>1.00047E-2</v>
      </c>
      <c r="H140">
        <f t="shared" si="63"/>
        <v>8.3757265166972683E-4</v>
      </c>
      <c r="I140">
        <f t="shared" ref="I140:I160" si="106">H140*O139*(1-M140/2)</f>
        <v>2.5945641136957683E-4</v>
      </c>
      <c r="J140">
        <f>IF(B140&gt;$AJ$2,0,HLOOKUP(C140,Assumptions!$A$6:$J$7,2,TRUE))</f>
        <v>6.4199999999999993E-2</v>
      </c>
      <c r="K140" s="4">
        <f t="shared" si="103"/>
        <v>1</v>
      </c>
      <c r="L140" s="4">
        <f t="shared" si="64"/>
        <v>8.3333333333333329E-2</v>
      </c>
      <c r="M140" s="4">
        <f t="shared" ref="M140:M160" si="107">(1-(1-J140)^L140)</f>
        <v>5.5141990623922554E-3</v>
      </c>
      <c r="N140">
        <f t="shared" si="65"/>
        <v>1.712148740715344E-3</v>
      </c>
      <c r="O140" s="21">
        <f t="shared" ref="O140:O160" si="108">IF(B140&gt;$AJ$2,0,O139-I140-N140-Q140)</f>
        <v>0.30852000022153031</v>
      </c>
      <c r="P140">
        <f>IF(B140&gt;$AJ$2,0,HLOOKUP(C140,Assumptions!$A$12:$J$13,2,TRUE))</f>
        <v>5.3E-3</v>
      </c>
      <c r="Q140">
        <f t="shared" ref="Q140:Q160" si="109">(1-(1-P140)^L140)*(O139-I140-N140)</f>
        <v>1.3665563415884879E-4</v>
      </c>
      <c r="R140">
        <f t="shared" si="66"/>
        <v>8.4891227079796169E-2</v>
      </c>
      <c r="S140">
        <f t="shared" si="94"/>
        <v>7.1244590185454596E-5</v>
      </c>
      <c r="T140">
        <f t="shared" si="95"/>
        <v>4.7014191988901472E-4</v>
      </c>
      <c r="U140">
        <f t="shared" si="67"/>
        <v>4152.7016121733377</v>
      </c>
      <c r="V140">
        <f t="shared" si="68"/>
        <v>1410.2</v>
      </c>
      <c r="W140">
        <f t="shared" si="69"/>
        <v>0.12</v>
      </c>
      <c r="X140">
        <f t="shared" ref="X140:X203" si="110">U140/$U$2*K140*O139</f>
        <v>107.49554002279865</v>
      </c>
      <c r="Y140">
        <f t="shared" si="70"/>
        <v>201.11678489271142</v>
      </c>
      <c r="Z140">
        <f t="shared" si="71"/>
        <v>21711.303139344975</v>
      </c>
      <c r="AA140">
        <f t="shared" si="72"/>
        <v>0</v>
      </c>
      <c r="AB140">
        <f t="shared" si="73"/>
        <v>22505.86050459028</v>
      </c>
      <c r="AC140" s="23">
        <f>IF(B140&gt;$AJ$2,0,HLOOKUP(YEAR(A140),Assumptions!$A$25:$AL$29,4,TRUE)/100)</f>
        <v>6.7850000000000002E-3</v>
      </c>
      <c r="AD140">
        <f t="shared" si="74"/>
        <v>684.77979657713831</v>
      </c>
      <c r="AE140">
        <f t="shared" si="75"/>
        <v>6272.9708902824623</v>
      </c>
      <c r="AF140">
        <f t="shared" si="76"/>
        <v>6248.0786036734289</v>
      </c>
      <c r="AG140">
        <f t="shared" si="77"/>
        <v>6648.6484074465152</v>
      </c>
      <c r="AH140">
        <f t="shared" si="78"/>
        <v>342.06571196495281</v>
      </c>
      <c r="AI140">
        <f t="shared" si="79"/>
        <v>341.51313043726628</v>
      </c>
      <c r="AJ140">
        <f t="shared" si="80"/>
        <v>0</v>
      </c>
      <c r="AK140">
        <f t="shared" si="81"/>
        <v>6.2802800698759436</v>
      </c>
      <c r="AL140">
        <f t="shared" si="82"/>
        <v>41.45543120401215</v>
      </c>
      <c r="AM140">
        <f t="shared" ref="AM140:AM203" si="111">IF($AJ$2+1=B140,O139*(Z139+AD139+MAX(0,IF(MONTH(A140)=1,AB139-AD139-Z139,0)))+R139*(AF139+AH139),0)</f>
        <v>0</v>
      </c>
      <c r="AN140">
        <f>IF($S$2=0,0,(SUMPRODUCT($K$2:$R$2,Assumptions!$B$34:$I$34)/$U$2+$J$2/$U$2*Assumptions!$A$34*G140)*K140*O139)</f>
        <v>6.7557391671963112</v>
      </c>
      <c r="AO140">
        <f t="shared" si="83"/>
        <v>0</v>
      </c>
      <c r="AP140">
        <f t="shared" si="84"/>
        <v>0</v>
      </c>
      <c r="AQ140">
        <f>IF(B140&gt;$AJ$2,0,AQ139*(1+Assumptions!$B$43)^(1/12))</f>
        <v>1.1128964784275057</v>
      </c>
      <c r="AR140" s="27">
        <f>IF(B140&gt;$AJ$2,0,(O139+R139)*Assumptions!$B$39/12*AQ139+AV140*Assumptions!$B$41/12)</f>
        <v>6.9142628456867792</v>
      </c>
      <c r="AS140">
        <f t="shared" si="85"/>
        <v>62.472557150697519</v>
      </c>
      <c r="AT140" s="28">
        <f t="shared" si="86"/>
        <v>7471.1980866946506</v>
      </c>
      <c r="AU140">
        <f t="shared" si="87"/>
        <v>71.674646239745584</v>
      </c>
      <c r="AV140" s="28">
        <f t="shared" si="88"/>
        <v>7575.7759324419858</v>
      </c>
      <c r="AW140" s="28">
        <f t="shared" si="89"/>
        <v>7613.8846524683995</v>
      </c>
      <c r="AX140" s="23">
        <f>HLOOKUP(YEAR(A140),Assumptions!$A$25:$AL$29,2,TRUE)/100</f>
        <v>1.2784999999999999E-2</v>
      </c>
      <c r="AY140" s="29">
        <f>1/(1+HLOOKUP(YEAR(A140),Assumptions!$A$18:$AL$20,3,TRUE))^(1/12)</f>
        <v>0.99894707511282388</v>
      </c>
      <c r="AZ140" s="26">
        <f t="shared" si="90"/>
        <v>6612.2055915872479</v>
      </c>
      <c r="BA140">
        <f t="shared" si="91"/>
        <v>54.491450441084403</v>
      </c>
      <c r="BB140">
        <f t="shared" si="92"/>
        <v>7512.1660961021862</v>
      </c>
      <c r="BC140">
        <f t="shared" si="93"/>
        <v>0</v>
      </c>
    </row>
    <row r="141" spans="1:55" x14ac:dyDescent="0.2">
      <c r="A141" s="3">
        <f t="shared" ref="A141:A204" si="112">DATE(YEAR(A140),MONTH(A140)+2,1)-1</f>
        <v>47057</v>
      </c>
      <c r="B141">
        <f t="shared" si="104"/>
        <v>143</v>
      </c>
      <c r="C141">
        <f t="shared" si="96"/>
        <v>11.833333333333334</v>
      </c>
      <c r="D141">
        <f t="shared" si="97"/>
        <v>0</v>
      </c>
      <c r="E141">
        <f t="shared" si="105"/>
        <v>67</v>
      </c>
      <c r="F141">
        <f>IF(C141&gt;=$T$2,0,VLOOKUP($E141,'Mortality Table'!$A$3:$C$128,2+AF$2,FALSE))</f>
        <v>1.00047E-2</v>
      </c>
      <c r="G141">
        <f>F141*Assumptions!$B$1</f>
        <v>1.00047E-2</v>
      </c>
      <c r="H141">
        <f t="shared" ref="H141:H204" si="113">(1-(1-G141)^(1/12))</f>
        <v>8.3757265166972683E-4</v>
      </c>
      <c r="I141">
        <f t="shared" si="106"/>
        <v>2.5769545833827386E-4</v>
      </c>
      <c r="J141">
        <f>IF(B141&gt;$AJ$2,0,HLOOKUP(C141,Assumptions!$A$6:$J$7,2,TRUE))</f>
        <v>6.4199999999999993E-2</v>
      </c>
      <c r="K141" s="4">
        <f t="shared" si="103"/>
        <v>1</v>
      </c>
      <c r="L141" s="4">
        <f t="shared" ref="L141:L204" si="114">IF(B141&gt;$AJ$2,0,IF(B141=$AJ$2,1/$U$2,IF(K142=0,0,1/$U$2)))</f>
        <v>8.3333333333333329E-2</v>
      </c>
      <c r="M141" s="4">
        <f t="shared" si="107"/>
        <v>5.5141990623922554E-3</v>
      </c>
      <c r="N141">
        <f t="shared" ref="N141:N204" si="115">M141*O140*(1-H141/2)</f>
        <v>1.7005282396104029E-3</v>
      </c>
      <c r="O141" s="21">
        <f t="shared" si="108"/>
        <v>0.3064260483829927</v>
      </c>
      <c r="P141">
        <f>IF(B141&gt;$AJ$2,0,HLOOKUP(C141,Assumptions!$A$12:$J$13,2,TRUE))</f>
        <v>5.3E-3</v>
      </c>
      <c r="Q141">
        <f t="shared" si="109"/>
        <v>1.3572814058894093E-4</v>
      </c>
      <c r="R141">
        <f t="shared" ref="R141:R204" si="116">IF(B141&gt;$AJ$2,0,Q141+R140-S141-T141)</f>
        <v>8.448813759917341E-2</v>
      </c>
      <c r="S141">
        <f t="shared" si="94"/>
        <v>7.090653330584278E-5</v>
      </c>
      <c r="T141">
        <f t="shared" si="95"/>
        <v>4.6791108790586103E-4</v>
      </c>
      <c r="U141">
        <f t="shared" ref="U141:U204" si="117">IF(B141&gt;$AJ$2,0,U140*(1+$I$2/100)^D141)</f>
        <v>4152.7016121733377</v>
      </c>
      <c r="V141">
        <f t="shared" ref="V141:V204" si="118">IF(B141&gt;$AJ$2,0,IF(E141&lt;=75,SUM($J$2:$R$2),0))</f>
        <v>1410.2</v>
      </c>
      <c r="W141">
        <f t="shared" ref="W141:W204" si="119">IF(B141&gt;$AJ$2,0,($G$2+IF(B141&lt;13,$D$2,IF(B141&lt;25,$E$2,IF(B141&lt;37,$F$2,0))))/100)</f>
        <v>0.12</v>
      </c>
      <c r="X141">
        <f t="shared" si="110"/>
        <v>106.76595852563896</v>
      </c>
      <c r="Y141">
        <f t="shared" ref="Y141:Y204" si="120">IF($W$2=0,0,(U141-V141)*(1-W141)/$U$2*K141)</f>
        <v>201.11678489271142</v>
      </c>
      <c r="Z141">
        <f t="shared" ref="Z141:Z204" si="121">IF(B141&gt;$AJ$2,0,(Z140+Y141)*(1+$V$2/100)^(1/12))</f>
        <v>21912.419924237685</v>
      </c>
      <c r="AA141">
        <f t="shared" ref="AA141:AA204" si="122">IF(B141&gt;$AJ$2,0,MAX(0,IF(MONTH(A141)=1,AB140-AD140-Z140,0)))</f>
        <v>0</v>
      </c>
      <c r="AB141">
        <f t="shared" ref="AB141:AB204" si="123">IF(B141&gt;$AJ$2,0,(AB140+Y141)*(1+MAX(AC141,$V$2/100))^(1/12))</f>
        <v>22719.776438800538</v>
      </c>
      <c r="AC141" s="23">
        <f>IF(B141&gt;$AJ$2,0,HLOOKUP(YEAR(A141),Assumptions!$A$25:$AL$29,4,TRUE)/100)</f>
        <v>6.7850000000000002E-3</v>
      </c>
      <c r="AD141">
        <f t="shared" ref="AD141:AD204" si="124">IF(B141&gt;$AJ$2,0,AD140+AA141)*(1+$V$2/100)^(1/12)</f>
        <v>684.77979657713831</v>
      </c>
      <c r="AE141">
        <f t="shared" ref="AE141:AE204" si="125">IF(B141&gt;$AJ$2,0,IF(R141=0,0,(AF141*(R141-Q141)+Q141*Z141)/R141))</f>
        <v>6298.0952852275232</v>
      </c>
      <c r="AF141">
        <f t="shared" ref="AF141:AF204" si="126">IF(B141&gt;$AJ$2,0,AE140*(1+$V$2/100)^(1/12))</f>
        <v>6272.9708902824623</v>
      </c>
      <c r="AG141">
        <f t="shared" ref="AG141:AG204" si="127">IF(B141&gt;$AJ$2,0,IF(R141=0,0,(AG140*(R141-Q141)*(1+MAX(AC141,$V$2/100))^(1/12)+Q141*AB141)/R141))</f>
        <v>6678.2078803020031</v>
      </c>
      <c r="AH141">
        <f t="shared" ref="AH141:AH204" si="128">IF(B141&gt;$AJ$2,0,IF(R141=0,0,(AI141*(R141-Q141)+Q141*AD141)/R141))</f>
        <v>342.61627381635412</v>
      </c>
      <c r="AI141">
        <f t="shared" ref="AI141:AI204" si="129">IF(B141&gt;$AJ$2,0,(AH140+AJ141)*(1+$V$2/100)^(1/12))</f>
        <v>342.06571196495281</v>
      </c>
      <c r="AJ141">
        <f t="shared" ref="AJ141:AJ204" si="130">IF(B141&gt;$AJ$2,0,MAX(0,IF(MONTH(A141)=1,AG140-AE140-AH140)))</f>
        <v>0</v>
      </c>
      <c r="AK141">
        <f t="shared" ref="AK141:AK204" si="131">I141*(Z141+AD141)+S141*(AF141+AI141)</f>
        <v>6.2922450523735156</v>
      </c>
      <c r="AL141">
        <f t="shared" ref="AL141:AL204" si="132">N141*(Z141+AD141+BC141)+T141*(AE141+AH141)</f>
        <v>41.534438831423167</v>
      </c>
      <c r="AM141">
        <f t="shared" si="111"/>
        <v>0</v>
      </c>
      <c r="AN141">
        <f>IF($S$2=0,0,(SUMPRODUCT($K$2:$R$2,Assumptions!$B$34:$I$34)/$U$2+$J$2/$U$2*Assumptions!$A$34*G141)*K141*O140)</f>
        <v>6.7098873830666808</v>
      </c>
      <c r="AO141">
        <f t="shared" ref="AO141:AO204" si="133">($P$2+$R$2)/$U$2*K141*O140</f>
        <v>0</v>
      </c>
      <c r="AP141">
        <f t="shared" ref="AP141:AP204" si="134">IF(B141&lt;=12,(X141-AO141)*$AB$2+AO141*0.06,IF(B141&lt;=24,(X141-AO141)*$AC$2+AO141*0.06,IF(B141&lt;=36,(X141-AO141)*$AD$2+AO141*0.06,0)))</f>
        <v>0</v>
      </c>
      <c r="AQ141">
        <f>IF(B141&gt;$AJ$2,0,AQ140*(1+Assumptions!$B$43)^(1/12))</f>
        <v>1.113819668473683</v>
      </c>
      <c r="AR141" s="27">
        <f>IF(B141&gt;$AJ$2,0,(O140+R140)*Assumptions!$B$39/12*AQ140+AV141*Assumptions!$B$41/12)</f>
        <v>6.8905382024595934</v>
      </c>
      <c r="AS141">
        <f t="shared" ref="AS141:AS204" si="135">IF(B141&gt;$AJ$2,0,Y141*K141*O140)</f>
        <v>62.048550519652792</v>
      </c>
      <c r="AT141" s="28">
        <f t="shared" ref="AT141:AT204" si="136">IF(B141&gt;$AJ$2,0,O141*(Z141+AD141+AA142+BC141)+R141*(AE141+AH141+AJ142))</f>
        <v>7485.4319669274728</v>
      </c>
      <c r="AU141">
        <f t="shared" ref="AU141:AU204" si="137">IF(B141&gt;$AJ$2,0,IF(MONTH(A141)=12,0,AU140+AW141*((1+AX141)^(1/12)-1)-BB141*((1+$V$2/100)^(1/12)-1)))</f>
        <v>79.762921780277694</v>
      </c>
      <c r="AV141" s="28">
        <f t="shared" ref="AV141:AV204" si="138">IF(B141&gt;$AJ$2,0,AT140+AS141-AN141+AU140)</f>
        <v>7598.211396070983</v>
      </c>
      <c r="AW141" s="28">
        <f t="shared" ref="AW141:AW204" si="139">IF(B141&gt;$AJ$2,0,AT140+X141+AU140-AN141-AP141-AR141)</f>
        <v>7636.0382658745093</v>
      </c>
      <c r="AX141" s="23">
        <f>HLOOKUP(YEAR(A141),Assumptions!$A$25:$AL$29,2,TRUE)/100</f>
        <v>1.2784999999999999E-2</v>
      </c>
      <c r="AY141" s="29">
        <f>1/(1+HLOOKUP(YEAR(A141),Assumptions!$A$18:$AL$20,3,TRUE))^(1/12)</f>
        <v>0.99894707511282388</v>
      </c>
      <c r="AZ141" s="26">
        <f t="shared" ref="AZ141:AZ204" si="140">(AZ142+BA142+AR142+AP142-X142)*AY142</f>
        <v>6664.5139348239445</v>
      </c>
      <c r="BA141">
        <f t="shared" ref="BA141:BA204" si="141">AK141+AL141+AM141+AN141</f>
        <v>54.536571266863362</v>
      </c>
      <c r="BB141">
        <f t="shared" ref="BB141:BB204" si="142">IF(B141&gt;$AJ$2,0,AT140-BC140*O140+AS141-AN141)</f>
        <v>7526.5367498312371</v>
      </c>
      <c r="BC141">
        <f t="shared" ref="BC141:BC204" si="143">IF($W$2=0,0,IF(B141&gt;$AJ$2,0,BC140+V141/$U$2*K141-$U$2/12*V141/$U$2))</f>
        <v>0</v>
      </c>
    </row>
    <row r="142" spans="1:55" x14ac:dyDescent="0.2">
      <c r="A142" s="3">
        <f t="shared" si="112"/>
        <v>47087</v>
      </c>
      <c r="B142">
        <f t="shared" si="104"/>
        <v>144</v>
      </c>
      <c r="C142">
        <f t="shared" si="96"/>
        <v>11.916666666666666</v>
      </c>
      <c r="D142">
        <f t="shared" si="97"/>
        <v>0</v>
      </c>
      <c r="E142">
        <f t="shared" si="105"/>
        <v>67</v>
      </c>
      <c r="F142">
        <f>IF(C142&gt;=$T$2,0,VLOOKUP($E142,'Mortality Table'!$A$3:$C$128,2+AF$2,FALSE))</f>
        <v>1.00047E-2</v>
      </c>
      <c r="G142">
        <f>F142*Assumptions!$B$1</f>
        <v>1.00047E-2</v>
      </c>
      <c r="H142">
        <f t="shared" si="113"/>
        <v>8.3757265166972683E-4</v>
      </c>
      <c r="I142">
        <f t="shared" si="106"/>
        <v>2.5594645704700339E-4</v>
      </c>
      <c r="J142">
        <f>IF(B142&gt;$AJ$2,0,HLOOKUP(C142,Assumptions!$A$6:$J$7,2,TRUE))</f>
        <v>6.4199999999999993E-2</v>
      </c>
      <c r="K142" s="4">
        <f t="shared" si="103"/>
        <v>1</v>
      </c>
      <c r="L142" s="4">
        <f t="shared" si="114"/>
        <v>8.3333333333333329E-2</v>
      </c>
      <c r="M142" s="4">
        <f t="shared" si="107"/>
        <v>5.5141990623922554E-3</v>
      </c>
      <c r="N142">
        <f t="shared" si="115"/>
        <v>1.6889866078482465E-3</v>
      </c>
      <c r="O142" s="21">
        <f t="shared" si="108"/>
        <v>0.30434630837609961</v>
      </c>
      <c r="P142">
        <f>IF(B142&gt;$AJ$2,0,HLOOKUP(C142,Assumptions!$A$12:$J$13,2,TRUE))</f>
        <v>5.3E-3</v>
      </c>
      <c r="Q142">
        <f t="shared" si="109"/>
        <v>1.3480694199784982E-4</v>
      </c>
      <c r="R142">
        <f t="shared" si="116"/>
        <v>8.4086685390634991E-2</v>
      </c>
      <c r="S142">
        <f t="shared" ref="S142:S205" si="144">H142*R141*(1-M142/2)</f>
        <v>7.0569847423612031E-5</v>
      </c>
      <c r="T142">
        <f t="shared" ref="T142:T205" si="145">M142*R141*(1-H142/2)</f>
        <v>4.6568930311266543E-4</v>
      </c>
      <c r="U142">
        <f t="shared" si="117"/>
        <v>4152.7016121733377</v>
      </c>
      <c r="V142">
        <f t="shared" si="118"/>
        <v>1410.2</v>
      </c>
      <c r="W142">
        <f t="shared" si="119"/>
        <v>0.12</v>
      </c>
      <c r="X142">
        <f t="shared" si="110"/>
        <v>106.04132876099659</v>
      </c>
      <c r="Y142">
        <f t="shared" si="120"/>
        <v>201.11678489271142</v>
      </c>
      <c r="Z142">
        <f t="shared" si="121"/>
        <v>22113.536709130396</v>
      </c>
      <c r="AA142">
        <f t="shared" si="122"/>
        <v>0</v>
      </c>
      <c r="AB142">
        <f t="shared" si="123"/>
        <v>22933.812950133346</v>
      </c>
      <c r="AC142" s="23">
        <f>IF(B142&gt;$AJ$2,0,HLOOKUP(YEAR(A142),Assumptions!$A$25:$AL$29,4,TRUE)/100)</f>
        <v>6.7850000000000002E-3</v>
      </c>
      <c r="AD142">
        <f t="shared" si="124"/>
        <v>684.77979657713831</v>
      </c>
      <c r="AE142">
        <f t="shared" si="125"/>
        <v>6323.4504444277909</v>
      </c>
      <c r="AF142">
        <f t="shared" si="126"/>
        <v>6298.0952852275232</v>
      </c>
      <c r="AG142">
        <f t="shared" si="127"/>
        <v>6708.026948860861</v>
      </c>
      <c r="AH142">
        <f t="shared" si="128"/>
        <v>343.16482699040671</v>
      </c>
      <c r="AI142">
        <f t="shared" si="129"/>
        <v>342.61627381635412</v>
      </c>
      <c r="AJ142">
        <f t="shared" si="130"/>
        <v>0</v>
      </c>
      <c r="AK142">
        <f t="shared" si="131"/>
        <v>6.3037823377780056</v>
      </c>
      <c r="AL142">
        <f t="shared" si="132"/>
        <v>41.61062267949265</v>
      </c>
      <c r="AM142">
        <f t="shared" si="111"/>
        <v>0</v>
      </c>
      <c r="AN142">
        <f>IF($S$2=0,0,(SUMPRODUCT($K$2:$R$2,Assumptions!$B$34:$I$34)/$U$2+$J$2/$U$2*Assumptions!$A$34*G142)*K142*O141)</f>
        <v>6.664346798948749</v>
      </c>
      <c r="AO142">
        <f t="shared" si="133"/>
        <v>0</v>
      </c>
      <c r="AP142">
        <f t="shared" si="134"/>
        <v>0</v>
      </c>
      <c r="AQ142">
        <f>IF(B142&gt;$AJ$2,0,AQ141*(1+Assumptions!$B$43)^(1/12))</f>
        <v>1.1147436243411903</v>
      </c>
      <c r="AR142" s="27">
        <f>IF(B142&gt;$AJ$2,0,(O141+R141)*Assumptions!$B$39/12*AQ141+AV142*Assumptions!$B$41/12)</f>
        <v>6.8668624653516392</v>
      </c>
      <c r="AS142">
        <f t="shared" si="135"/>
        <v>61.627421658165929</v>
      </c>
      <c r="AT142" s="28">
        <f t="shared" si="136"/>
        <v>7499.1570466501316</v>
      </c>
      <c r="AU142">
        <f t="shared" si="137"/>
        <v>87.874147255832185</v>
      </c>
      <c r="AV142" s="28">
        <f t="shared" si="138"/>
        <v>7620.1579635669677</v>
      </c>
      <c r="AW142" s="28">
        <f t="shared" si="139"/>
        <v>7657.7050082044461</v>
      </c>
      <c r="AX142" s="23">
        <f>HLOOKUP(YEAR(A142),Assumptions!$A$25:$AL$29,2,TRUE)/100</f>
        <v>1.2784999999999999E-2</v>
      </c>
      <c r="AY142" s="29">
        <f>1/(1+HLOOKUP(YEAR(A142),Assumptions!$A$18:$AL$20,3,TRUE))^(1/12)</f>
        <v>0.99894707511282388</v>
      </c>
      <c r="AZ142" s="26">
        <f t="shared" si="140"/>
        <v>6716.1342782929642</v>
      </c>
      <c r="BA142">
        <f t="shared" si="141"/>
        <v>54.578751816219402</v>
      </c>
      <c r="BB142">
        <f t="shared" si="142"/>
        <v>7540.3950417866899</v>
      </c>
      <c r="BC142">
        <f t="shared" si="143"/>
        <v>0</v>
      </c>
    </row>
    <row r="143" spans="1:55" x14ac:dyDescent="0.2">
      <c r="A143" s="3">
        <f t="shared" si="112"/>
        <v>47118</v>
      </c>
      <c r="B143">
        <f t="shared" si="104"/>
        <v>145</v>
      </c>
      <c r="C143">
        <f t="shared" si="96"/>
        <v>12</v>
      </c>
      <c r="D143">
        <f t="shared" si="97"/>
        <v>1</v>
      </c>
      <c r="E143">
        <f t="shared" si="105"/>
        <v>68</v>
      </c>
      <c r="F143">
        <f>IF(C143&gt;=$T$2,0,VLOOKUP($E143,'Mortality Table'!$A$3:$C$128,2+AF$2,FALSE))</f>
        <v>1.10735E-2</v>
      </c>
      <c r="G143">
        <f>F143*Assumptions!$B$1</f>
        <v>1.10735E-2</v>
      </c>
      <c r="H143">
        <f t="shared" si="113"/>
        <v>9.2750856556889083E-4</v>
      </c>
      <c r="I143">
        <f t="shared" si="106"/>
        <v>2.8150552336362819E-4</v>
      </c>
      <c r="J143">
        <f>IF(B143&gt;$AJ$2,0,HLOOKUP(C143,Assumptions!$A$6:$J$7,2,TRUE))</f>
        <v>6.4199999999999993E-2</v>
      </c>
      <c r="K143" s="4">
        <f t="shared" si="103"/>
        <v>1</v>
      </c>
      <c r="L143" s="4">
        <f t="shared" si="114"/>
        <v>8.3333333333333329E-2</v>
      </c>
      <c r="M143" s="4">
        <f t="shared" si="107"/>
        <v>5.5141990623922554E-3</v>
      </c>
      <c r="N143">
        <f t="shared" si="115"/>
        <v>1.6774478437355574E-3</v>
      </c>
      <c r="O143" s="21">
        <f t="shared" si="108"/>
        <v>0.30225347506513262</v>
      </c>
      <c r="P143">
        <f>IF(B143&gt;$AJ$2,0,HLOOKUP(C143,Assumptions!$A$12:$J$13,2,TRUE))</f>
        <v>5.3E-3</v>
      </c>
      <c r="Q143">
        <f t="shared" si="109"/>
        <v>1.3387994386776555E-4</v>
      </c>
      <c r="R143">
        <f t="shared" si="116"/>
        <v>8.3679333550377946E-2</v>
      </c>
      <c r="S143">
        <f t="shared" si="144"/>
        <v>7.7776091667101463E-5</v>
      </c>
      <c r="T143">
        <f t="shared" si="145"/>
        <v>4.6345569245770304E-4</v>
      </c>
      <c r="U143">
        <f t="shared" si="117"/>
        <v>4277.282660538538</v>
      </c>
      <c r="V143">
        <f t="shared" si="118"/>
        <v>1410.2</v>
      </c>
      <c r="W143">
        <f t="shared" si="119"/>
        <v>0.12</v>
      </c>
      <c r="X143">
        <f t="shared" si="110"/>
        <v>108.48126563466714</v>
      </c>
      <c r="Y143">
        <f t="shared" si="120"/>
        <v>210.25272843949281</v>
      </c>
      <c r="Z143">
        <f t="shared" si="121"/>
        <v>22323.789437569889</v>
      </c>
      <c r="AA143">
        <f t="shared" si="122"/>
        <v>0</v>
      </c>
      <c r="AB143">
        <f t="shared" si="123"/>
        <v>23157.111199720755</v>
      </c>
      <c r="AC143" s="23">
        <f>IF(B143&gt;$AJ$2,0,HLOOKUP(YEAR(A143),Assumptions!$A$25:$AL$29,4,TRUE)/100)</f>
        <v>6.7850000000000002E-3</v>
      </c>
      <c r="AD143">
        <f t="shared" si="124"/>
        <v>684.77979657713831</v>
      </c>
      <c r="AE143">
        <f t="shared" si="125"/>
        <v>6349.0496502935666</v>
      </c>
      <c r="AF143">
        <f t="shared" si="126"/>
        <v>6323.4504444277909</v>
      </c>
      <c r="AG143">
        <f t="shared" si="127"/>
        <v>6738.1191464359426</v>
      </c>
      <c r="AH143">
        <f t="shared" si="128"/>
        <v>343.7113824063282</v>
      </c>
      <c r="AI143">
        <f t="shared" si="129"/>
        <v>343.16482699040671</v>
      </c>
      <c r="AJ143">
        <f t="shared" si="130"/>
        <v>0</v>
      </c>
      <c r="AK143">
        <f t="shared" si="131"/>
        <v>6.9955426045659523</v>
      </c>
      <c r="AL143">
        <f t="shared" si="132"/>
        <v>41.697473048124081</v>
      </c>
      <c r="AM143">
        <f t="shared" si="111"/>
        <v>0</v>
      </c>
      <c r="AN143">
        <f>IF($S$2=0,0,(SUMPRODUCT($K$2:$R$2,Assumptions!$B$34:$I$34)/$U$2+$J$2/$U$2*Assumptions!$A$34*G143)*K143*O142)</f>
        <v>6.6338913890159841</v>
      </c>
      <c r="AO143">
        <f t="shared" si="133"/>
        <v>0</v>
      </c>
      <c r="AP143">
        <f t="shared" si="134"/>
        <v>0</v>
      </c>
      <c r="AQ143">
        <f>IF(B143&gt;$AJ$2,0,AQ142*(1+Assumptions!$B$43)^(1/12))</f>
        <v>1.1156683466653057</v>
      </c>
      <c r="AR143" s="27">
        <f>IF(B143&gt;$AJ$2,0,(O142+R142)*Assumptions!$B$39/12*AQ142+AV143*Assumptions!$B$41/12)</f>
        <v>6.8438583013299956</v>
      </c>
      <c r="AS143">
        <f t="shared" si="135"/>
        <v>63.989641726562205</v>
      </c>
      <c r="AT143" s="28">
        <f t="shared" si="136"/>
        <v>7563.1586521421013</v>
      </c>
      <c r="AU143">
        <f t="shared" si="137"/>
        <v>0</v>
      </c>
      <c r="AV143" s="28">
        <f t="shared" si="138"/>
        <v>7644.3869442435098</v>
      </c>
      <c r="AW143" s="28">
        <f t="shared" si="139"/>
        <v>7682.0347098502853</v>
      </c>
      <c r="AX143" s="23">
        <f>HLOOKUP(YEAR(A143),Assumptions!$A$25:$AL$29,2,TRUE)/100</f>
        <v>1.2784999999999999E-2</v>
      </c>
      <c r="AY143" s="29">
        <f>1/(1+HLOOKUP(YEAR(A143),Assumptions!$A$18:$AL$20,3,TRUE))^(1/12)</f>
        <v>0.99894707511282388</v>
      </c>
      <c r="AZ143" s="26">
        <f t="shared" si="140"/>
        <v>6769.5238172077698</v>
      </c>
      <c r="BA143">
        <f t="shared" si="141"/>
        <v>55.326907041706022</v>
      </c>
      <c r="BB143">
        <f t="shared" si="142"/>
        <v>7556.5127969876776</v>
      </c>
      <c r="BC143">
        <f t="shared" si="143"/>
        <v>0</v>
      </c>
    </row>
    <row r="144" spans="1:55" x14ac:dyDescent="0.2">
      <c r="A144" s="3">
        <f t="shared" si="112"/>
        <v>47149</v>
      </c>
      <c r="B144">
        <f t="shared" si="104"/>
        <v>146</v>
      </c>
      <c r="C144">
        <f t="shared" si="96"/>
        <v>12.083333333333334</v>
      </c>
      <c r="D144">
        <f t="shared" si="97"/>
        <v>0</v>
      </c>
      <c r="E144">
        <f t="shared" si="105"/>
        <v>68</v>
      </c>
      <c r="F144">
        <f>IF(C144&gt;=$T$2,0,VLOOKUP($E144,'Mortality Table'!$A$3:$C$128,2+AF$2,FALSE))</f>
        <v>1.10735E-2</v>
      </c>
      <c r="G144">
        <f>F144*Assumptions!$B$1</f>
        <v>1.10735E-2</v>
      </c>
      <c r="H144">
        <f t="shared" si="113"/>
        <v>9.2750856556889083E-4</v>
      </c>
      <c r="I144">
        <f t="shared" si="106"/>
        <v>2.795697544047074E-4</v>
      </c>
      <c r="J144">
        <f>IF(B144&gt;$AJ$2,0,HLOOKUP(C144,Assumptions!$A$6:$J$7,2,TRUE))</f>
        <v>6.4199999999999993E-2</v>
      </c>
      <c r="K144" s="4">
        <f t="shared" si="103"/>
        <v>1</v>
      </c>
      <c r="L144" s="4">
        <f t="shared" si="114"/>
        <v>8.3333333333333329E-2</v>
      </c>
      <c r="M144" s="4">
        <f t="shared" si="107"/>
        <v>5.5141990623922554E-3</v>
      </c>
      <c r="N144">
        <f t="shared" si="115"/>
        <v>1.665912896117789E-3</v>
      </c>
      <c r="O144" s="21">
        <f t="shared" si="108"/>
        <v>0.30017503309438226</v>
      </c>
      <c r="P144">
        <f>IF(B144&gt;$AJ$2,0,HLOOKUP(C144,Assumptions!$A$12:$J$13,2,TRUE))</f>
        <v>5.3E-3</v>
      </c>
      <c r="Q144">
        <f t="shared" si="109"/>
        <v>1.3295932022790001E-4</v>
      </c>
      <c r="R144">
        <f t="shared" si="116"/>
        <v>8.3273683044550198E-2</v>
      </c>
      <c r="S144">
        <f t="shared" si="144"/>
        <v>7.7399311039807011E-5</v>
      </c>
      <c r="T144">
        <f t="shared" si="145"/>
        <v>4.6121051501583807E-4</v>
      </c>
      <c r="U144">
        <f t="shared" si="117"/>
        <v>4277.282660538538</v>
      </c>
      <c r="V144">
        <f t="shared" si="118"/>
        <v>1410.2</v>
      </c>
      <c r="W144">
        <f t="shared" si="119"/>
        <v>0.12</v>
      </c>
      <c r="X144">
        <f t="shared" si="110"/>
        <v>107.73529566530075</v>
      </c>
      <c r="Y144">
        <f t="shared" si="120"/>
        <v>210.25272843949281</v>
      </c>
      <c r="Z144">
        <f t="shared" si="121"/>
        <v>22534.042166009382</v>
      </c>
      <c r="AA144">
        <f t="shared" si="122"/>
        <v>148.54196557372779</v>
      </c>
      <c r="AB144">
        <f t="shared" si="123"/>
        <v>23380.804297274983</v>
      </c>
      <c r="AC144" s="23">
        <f>IF(B144&gt;$AJ$2,0,HLOOKUP(YEAR(A144),Assumptions!$A$25:$AL$29,4,TRUE)/100)</f>
        <v>6.9240000000000005E-3</v>
      </c>
      <c r="AD144">
        <f t="shared" si="124"/>
        <v>833.32176215086611</v>
      </c>
      <c r="AE144">
        <f t="shared" si="125"/>
        <v>6374.8914952091081</v>
      </c>
      <c r="AF144">
        <f t="shared" si="126"/>
        <v>6349.0496502935666</v>
      </c>
      <c r="AG144">
        <f t="shared" si="127"/>
        <v>6768.5611912712538</v>
      </c>
      <c r="AH144">
        <f t="shared" si="128"/>
        <v>389.77881362586703</v>
      </c>
      <c r="AI144">
        <f t="shared" si="129"/>
        <v>389.06949614237601</v>
      </c>
      <c r="AJ144">
        <f t="shared" si="130"/>
        <v>45.358113736047812</v>
      </c>
      <c r="AK144">
        <f t="shared" si="131"/>
        <v>7.0543339741194533</v>
      </c>
      <c r="AL144">
        <f t="shared" si="132"/>
        <v>42.047929993249916</v>
      </c>
      <c r="AM144">
        <f t="shared" si="111"/>
        <v>0</v>
      </c>
      <c r="AN144">
        <f>IF($S$2=0,0,(SUMPRODUCT($K$2:$R$2,Assumptions!$B$34:$I$34)/$U$2+$J$2/$U$2*Assumptions!$A$34*G144)*K144*O143)</f>
        <v>6.5882735237809866</v>
      </c>
      <c r="AO144">
        <f t="shared" si="133"/>
        <v>0</v>
      </c>
      <c r="AP144">
        <f t="shared" si="134"/>
        <v>0</v>
      </c>
      <c r="AQ144">
        <f>IF(B144&gt;$AJ$2,0,AQ143*(1+Assumptions!$B$43)^(1/12))</f>
        <v>1.1165938360818342</v>
      </c>
      <c r="AR144" s="27">
        <f>IF(B144&gt;$AJ$2,0,(O143+R143)*Assumptions!$B$39/12*AQ143+AV144*Assumptions!$B$41/12)</f>
        <v>6.8096410515885735</v>
      </c>
      <c r="AS144">
        <f t="shared" si="135"/>
        <v>63.549617812762342</v>
      </c>
      <c r="AT144" s="28">
        <f t="shared" si="136"/>
        <v>7577.6182516627805</v>
      </c>
      <c r="AU144">
        <f t="shared" si="137"/>
        <v>8.1986709997737375</v>
      </c>
      <c r="AV144" s="28">
        <f t="shared" si="138"/>
        <v>7620.1199964310827</v>
      </c>
      <c r="AW144" s="28">
        <f t="shared" si="139"/>
        <v>7657.4960332320325</v>
      </c>
      <c r="AX144" s="23">
        <f>HLOOKUP(YEAR(A144),Assumptions!$A$25:$AL$29,2,TRUE)/100</f>
        <v>1.2924E-2</v>
      </c>
      <c r="AY144" s="29">
        <f>1/(1+HLOOKUP(YEAR(A144),Assumptions!$A$18:$AL$20,3,TRUE))^(1/12)</f>
        <v>0.99894156792068245</v>
      </c>
      <c r="AZ144" s="26">
        <f t="shared" si="140"/>
        <v>6821.9316072873207</v>
      </c>
      <c r="BA144">
        <f t="shared" si="141"/>
        <v>55.690537491150351</v>
      </c>
      <c r="BB144">
        <f t="shared" si="142"/>
        <v>7620.1199964310827</v>
      </c>
      <c r="BC144">
        <f t="shared" si="143"/>
        <v>0</v>
      </c>
    </row>
    <row r="145" spans="1:55" x14ac:dyDescent="0.2">
      <c r="A145" s="3">
        <f t="shared" si="112"/>
        <v>47177</v>
      </c>
      <c r="B145">
        <f t="shared" si="104"/>
        <v>147</v>
      </c>
      <c r="C145">
        <f t="shared" si="96"/>
        <v>12.166666666666666</v>
      </c>
      <c r="D145">
        <f t="shared" si="97"/>
        <v>0</v>
      </c>
      <c r="E145">
        <f t="shared" si="105"/>
        <v>68</v>
      </c>
      <c r="F145">
        <f>IF(C145&gt;=$T$2,0,VLOOKUP($E145,'Mortality Table'!$A$3:$C$128,2+AF$2,FALSE))</f>
        <v>1.10735E-2</v>
      </c>
      <c r="G145">
        <f>F145*Assumptions!$B$1</f>
        <v>1.10735E-2</v>
      </c>
      <c r="H145">
        <f t="shared" si="113"/>
        <v>9.2750856556889083E-4</v>
      </c>
      <c r="I145">
        <f t="shared" si="106"/>
        <v>2.7764729673509115E-4</v>
      </c>
      <c r="J145">
        <f>IF(B145&gt;$AJ$2,0,HLOOKUP(C145,Assumptions!$A$6:$J$7,2,TRUE))</f>
        <v>6.4199999999999993E-2</v>
      </c>
      <c r="K145" s="4">
        <f t="shared" si="103"/>
        <v>1</v>
      </c>
      <c r="L145" s="4">
        <f t="shared" si="114"/>
        <v>8.3333333333333329E-2</v>
      </c>
      <c r="M145" s="4">
        <f t="shared" si="107"/>
        <v>5.5141990623922554E-3</v>
      </c>
      <c r="N145">
        <f t="shared" si="115"/>
        <v>1.6544572684127332E-3</v>
      </c>
      <c r="O145" s="21">
        <f t="shared" si="108"/>
        <v>0.29811088350199028</v>
      </c>
      <c r="P145">
        <f>IF(B145&gt;$AJ$2,0,HLOOKUP(C145,Assumptions!$A$12:$J$13,2,TRUE))</f>
        <v>5.3E-3</v>
      </c>
      <c r="Q145">
        <f t="shared" si="109"/>
        <v>1.3204502724415662E-4</v>
      </c>
      <c r="R145">
        <f t="shared" si="116"/>
        <v>8.2869729253010324E-2</v>
      </c>
      <c r="S145">
        <f t="shared" si="144"/>
        <v>7.7024104064059358E-5</v>
      </c>
      <c r="T145">
        <f t="shared" si="145"/>
        <v>4.5897471471997869E-4</v>
      </c>
      <c r="U145">
        <f t="shared" si="117"/>
        <v>4277.282660538538</v>
      </c>
      <c r="V145">
        <f t="shared" si="118"/>
        <v>1410.2</v>
      </c>
      <c r="W145">
        <f t="shared" si="119"/>
        <v>0.12</v>
      </c>
      <c r="X145">
        <f t="shared" si="110"/>
        <v>106.99445534843193</v>
      </c>
      <c r="Y145">
        <f t="shared" si="120"/>
        <v>210.25272843949281</v>
      </c>
      <c r="Z145">
        <f t="shared" si="121"/>
        <v>22744.294894448874</v>
      </c>
      <c r="AA145">
        <f t="shared" si="122"/>
        <v>0</v>
      </c>
      <c r="AB145">
        <f t="shared" si="123"/>
        <v>23604.626057942809</v>
      </c>
      <c r="AC145" s="23">
        <f>IF(B145&gt;$AJ$2,0,HLOOKUP(YEAR(A145),Assumptions!$A$25:$AL$29,4,TRUE)/100)</f>
        <v>6.9240000000000005E-3</v>
      </c>
      <c r="AD145">
        <f t="shared" si="124"/>
        <v>833.32176215086611</v>
      </c>
      <c r="AE145">
        <f t="shared" si="125"/>
        <v>6400.9745817270323</v>
      </c>
      <c r="AF145">
        <f t="shared" si="126"/>
        <v>6374.8914952091081</v>
      </c>
      <c r="AG145">
        <f t="shared" si="127"/>
        <v>6799.274775492896</v>
      </c>
      <c r="AH145">
        <f t="shared" si="128"/>
        <v>390.48555710445527</v>
      </c>
      <c r="AI145">
        <f t="shared" si="129"/>
        <v>389.77881362586703</v>
      </c>
      <c r="AJ145">
        <f t="shared" si="130"/>
        <v>0</v>
      </c>
      <c r="AK145">
        <f t="shared" si="131"/>
        <v>7.0673041979879336</v>
      </c>
      <c r="AL145">
        <f t="shared" si="132"/>
        <v>42.125267729112856</v>
      </c>
      <c r="AM145">
        <f t="shared" si="111"/>
        <v>0</v>
      </c>
      <c r="AN145">
        <f>IF($S$2=0,0,(SUMPRODUCT($K$2:$R$2,Assumptions!$B$34:$I$34)/$U$2+$J$2/$U$2*Assumptions!$A$34*G145)*K145*O144)</f>
        <v>6.5429693491849497</v>
      </c>
      <c r="AO145">
        <f t="shared" si="133"/>
        <v>0</v>
      </c>
      <c r="AP145">
        <f t="shared" si="134"/>
        <v>0</v>
      </c>
      <c r="AQ145">
        <f>IF(B145&gt;$AJ$2,0,AQ144*(1+Assumptions!$B$43)^(1/12))</f>
        <v>1.1175200932271081</v>
      </c>
      <c r="AR145" s="27">
        <f>IF(B145&gt;$AJ$2,0,(O144+R144)*Assumptions!$B$39/12*AQ144+AV145*Assumptions!$B$41/12)</f>
        <v>6.7860552415136093</v>
      </c>
      <c r="AS145">
        <f t="shared" si="135"/>
        <v>63.11261971750892</v>
      </c>
      <c r="AT145" s="28">
        <f t="shared" si="136"/>
        <v>7591.5505953077682</v>
      </c>
      <c r="AU145">
        <f t="shared" si="137"/>
        <v>16.420882149609177</v>
      </c>
      <c r="AV145" s="28">
        <f t="shared" si="138"/>
        <v>7642.386573030878</v>
      </c>
      <c r="AW145" s="28">
        <f t="shared" si="139"/>
        <v>7679.4823534202878</v>
      </c>
      <c r="AX145" s="23">
        <f>HLOOKUP(YEAR(A145),Assumptions!$A$25:$AL$29,2,TRUE)/100</f>
        <v>1.2924E-2</v>
      </c>
      <c r="AY145" s="29">
        <f>1/(1+HLOOKUP(YEAR(A145),Assumptions!$A$18:$AL$20,3,TRUE))^(1/12)</f>
        <v>0.99894156792068245</v>
      </c>
      <c r="AZ145" s="26">
        <f t="shared" si="140"/>
        <v>6873.6326679346957</v>
      </c>
      <c r="BA145">
        <f t="shared" si="141"/>
        <v>55.735541276285737</v>
      </c>
      <c r="BB145">
        <f t="shared" si="142"/>
        <v>7634.1879020311044</v>
      </c>
      <c r="BC145">
        <f t="shared" si="143"/>
        <v>0</v>
      </c>
    </row>
    <row r="146" spans="1:55" x14ac:dyDescent="0.2">
      <c r="A146" s="3">
        <f t="shared" si="112"/>
        <v>47208</v>
      </c>
      <c r="B146">
        <f t="shared" si="104"/>
        <v>148</v>
      </c>
      <c r="C146">
        <f t="shared" si="96"/>
        <v>12.25</v>
      </c>
      <c r="D146">
        <f t="shared" si="97"/>
        <v>0</v>
      </c>
      <c r="E146">
        <f t="shared" si="105"/>
        <v>68</v>
      </c>
      <c r="F146">
        <f>IF(C146&gt;=$T$2,0,VLOOKUP($E146,'Mortality Table'!$A$3:$C$128,2+AF$2,FALSE))</f>
        <v>1.10735E-2</v>
      </c>
      <c r="G146">
        <f>F146*Assumptions!$B$1</f>
        <v>1.10735E-2</v>
      </c>
      <c r="H146">
        <f t="shared" si="113"/>
        <v>9.2750856556889083E-4</v>
      </c>
      <c r="I146">
        <f t="shared" si="106"/>
        <v>2.7573805881987701E-4</v>
      </c>
      <c r="J146">
        <f>IF(B146&gt;$AJ$2,0,HLOOKUP(C146,Assumptions!$A$6:$J$7,2,TRUE))</f>
        <v>6.4199999999999993E-2</v>
      </c>
      <c r="K146" s="4">
        <f t="shared" si="103"/>
        <v>1</v>
      </c>
      <c r="L146" s="4">
        <f t="shared" si="114"/>
        <v>8.3333333333333329E-2</v>
      </c>
      <c r="M146" s="4">
        <f t="shared" si="107"/>
        <v>5.5141990623922554E-3</v>
      </c>
      <c r="N146">
        <f t="shared" si="115"/>
        <v>1.6430804151780728E-3</v>
      </c>
      <c r="O146" s="21">
        <f t="shared" si="108"/>
        <v>0.29606092800660849</v>
      </c>
      <c r="P146">
        <f>IF(B146&gt;$AJ$2,0,HLOOKUP(C146,Assumptions!$A$12:$J$13,2,TRUE))</f>
        <v>5.3E-3</v>
      </c>
      <c r="Q146">
        <f t="shared" si="109"/>
        <v>1.311370213838634E-4</v>
      </c>
      <c r="R146">
        <f t="shared" si="116"/>
        <v>8.2467467541822187E-2</v>
      </c>
      <c r="S146">
        <f t="shared" si="144"/>
        <v>7.6650466466452521E-5</v>
      </c>
      <c r="T146">
        <f t="shared" si="145"/>
        <v>4.5674826610556015E-4</v>
      </c>
      <c r="U146">
        <f t="shared" si="117"/>
        <v>4277.282660538538</v>
      </c>
      <c r="V146">
        <f t="shared" si="118"/>
        <v>1410.2</v>
      </c>
      <c r="W146">
        <f t="shared" si="119"/>
        <v>0.12</v>
      </c>
      <c r="X146">
        <f t="shared" si="110"/>
        <v>106.25870941007393</v>
      </c>
      <c r="Y146">
        <f t="shared" si="120"/>
        <v>210.25272843949281</v>
      </c>
      <c r="Z146">
        <f t="shared" si="121"/>
        <v>22954.547622888367</v>
      </c>
      <c r="AA146">
        <f t="shared" si="122"/>
        <v>0</v>
      </c>
      <c r="AB146">
        <f t="shared" si="123"/>
        <v>23828.576555728287</v>
      </c>
      <c r="AC146" s="23">
        <f>IF(B146&gt;$AJ$2,0,HLOOKUP(YEAR(A146),Assumptions!$A$25:$AL$29,4,TRUE)/100)</f>
        <v>6.9240000000000005E-3</v>
      </c>
      <c r="AD146">
        <f t="shared" si="124"/>
        <v>833.32176215086611</v>
      </c>
      <c r="AE146">
        <f t="shared" si="125"/>
        <v>6427.2975224766942</v>
      </c>
      <c r="AF146">
        <f t="shared" si="126"/>
        <v>6400.9745817270323</v>
      </c>
      <c r="AG146">
        <f t="shared" si="127"/>
        <v>6830.2587715714726</v>
      </c>
      <c r="AH146">
        <f t="shared" si="128"/>
        <v>391.18974049484819</v>
      </c>
      <c r="AI146">
        <f t="shared" si="129"/>
        <v>390.48555710445527</v>
      </c>
      <c r="AJ146">
        <f t="shared" si="130"/>
        <v>0</v>
      </c>
      <c r="AK146">
        <f t="shared" si="131"/>
        <v>7.0797895153212513</v>
      </c>
      <c r="AL146">
        <f t="shared" si="132"/>
        <v>42.199714540197128</v>
      </c>
      <c r="AM146">
        <f t="shared" si="111"/>
        <v>0</v>
      </c>
      <c r="AN146">
        <f>IF($S$2=0,0,(SUMPRODUCT($K$2:$R$2,Assumptions!$B$34:$I$34)/$U$2+$J$2/$U$2*Assumptions!$A$34*G146)*K146*O145)</f>
        <v>6.4979767081383946</v>
      </c>
      <c r="AO146">
        <f t="shared" si="133"/>
        <v>0</v>
      </c>
      <c r="AP146">
        <f t="shared" si="134"/>
        <v>0</v>
      </c>
      <c r="AQ146">
        <f>IF(B146&gt;$AJ$2,0,AQ145*(1+Assumptions!$B$43)^(1/12))</f>
        <v>1.1184471187379876</v>
      </c>
      <c r="AR146" s="27">
        <f>IF(B146&gt;$AJ$2,0,(O145+R145)*Assumptions!$B$39/12*AQ145+AV146*Assumptions!$B$41/12)</f>
        <v>6.7625171922848377</v>
      </c>
      <c r="AS146">
        <f t="shared" si="135"/>
        <v>62.678626633801237</v>
      </c>
      <c r="AT146" s="28">
        <f t="shared" si="136"/>
        <v>7604.962062478141</v>
      </c>
      <c r="AU146">
        <f t="shared" si="137"/>
        <v>24.666099204617748</v>
      </c>
      <c r="AV146" s="28">
        <f t="shared" si="138"/>
        <v>7664.1521273830404</v>
      </c>
      <c r="AW146" s="28">
        <f t="shared" si="139"/>
        <v>7700.9696929670281</v>
      </c>
      <c r="AX146" s="23">
        <f>HLOOKUP(YEAR(A146),Assumptions!$A$25:$AL$29,2,TRUE)/100</f>
        <v>1.2924E-2</v>
      </c>
      <c r="AY146" s="29">
        <f>1/(1+HLOOKUP(YEAR(A146),Assumptions!$A$18:$AL$20,3,TRUE))^(1/12)</f>
        <v>0.99894156792068245</v>
      </c>
      <c r="AZ146" s="26">
        <f t="shared" si="140"/>
        <v>6924.6343612476476</v>
      </c>
      <c r="BA146">
        <f t="shared" si="141"/>
        <v>55.777480763656776</v>
      </c>
      <c r="BB146">
        <f t="shared" si="142"/>
        <v>7647.7312452334309</v>
      </c>
      <c r="BC146">
        <f t="shared" si="143"/>
        <v>0</v>
      </c>
    </row>
    <row r="147" spans="1:55" x14ac:dyDescent="0.2">
      <c r="A147" s="3">
        <f t="shared" si="112"/>
        <v>47238</v>
      </c>
      <c r="B147">
        <f t="shared" si="104"/>
        <v>149</v>
      </c>
      <c r="C147">
        <f t="shared" si="96"/>
        <v>12.333333333333334</v>
      </c>
      <c r="D147">
        <f t="shared" si="97"/>
        <v>0</v>
      </c>
      <c r="E147">
        <f t="shared" si="105"/>
        <v>68</v>
      </c>
      <c r="F147">
        <f>IF(C147&gt;=$T$2,0,VLOOKUP($E147,'Mortality Table'!$A$3:$C$128,2+AF$2,FALSE))</f>
        <v>1.10735E-2</v>
      </c>
      <c r="G147">
        <f>F147*Assumptions!$B$1</f>
        <v>1.10735E-2</v>
      </c>
      <c r="H147">
        <f t="shared" si="113"/>
        <v>9.2750856556889083E-4</v>
      </c>
      <c r="I147">
        <f t="shared" si="106"/>
        <v>2.7384194975360083E-4</v>
      </c>
      <c r="J147">
        <f>IF(B147&gt;$AJ$2,0,HLOOKUP(C147,Assumptions!$A$6:$J$7,2,TRUE))</f>
        <v>6.4199999999999993E-2</v>
      </c>
      <c r="K147" s="4">
        <f t="shared" si="103"/>
        <v>1</v>
      </c>
      <c r="L147" s="4">
        <f t="shared" si="114"/>
        <v>8.3333333333333329E-2</v>
      </c>
      <c r="M147" s="4">
        <f t="shared" si="107"/>
        <v>5.5141990623922554E-3</v>
      </c>
      <c r="N147">
        <f t="shared" si="115"/>
        <v>1.6317817947222183E-3</v>
      </c>
      <c r="O147" s="21">
        <f t="shared" si="108"/>
        <v>0.29402506900271896</v>
      </c>
      <c r="P147">
        <f>IF(B147&gt;$AJ$2,0,HLOOKUP(C147,Assumptions!$A$12:$J$13,2,TRUE))</f>
        <v>5.3E-3</v>
      </c>
      <c r="Q147">
        <f t="shared" si="109"/>
        <v>1.3023525941370019E-4</v>
      </c>
      <c r="R147">
        <f t="shared" si="116"/>
        <v>8.2066893263643081E-2</v>
      </c>
      <c r="S147">
        <f t="shared" si="144"/>
        <v>7.6278393960821109E-5</v>
      </c>
      <c r="T147">
        <f t="shared" si="145"/>
        <v>4.5453114363198623E-4</v>
      </c>
      <c r="U147">
        <f t="shared" si="117"/>
        <v>4277.282660538538</v>
      </c>
      <c r="V147">
        <f t="shared" si="118"/>
        <v>1410.2</v>
      </c>
      <c r="W147">
        <f t="shared" si="119"/>
        <v>0.12</v>
      </c>
      <c r="X147">
        <f t="shared" si="110"/>
        <v>105.52802281880125</v>
      </c>
      <c r="Y147">
        <f t="shared" si="120"/>
        <v>210.25272843949281</v>
      </c>
      <c r="Z147">
        <f t="shared" si="121"/>
        <v>23164.80035132786</v>
      </c>
      <c r="AA147">
        <f t="shared" si="122"/>
        <v>0</v>
      </c>
      <c r="AB147">
        <f t="shared" si="123"/>
        <v>24052.655864678043</v>
      </c>
      <c r="AC147" s="23">
        <f>IF(B147&gt;$AJ$2,0,HLOOKUP(YEAR(A147),Assumptions!$A$25:$AL$29,4,TRUE)/100)</f>
        <v>6.9240000000000005E-3</v>
      </c>
      <c r="AD147">
        <f t="shared" si="124"/>
        <v>833.32176215086611</v>
      </c>
      <c r="AE147">
        <f t="shared" si="125"/>
        <v>6453.8589400735582</v>
      </c>
      <c r="AF147">
        <f t="shared" si="126"/>
        <v>6427.2975224766942</v>
      </c>
      <c r="AG147">
        <f t="shared" si="127"/>
        <v>6861.5120603556379</v>
      </c>
      <c r="AH147">
        <f t="shared" si="128"/>
        <v>391.89137761361297</v>
      </c>
      <c r="AI147">
        <f t="shared" si="129"/>
        <v>391.18974049484819</v>
      </c>
      <c r="AJ147">
        <f t="shared" si="130"/>
        <v>0</v>
      </c>
      <c r="AK147">
        <f t="shared" si="131"/>
        <v>7.0917958076418026</v>
      </c>
      <c r="AL147">
        <f t="shared" si="132"/>
        <v>42.271305493212658</v>
      </c>
      <c r="AM147">
        <f t="shared" si="111"/>
        <v>0</v>
      </c>
      <c r="AN147">
        <f>IF($S$2=0,0,(SUMPRODUCT($K$2:$R$2,Assumptions!$B$34:$I$34)/$U$2+$J$2/$U$2*Assumptions!$A$34*G147)*K147*O146)</f>
        <v>6.453293458385045</v>
      </c>
      <c r="AO147">
        <f t="shared" si="133"/>
        <v>0</v>
      </c>
      <c r="AP147">
        <f t="shared" si="134"/>
        <v>0</v>
      </c>
      <c r="AQ147">
        <f>IF(B147&gt;$AJ$2,0,AQ146*(1+Assumptions!$B$43)^(1/12))</f>
        <v>1.1193749132518613</v>
      </c>
      <c r="AR147" s="27">
        <f>IF(B147&gt;$AJ$2,0,(O146+R146)*Assumptions!$B$39/12*AQ146+AV147*Assumptions!$B$41/12)</f>
        <v>6.7390273141570622</v>
      </c>
      <c r="AS147">
        <f t="shared" si="135"/>
        <v>62.247617897717689</v>
      </c>
      <c r="AT147" s="28">
        <f t="shared" si="136"/>
        <v>7617.8589709824428</v>
      </c>
      <c r="AU147">
        <f t="shared" si="137"/>
        <v>32.933794142506521</v>
      </c>
      <c r="AV147" s="28">
        <f t="shared" si="138"/>
        <v>7685.4224861220919</v>
      </c>
      <c r="AW147" s="28">
        <f t="shared" si="139"/>
        <v>7721.9638637290182</v>
      </c>
      <c r="AX147" s="23">
        <f>HLOOKUP(YEAR(A147),Assumptions!$A$25:$AL$29,2,TRUE)/100</f>
        <v>1.2924E-2</v>
      </c>
      <c r="AY147" s="29">
        <f>1/(1+HLOOKUP(YEAR(A147),Assumptions!$A$18:$AL$20,3,TRUE))^(1/12)</f>
        <v>0.99894156792068245</v>
      </c>
      <c r="AZ147" s="26">
        <f t="shared" si="140"/>
        <v>6974.9439828768109</v>
      </c>
      <c r="BA147">
        <f t="shared" si="141"/>
        <v>55.816394759239508</v>
      </c>
      <c r="BB147">
        <f t="shared" si="142"/>
        <v>7660.7563869174737</v>
      </c>
      <c r="BC147">
        <f t="shared" si="143"/>
        <v>0</v>
      </c>
    </row>
    <row r="148" spans="1:55" x14ac:dyDescent="0.2">
      <c r="A148" s="3">
        <f t="shared" si="112"/>
        <v>47269</v>
      </c>
      <c r="B148">
        <f t="shared" si="104"/>
        <v>150</v>
      </c>
      <c r="C148">
        <f t="shared" si="96"/>
        <v>12.416666666666666</v>
      </c>
      <c r="D148">
        <f t="shared" si="97"/>
        <v>0</v>
      </c>
      <c r="E148">
        <f t="shared" si="105"/>
        <v>68</v>
      </c>
      <c r="F148">
        <f>IF(C148&gt;=$T$2,0,VLOOKUP($E148,'Mortality Table'!$A$3:$C$128,2+AF$2,FALSE))</f>
        <v>1.10735E-2</v>
      </c>
      <c r="G148">
        <f>F148*Assumptions!$B$1</f>
        <v>1.10735E-2</v>
      </c>
      <c r="H148">
        <f t="shared" si="113"/>
        <v>9.2750856556889083E-4</v>
      </c>
      <c r="I148">
        <f t="shared" si="106"/>
        <v>2.7195887925590895E-4</v>
      </c>
      <c r="J148">
        <f>IF(B148&gt;$AJ$2,0,HLOOKUP(C148,Assumptions!$A$6:$J$7,2,TRUE))</f>
        <v>6.4199999999999993E-2</v>
      </c>
      <c r="K148" s="4">
        <f t="shared" si="103"/>
        <v>1</v>
      </c>
      <c r="L148" s="4">
        <f t="shared" si="114"/>
        <v>8.3333333333333329E-2</v>
      </c>
      <c r="M148" s="4">
        <f t="shared" si="107"/>
        <v>5.5141990623922554E-3</v>
      </c>
      <c r="N148">
        <f t="shared" si="115"/>
        <v>1.6205608690785141E-3</v>
      </c>
      <c r="O148" s="21">
        <f t="shared" si="108"/>
        <v>0.29200320955598691</v>
      </c>
      <c r="P148">
        <f>IF(B148&gt;$AJ$2,0,HLOOKUP(C148,Assumptions!$A$12:$J$13,2,TRUE))</f>
        <v>5.3E-3</v>
      </c>
      <c r="Q148">
        <f t="shared" si="109"/>
        <v>1.2933969839764016E-4</v>
      </c>
      <c r="R148">
        <f t="shared" si="116"/>
        <v>8.1668001758107359E-2</v>
      </c>
      <c r="S148">
        <f t="shared" si="144"/>
        <v>7.5907882248599294E-5</v>
      </c>
      <c r="T148">
        <f t="shared" si="145"/>
        <v>4.5232332168476842E-4</v>
      </c>
      <c r="U148">
        <f t="shared" si="117"/>
        <v>4277.282660538538</v>
      </c>
      <c r="V148">
        <f t="shared" si="118"/>
        <v>1410.2</v>
      </c>
      <c r="W148">
        <f t="shared" si="119"/>
        <v>0.12</v>
      </c>
      <c r="X148">
        <f t="shared" si="110"/>
        <v>104.80236078408142</v>
      </c>
      <c r="Y148">
        <f t="shared" si="120"/>
        <v>210.25272843949281</v>
      </c>
      <c r="Z148">
        <f t="shared" si="121"/>
        <v>23375.053079767353</v>
      </c>
      <c r="AA148">
        <f t="shared" si="122"/>
        <v>0</v>
      </c>
      <c r="AB148">
        <f t="shared" si="123"/>
        <v>24276.864058881289</v>
      </c>
      <c r="AC148" s="23">
        <f>IF(B148&gt;$AJ$2,0,HLOOKUP(YEAR(A148),Assumptions!$A$25:$AL$29,4,TRUE)/100)</f>
        <v>6.9240000000000005E-3</v>
      </c>
      <c r="AD148">
        <f t="shared" si="124"/>
        <v>833.32176215086611</v>
      </c>
      <c r="AE148">
        <f t="shared" si="125"/>
        <v>6480.6574670295422</v>
      </c>
      <c r="AF148">
        <f t="shared" si="126"/>
        <v>6453.8589400735582</v>
      </c>
      <c r="AG148">
        <f t="shared" si="127"/>
        <v>6893.0335309970606</v>
      </c>
      <c r="AH148">
        <f t="shared" si="128"/>
        <v>392.59048217807526</v>
      </c>
      <c r="AI148">
        <f t="shared" si="129"/>
        <v>391.89137761361297</v>
      </c>
      <c r="AJ148">
        <f t="shared" si="130"/>
        <v>0</v>
      </c>
      <c r="AK148">
        <f t="shared" si="131"/>
        <v>7.1033288996333299</v>
      </c>
      <c r="AL148">
        <f t="shared" si="132"/>
        <v>42.340075315946038</v>
      </c>
      <c r="AM148">
        <f t="shared" si="111"/>
        <v>0</v>
      </c>
      <c r="AN148">
        <f>IF($S$2=0,0,(SUMPRODUCT($K$2:$R$2,Assumptions!$B$34:$I$34)/$U$2+$J$2/$U$2*Assumptions!$A$34*G148)*K148*O147)</f>
        <v>6.4089174723998177</v>
      </c>
      <c r="AO148">
        <f t="shared" si="133"/>
        <v>0</v>
      </c>
      <c r="AP148">
        <f t="shared" si="134"/>
        <v>0</v>
      </c>
      <c r="AQ148">
        <f>IF(B148&gt;$AJ$2,0,AQ147*(1+Assumptions!$B$43)^(1/12))</f>
        <v>1.1203034774066467</v>
      </c>
      <c r="AR148" s="27">
        <f>IF(B148&gt;$AJ$2,0,(O147+R147)*Assumptions!$B$39/12*AQ147+AV148*Assumptions!$B$41/12)</f>
        <v>6.7155860100107994</v>
      </c>
      <c r="AS148">
        <f t="shared" si="135"/>
        <v>61.819572987431805</v>
      </c>
      <c r="AT148" s="28">
        <f t="shared" si="136"/>
        <v>7630.2475775743223</v>
      </c>
      <c r="AU148">
        <f t="shared" si="137"/>
        <v>41.223445104545192</v>
      </c>
      <c r="AV148" s="28">
        <f t="shared" si="138"/>
        <v>7706.2034206399812</v>
      </c>
      <c r="AW148" s="28">
        <f t="shared" si="139"/>
        <v>7742.4706224266201</v>
      </c>
      <c r="AX148" s="23">
        <f>HLOOKUP(YEAR(A148),Assumptions!$A$25:$AL$29,2,TRUE)/100</f>
        <v>1.2924E-2</v>
      </c>
      <c r="AY148" s="29">
        <f>1/(1+HLOOKUP(YEAR(A148),Assumptions!$A$18:$AL$20,3,TRUE))^(1/12)</f>
        <v>0.99894156792068245</v>
      </c>
      <c r="AZ148" s="26">
        <f t="shared" si="140"/>
        <v>7024.5687625845949</v>
      </c>
      <c r="BA148">
        <f t="shared" si="141"/>
        <v>55.852321687979185</v>
      </c>
      <c r="BB148">
        <f t="shared" si="142"/>
        <v>7673.2696264974747</v>
      </c>
      <c r="BC148">
        <f t="shared" si="143"/>
        <v>0</v>
      </c>
    </row>
    <row r="149" spans="1:55" x14ac:dyDescent="0.2">
      <c r="A149" s="3">
        <f t="shared" si="112"/>
        <v>47299</v>
      </c>
      <c r="B149">
        <f t="shared" si="104"/>
        <v>151</v>
      </c>
      <c r="C149">
        <f t="shared" si="96"/>
        <v>12.5</v>
      </c>
      <c r="D149">
        <f t="shared" si="97"/>
        <v>0</v>
      </c>
      <c r="E149">
        <f t="shared" si="105"/>
        <v>68</v>
      </c>
      <c r="F149">
        <f>IF(C149&gt;=$T$2,0,VLOOKUP($E149,'Mortality Table'!$A$3:$C$128,2+AF$2,FALSE))</f>
        <v>1.10735E-2</v>
      </c>
      <c r="G149">
        <f>F149*Assumptions!$B$1</f>
        <v>1.10735E-2</v>
      </c>
      <c r="H149">
        <f t="shared" si="113"/>
        <v>9.2750856556889083E-4</v>
      </c>
      <c r="I149">
        <f t="shared" si="106"/>
        <v>2.7008875766725915E-4</v>
      </c>
      <c r="J149">
        <f>IF(B149&gt;$AJ$2,0,HLOOKUP(C149,Assumptions!$A$6:$J$7,2,TRUE))</f>
        <v>6.4199999999999993E-2</v>
      </c>
      <c r="K149" s="4">
        <f t="shared" si="103"/>
        <v>1</v>
      </c>
      <c r="L149" s="4">
        <f t="shared" si="114"/>
        <v>8.3333333333333329E-2</v>
      </c>
      <c r="M149" s="4">
        <f t="shared" si="107"/>
        <v>5.5141990623922554E-3</v>
      </c>
      <c r="N149">
        <f t="shared" si="115"/>
        <v>1.6094171039796258E-3</v>
      </c>
      <c r="O149" s="21">
        <f t="shared" si="108"/>
        <v>0.28999525339864513</v>
      </c>
      <c r="P149">
        <f>IF(B149&gt;$AJ$2,0,HLOOKUP(C149,Assumptions!$A$12:$J$13,2,TRUE))</f>
        <v>5.3E-3</v>
      </c>
      <c r="Q149">
        <f t="shared" si="109"/>
        <v>1.2845029569490558E-4</v>
      </c>
      <c r="R149">
        <f t="shared" si="116"/>
        <v>8.1270788352205456E-2</v>
      </c>
      <c r="S149">
        <f t="shared" si="144"/>
        <v>7.5538927019175664E-5</v>
      </c>
      <c r="T149">
        <f t="shared" si="145"/>
        <v>4.5012477457764051E-4</v>
      </c>
      <c r="U149">
        <f t="shared" si="117"/>
        <v>4277.282660538538</v>
      </c>
      <c r="V149">
        <f t="shared" si="118"/>
        <v>1410.2</v>
      </c>
      <c r="W149">
        <f t="shared" si="119"/>
        <v>0.12</v>
      </c>
      <c r="X149">
        <f t="shared" si="110"/>
        <v>104.08168875461867</v>
      </c>
      <c r="Y149">
        <f t="shared" si="120"/>
        <v>210.25272843949281</v>
      </c>
      <c r="Z149">
        <f t="shared" si="121"/>
        <v>23585.305808206846</v>
      </c>
      <c r="AA149">
        <f t="shared" si="122"/>
        <v>0</v>
      </c>
      <c r="AB149">
        <f t="shared" si="123"/>
        <v>24501.201212469849</v>
      </c>
      <c r="AC149" s="23">
        <f>IF(B149&gt;$AJ$2,0,HLOOKUP(YEAR(A149),Assumptions!$A$25:$AL$29,4,TRUE)/100)</f>
        <v>6.9240000000000005E-3</v>
      </c>
      <c r="AD149">
        <f t="shared" si="124"/>
        <v>833.32176215086611</v>
      </c>
      <c r="AE149">
        <f t="shared" si="125"/>
        <v>6507.6917456643205</v>
      </c>
      <c r="AF149">
        <f t="shared" si="126"/>
        <v>6480.6574670295422</v>
      </c>
      <c r="AG149">
        <f t="shared" si="127"/>
        <v>6924.8220808762035</v>
      </c>
      <c r="AH149">
        <f t="shared" si="128"/>
        <v>393.28706780720887</v>
      </c>
      <c r="AI149">
        <f t="shared" si="129"/>
        <v>392.59048217807526</v>
      </c>
      <c r="AJ149">
        <f t="shared" si="130"/>
        <v>0</v>
      </c>
      <c r="AK149">
        <f t="shared" si="131"/>
        <v>7.1143945596372902</v>
      </c>
      <c r="AL149">
        <f t="shared" si="132"/>
        <v>42.406058400221099</v>
      </c>
      <c r="AM149">
        <f t="shared" si="111"/>
        <v>0</v>
      </c>
      <c r="AN149">
        <f>IF($S$2=0,0,(SUMPRODUCT($K$2:$R$2,Assumptions!$B$34:$I$34)/$U$2+$J$2/$U$2*Assumptions!$A$34*G149)*K149*O148)</f>
        <v>6.3648466372875312</v>
      </c>
      <c r="AO149">
        <f t="shared" si="133"/>
        <v>0</v>
      </c>
      <c r="AP149">
        <f t="shared" si="134"/>
        <v>0</v>
      </c>
      <c r="AQ149">
        <f>IF(B149&gt;$AJ$2,0,AQ148*(1+Assumptions!$B$43)^(1/12))</f>
        <v>1.1212328118407902</v>
      </c>
      <c r="AR149" s="27">
        <f>IF(B149&gt;$AJ$2,0,(O148+R148)*Assumptions!$B$39/12*AQ148+AV149*Assumptions!$B$41/12)</f>
        <v>6.6921936754314064</v>
      </c>
      <c r="AS149">
        <f t="shared" si="135"/>
        <v>61.394471522235229</v>
      </c>
      <c r="AT149" s="28">
        <f t="shared" si="136"/>
        <v>7642.1340784857248</v>
      </c>
      <c r="AU149">
        <f t="shared" si="137"/>
        <v>49.534536337043718</v>
      </c>
      <c r="AV149" s="28">
        <f t="shared" si="138"/>
        <v>7726.5006475638147</v>
      </c>
      <c r="AW149" s="28">
        <f t="shared" si="139"/>
        <v>7762.4956711207669</v>
      </c>
      <c r="AX149" s="23">
        <f>HLOOKUP(YEAR(A149),Assumptions!$A$25:$AL$29,2,TRUE)/100</f>
        <v>1.2924E-2</v>
      </c>
      <c r="AY149" s="29">
        <f>1/(1+HLOOKUP(YEAR(A149),Assumptions!$A$18:$AL$20,3,TRUE))^(1/12)</f>
        <v>0.99894156792068245</v>
      </c>
      <c r="AZ149" s="26">
        <f t="shared" si="140"/>
        <v>7073.5158647995777</v>
      </c>
      <c r="BA149">
        <f t="shared" si="141"/>
        <v>55.885299597145917</v>
      </c>
      <c r="BB149">
        <f t="shared" si="142"/>
        <v>7685.2772024592696</v>
      </c>
      <c r="BC149">
        <f t="shared" si="143"/>
        <v>0</v>
      </c>
    </row>
    <row r="150" spans="1:55" x14ac:dyDescent="0.2">
      <c r="A150" s="3">
        <f t="shared" si="112"/>
        <v>47330</v>
      </c>
      <c r="B150">
        <f t="shared" si="104"/>
        <v>152</v>
      </c>
      <c r="C150">
        <f t="shared" si="96"/>
        <v>12.583333333333334</v>
      </c>
      <c r="D150">
        <f t="shared" si="97"/>
        <v>0</v>
      </c>
      <c r="E150">
        <f t="shared" si="105"/>
        <v>68</v>
      </c>
      <c r="F150">
        <f>IF(C150&gt;=$T$2,0,VLOOKUP($E150,'Mortality Table'!$A$3:$C$128,2+AF$2,FALSE))</f>
        <v>1.10735E-2</v>
      </c>
      <c r="G150">
        <f>F150*Assumptions!$B$1</f>
        <v>1.10735E-2</v>
      </c>
      <c r="H150">
        <f t="shared" si="113"/>
        <v>9.2750856556889083E-4</v>
      </c>
      <c r="I150">
        <f t="shared" si="106"/>
        <v>2.68231495944652E-4</v>
      </c>
      <c r="J150">
        <f>IF(B150&gt;$AJ$2,0,HLOOKUP(C150,Assumptions!$A$6:$J$7,2,TRUE))</f>
        <v>6.4199999999999993E-2</v>
      </c>
      <c r="K150" s="4">
        <f t="shared" si="103"/>
        <v>1</v>
      </c>
      <c r="L150" s="4">
        <f t="shared" si="114"/>
        <v>8.3333333333333329E-2</v>
      </c>
      <c r="M150" s="4">
        <f t="shared" si="107"/>
        <v>5.5141990623922554E-3</v>
      </c>
      <c r="N150">
        <f t="shared" si="115"/>
        <v>1.5983499688321011E-3</v>
      </c>
      <c r="O150" s="21">
        <f t="shared" si="108"/>
        <v>0.28800110492491043</v>
      </c>
      <c r="P150">
        <f>IF(B150&gt;$AJ$2,0,HLOOKUP(C150,Assumptions!$A$12:$J$13,2,TRUE))</f>
        <v>5.3E-3</v>
      </c>
      <c r="Q150">
        <f t="shared" si="109"/>
        <v>1.2756700895793734E-4</v>
      </c>
      <c r="R150">
        <f t="shared" si="116"/>
        <v>8.08752483606585E-2</v>
      </c>
      <c r="S150">
        <f t="shared" si="144"/>
        <v>7.517152395024379E-5</v>
      </c>
      <c r="T150">
        <f t="shared" si="145"/>
        <v>4.4793547655464752E-4</v>
      </c>
      <c r="U150">
        <f t="shared" si="117"/>
        <v>4277.282660538538</v>
      </c>
      <c r="V150">
        <f t="shared" si="118"/>
        <v>1410.2</v>
      </c>
      <c r="W150">
        <f t="shared" si="119"/>
        <v>0.12</v>
      </c>
      <c r="X150">
        <f t="shared" si="110"/>
        <v>103.3659724167087</v>
      </c>
      <c r="Y150">
        <f t="shared" si="120"/>
        <v>210.25272843949281</v>
      </c>
      <c r="Z150">
        <f t="shared" si="121"/>
        <v>23795.558536646338</v>
      </c>
      <c r="AA150">
        <f t="shared" si="122"/>
        <v>0</v>
      </c>
      <c r="AB150">
        <f t="shared" si="123"/>
        <v>24725.667399618193</v>
      </c>
      <c r="AC150" s="23">
        <f>IF(B150&gt;$AJ$2,0,HLOOKUP(YEAR(A150),Assumptions!$A$25:$AL$29,4,TRUE)/100)</f>
        <v>6.9240000000000005E-3</v>
      </c>
      <c r="AD150">
        <f t="shared" si="124"/>
        <v>833.32176215086611</v>
      </c>
      <c r="AE150">
        <f t="shared" si="125"/>
        <v>6534.9604280175936</v>
      </c>
      <c r="AF150">
        <f t="shared" si="126"/>
        <v>6507.6917456643205</v>
      </c>
      <c r="AG150">
        <f t="shared" si="127"/>
        <v>6956.8766155288922</v>
      </c>
      <c r="AH150">
        <f t="shared" si="128"/>
        <v>393.98114802251547</v>
      </c>
      <c r="AI150">
        <f t="shared" si="129"/>
        <v>393.28706780720887</v>
      </c>
      <c r="AJ150">
        <f t="shared" si="130"/>
        <v>0</v>
      </c>
      <c r="AK150">
        <f t="shared" si="131"/>
        <v>7.1249985001451428</v>
      </c>
      <c r="AL150">
        <f t="shared" si="132"/>
        <v>42.469288804834896</v>
      </c>
      <c r="AM150">
        <f t="shared" si="111"/>
        <v>0</v>
      </c>
      <c r="AN150">
        <f>IF($S$2=0,0,(SUMPRODUCT($K$2:$R$2,Assumptions!$B$34:$I$34)/$U$2+$J$2/$U$2*Assumptions!$A$34*G150)*K150*O149)</f>
        <v>6.3210788546822947</v>
      </c>
      <c r="AO150">
        <f t="shared" si="133"/>
        <v>0</v>
      </c>
      <c r="AP150">
        <f t="shared" si="134"/>
        <v>0</v>
      </c>
      <c r="AQ150">
        <f>IF(B150&gt;$AJ$2,0,AQ149*(1+Assumptions!$B$43)^(1/12))</f>
        <v>1.1221629171932677</v>
      </c>
      <c r="AR150" s="27">
        <f>IF(B150&gt;$AJ$2,0,(O149+R149)*Assumptions!$B$39/12*AQ149+AV150*Assumptions!$B$41/12)</f>
        <v>6.6688506987874643</v>
      </c>
      <c r="AS150">
        <f t="shared" si="135"/>
        <v>60.972293261567238</v>
      </c>
      <c r="AT150" s="28">
        <f t="shared" si="136"/>
        <v>7653.5246099556898</v>
      </c>
      <c r="AU150">
        <f t="shared" si="137"/>
        <v>57.866558133336447</v>
      </c>
      <c r="AV150" s="28">
        <f t="shared" si="138"/>
        <v>7746.3198292296529</v>
      </c>
      <c r="AW150" s="28">
        <f t="shared" si="139"/>
        <v>7782.0446576860077</v>
      </c>
      <c r="AX150" s="23">
        <f>HLOOKUP(YEAR(A150),Assumptions!$A$25:$AL$29,2,TRUE)/100</f>
        <v>1.2924E-2</v>
      </c>
      <c r="AY150" s="29">
        <f>1/(1+HLOOKUP(YEAR(A150),Assumptions!$A$18:$AL$20,3,TRUE))^(1/12)</f>
        <v>0.99894156792068245</v>
      </c>
      <c r="AZ150" s="26">
        <f t="shared" si="140"/>
        <v>7121.7923891664359</v>
      </c>
      <c r="BA150">
        <f t="shared" si="141"/>
        <v>55.915366159662341</v>
      </c>
      <c r="BB150">
        <f t="shared" si="142"/>
        <v>7696.7852928926095</v>
      </c>
      <c r="BC150">
        <f t="shared" si="143"/>
        <v>0</v>
      </c>
    </row>
    <row r="151" spans="1:55" x14ac:dyDescent="0.2">
      <c r="A151" s="3">
        <f t="shared" si="112"/>
        <v>47361</v>
      </c>
      <c r="B151">
        <f t="shared" si="104"/>
        <v>153</v>
      </c>
      <c r="C151">
        <f t="shared" si="96"/>
        <v>12.666666666666666</v>
      </c>
      <c r="D151">
        <f t="shared" si="97"/>
        <v>0</v>
      </c>
      <c r="E151">
        <f t="shared" si="105"/>
        <v>68</v>
      </c>
      <c r="F151">
        <f>IF(C151&gt;=$T$2,0,VLOOKUP($E151,'Mortality Table'!$A$3:$C$128,2+AF$2,FALSE))</f>
        <v>1.10735E-2</v>
      </c>
      <c r="G151">
        <f>F151*Assumptions!$B$1</f>
        <v>1.10735E-2</v>
      </c>
      <c r="H151">
        <f t="shared" si="113"/>
        <v>9.2750856556889083E-4</v>
      </c>
      <c r="I151">
        <f t="shared" si="106"/>
        <v>2.6638700565739099E-4</v>
      </c>
      <c r="J151">
        <f>IF(B151&gt;$AJ$2,0,HLOOKUP(C151,Assumptions!$A$6:$J$7,2,TRUE))</f>
        <v>6.4199999999999993E-2</v>
      </c>
      <c r="K151" s="4">
        <f t="shared" si="103"/>
        <v>1</v>
      </c>
      <c r="L151" s="4">
        <f t="shared" si="114"/>
        <v>8.3333333333333329E-2</v>
      </c>
      <c r="M151" s="4">
        <f t="shared" si="107"/>
        <v>5.5141990623922554E-3</v>
      </c>
      <c r="N151">
        <f t="shared" si="115"/>
        <v>1.5873589366911065E-3</v>
      </c>
      <c r="O151" s="21">
        <f t="shared" si="108"/>
        <v>0.28602066918643154</v>
      </c>
      <c r="P151">
        <f>IF(B151&gt;$AJ$2,0,HLOOKUP(C151,Assumptions!$A$12:$J$13,2,TRUE))</f>
        <v>5.3E-3</v>
      </c>
      <c r="Q151">
        <f t="shared" si="109"/>
        <v>1.2668979613037883E-4</v>
      </c>
      <c r="R151">
        <f t="shared" si="116"/>
        <v>8.0481377086288511E-2</v>
      </c>
      <c r="S151">
        <f t="shared" si="144"/>
        <v>7.480566870814875E-5</v>
      </c>
      <c r="T151">
        <f t="shared" si="145"/>
        <v>4.4575540179221044E-4</v>
      </c>
      <c r="U151">
        <f t="shared" si="117"/>
        <v>4277.282660538538</v>
      </c>
      <c r="V151">
        <f t="shared" si="118"/>
        <v>1410.2</v>
      </c>
      <c r="W151">
        <f t="shared" si="119"/>
        <v>0.12</v>
      </c>
      <c r="X151">
        <f t="shared" si="110"/>
        <v>102.65517769260497</v>
      </c>
      <c r="Y151">
        <f t="shared" si="120"/>
        <v>210.25272843949281</v>
      </c>
      <c r="Z151">
        <f t="shared" si="121"/>
        <v>24005.811265085831</v>
      </c>
      <c r="AA151">
        <f t="shared" si="122"/>
        <v>0</v>
      </c>
      <c r="AB151">
        <f t="shared" si="123"/>
        <v>24950.262694543449</v>
      </c>
      <c r="AC151" s="23">
        <f>IF(B151&gt;$AJ$2,0,HLOOKUP(YEAR(A151),Assumptions!$A$25:$AL$29,4,TRUE)/100)</f>
        <v>6.9240000000000005E-3</v>
      </c>
      <c r="AD151">
        <f t="shared" si="124"/>
        <v>833.32176215086611</v>
      </c>
      <c r="AE151">
        <f t="shared" si="125"/>
        <v>6562.4621757622836</v>
      </c>
      <c r="AF151">
        <f t="shared" si="126"/>
        <v>6534.9604280175936</v>
      </c>
      <c r="AG151">
        <f t="shared" si="127"/>
        <v>6989.1960485736718</v>
      </c>
      <c r="AH151">
        <f t="shared" si="128"/>
        <v>394.67273624889538</v>
      </c>
      <c r="AI151">
        <f t="shared" si="129"/>
        <v>393.98114802251547</v>
      </c>
      <c r="AJ151">
        <f t="shared" si="130"/>
        <v>0</v>
      </c>
      <c r="AK151">
        <f t="shared" si="131"/>
        <v>7.1351463782865636</v>
      </c>
      <c r="AL151">
        <f t="shared" si="132"/>
        <v>42.52980025846955</v>
      </c>
      <c r="AM151">
        <f t="shared" si="111"/>
        <v>0</v>
      </c>
      <c r="AN151">
        <f>IF($S$2=0,0,(SUMPRODUCT($K$2:$R$2,Assumptions!$B$34:$I$34)/$U$2+$J$2/$U$2*Assumptions!$A$34*G151)*K151*O150)</f>
        <v>6.2776120406476057</v>
      </c>
      <c r="AO151">
        <f t="shared" si="133"/>
        <v>0</v>
      </c>
      <c r="AP151">
        <f t="shared" si="134"/>
        <v>0</v>
      </c>
      <c r="AQ151">
        <f>IF(B151&gt;$AJ$2,0,AQ150*(1+Assumptions!$B$43)^(1/12))</f>
        <v>1.1230937941035855</v>
      </c>
      <c r="AR151" s="27">
        <f>IF(B151&gt;$AJ$2,0,(O150+R150)*Assumptions!$B$39/12*AQ150+AV151*Assumptions!$B$41/12)</f>
        <v>6.6455574613084529</v>
      </c>
      <c r="AS151">
        <f t="shared" si="135"/>
        <v>60.55301810405107</v>
      </c>
      <c r="AT151" s="28">
        <f t="shared" si="136"/>
        <v>7664.4252487547874</v>
      </c>
      <c r="AU151">
        <f t="shared" si="137"/>
        <v>66.219006776268557</v>
      </c>
      <c r="AV151" s="28">
        <f t="shared" si="138"/>
        <v>7765.6665741524293</v>
      </c>
      <c r="AW151" s="28">
        <f t="shared" si="139"/>
        <v>7801.1231762796751</v>
      </c>
      <c r="AX151" s="23">
        <f>HLOOKUP(YEAR(A151),Assumptions!$A$25:$AL$29,2,TRUE)/100</f>
        <v>1.2924E-2</v>
      </c>
      <c r="AY151" s="29">
        <f>1/(1+HLOOKUP(YEAR(A151),Assumptions!$A$18:$AL$20,3,TRUE))^(1/12)</f>
        <v>0.99894156792068245</v>
      </c>
      <c r="AZ151" s="26">
        <f t="shared" si="140"/>
        <v>7169.4053710914513</v>
      </c>
      <c r="BA151">
        <f t="shared" si="141"/>
        <v>55.942558677403717</v>
      </c>
      <c r="BB151">
        <f t="shared" si="142"/>
        <v>7707.8000160190932</v>
      </c>
      <c r="BC151">
        <f t="shared" si="143"/>
        <v>0</v>
      </c>
    </row>
    <row r="152" spans="1:55" x14ac:dyDescent="0.2">
      <c r="A152" s="3">
        <f t="shared" si="112"/>
        <v>47391</v>
      </c>
      <c r="B152">
        <f t="shared" si="104"/>
        <v>154</v>
      </c>
      <c r="C152">
        <f t="shared" si="96"/>
        <v>12.75</v>
      </c>
      <c r="D152">
        <f t="shared" si="97"/>
        <v>0</v>
      </c>
      <c r="E152">
        <f t="shared" si="105"/>
        <v>68</v>
      </c>
      <c r="F152">
        <f>IF(C152&gt;=$T$2,0,VLOOKUP($E152,'Mortality Table'!$A$3:$C$128,2+AF$2,FALSE))</f>
        <v>1.10735E-2</v>
      </c>
      <c r="G152">
        <f>F152*Assumptions!$B$1</f>
        <v>1.10735E-2</v>
      </c>
      <c r="H152">
        <f t="shared" si="113"/>
        <v>9.2750856556889083E-4</v>
      </c>
      <c r="I152">
        <f t="shared" si="106"/>
        <v>2.6455519898287209E-4</v>
      </c>
      <c r="J152">
        <f>IF(B152&gt;$AJ$2,0,HLOOKUP(C152,Assumptions!$A$6:$J$7,2,TRUE))</f>
        <v>6.4199999999999993E-2</v>
      </c>
      <c r="K152" s="4">
        <f t="shared" si="103"/>
        <v>1</v>
      </c>
      <c r="L152" s="4">
        <f t="shared" si="114"/>
        <v>8.3333333333333329E-2</v>
      </c>
      <c r="M152" s="4">
        <f t="shared" si="107"/>
        <v>5.5141990623922554E-3</v>
      </c>
      <c r="N152">
        <f t="shared" si="115"/>
        <v>1.5764434842353368E-3</v>
      </c>
      <c r="O152" s="21">
        <f t="shared" si="108"/>
        <v>0.28405385188776822</v>
      </c>
      <c r="P152">
        <f>IF(B152&gt;$AJ$2,0,HLOOKUP(C152,Assumptions!$A$12:$J$13,2,TRUE))</f>
        <v>5.3E-3</v>
      </c>
      <c r="Q152">
        <f t="shared" si="109"/>
        <v>1.2581861544507338E-4</v>
      </c>
      <c r="R152">
        <f t="shared" si="116"/>
        <v>8.0089169820384179E-2</v>
      </c>
      <c r="S152">
        <f t="shared" si="144"/>
        <v>7.4441356948229506E-5</v>
      </c>
      <c r="T152">
        <f t="shared" si="145"/>
        <v>4.4358452440116671E-4</v>
      </c>
      <c r="U152">
        <f t="shared" si="117"/>
        <v>4277.282660538538</v>
      </c>
      <c r="V152">
        <f t="shared" si="118"/>
        <v>1410.2</v>
      </c>
      <c r="W152">
        <f t="shared" si="119"/>
        <v>0.12</v>
      </c>
      <c r="X152">
        <f t="shared" si="110"/>
        <v>101.94927073889608</v>
      </c>
      <c r="Y152">
        <f t="shared" si="120"/>
        <v>210.25272843949281</v>
      </c>
      <c r="Z152">
        <f t="shared" si="121"/>
        <v>24216.063993525324</v>
      </c>
      <c r="AA152">
        <f t="shared" si="122"/>
        <v>0</v>
      </c>
      <c r="AB152">
        <f t="shared" si="123"/>
        <v>25174.987171505432</v>
      </c>
      <c r="AC152" s="23">
        <f>IF(B152&gt;$AJ$2,0,HLOOKUP(YEAR(A152),Assumptions!$A$25:$AL$29,4,TRUE)/100)</f>
        <v>6.9240000000000005E-3</v>
      </c>
      <c r="AD152">
        <f t="shared" si="124"/>
        <v>833.32176215086611</v>
      </c>
      <c r="AE152">
        <f t="shared" si="125"/>
        <v>6590.1956601186694</v>
      </c>
      <c r="AF152">
        <f t="shared" si="126"/>
        <v>6562.4621757622836</v>
      </c>
      <c r="AG152">
        <f t="shared" si="127"/>
        <v>7021.7793016399446</v>
      </c>
      <c r="AH152">
        <f t="shared" si="128"/>
        <v>395.36184581550833</v>
      </c>
      <c r="AI152">
        <f t="shared" si="129"/>
        <v>394.67273624889538</v>
      </c>
      <c r="AJ152">
        <f t="shared" si="130"/>
        <v>0</v>
      </c>
      <c r="AK152">
        <f t="shared" si="131"/>
        <v>7.1448437963136504</v>
      </c>
      <c r="AL152">
        <f t="shared" si="132"/>
        <v>42.587626162580001</v>
      </c>
      <c r="AM152">
        <f t="shared" si="111"/>
        <v>0</v>
      </c>
      <c r="AN152">
        <f>IF($S$2=0,0,(SUMPRODUCT($K$2:$R$2,Assumptions!$B$34:$I$34)/$U$2+$J$2/$U$2*Assumptions!$A$34*G152)*K152*O151)</f>
        <v>6.2344441255771228</v>
      </c>
      <c r="AO152">
        <f t="shared" si="133"/>
        <v>0</v>
      </c>
      <c r="AP152">
        <f t="shared" si="134"/>
        <v>0</v>
      </c>
      <c r="AQ152">
        <f>IF(B152&gt;$AJ$2,0,AQ151*(1+Assumptions!$B$43)^(1/12))</f>
        <v>1.12402544321178</v>
      </c>
      <c r="AR152" s="27">
        <f>IF(B152&gt;$AJ$2,0,(O151+R151)*Assumptions!$B$39/12*AQ151+AV152*Assumptions!$B$41/12)</f>
        <v>6.6223143371617272</v>
      </c>
      <c r="AS152">
        <f t="shared" si="135"/>
        <v>60.136626086536801</v>
      </c>
      <c r="AT152" s="28">
        <f t="shared" si="136"/>
        <v>7674.8420127052377</v>
      </c>
      <c r="AU152">
        <f t="shared" si="137"/>
        <v>74.591384481180754</v>
      </c>
      <c r="AV152" s="28">
        <f t="shared" si="138"/>
        <v>7784.5464374920157</v>
      </c>
      <c r="AW152" s="28">
        <f t="shared" si="139"/>
        <v>7819.7367678072133</v>
      </c>
      <c r="AX152" s="23">
        <f>HLOOKUP(YEAR(A152),Assumptions!$A$25:$AL$29,2,TRUE)/100</f>
        <v>1.2924E-2</v>
      </c>
      <c r="AY152" s="29">
        <f>1/(1+HLOOKUP(YEAR(A152),Assumptions!$A$18:$AL$20,3,TRUE))^(1/12)</f>
        <v>0.99894156792068245</v>
      </c>
      <c r="AZ152" s="26">
        <f t="shared" si="140"/>
        <v>7216.3617822836131</v>
      </c>
      <c r="BA152">
        <f t="shared" si="141"/>
        <v>55.966914084470773</v>
      </c>
      <c r="BB152">
        <f t="shared" si="142"/>
        <v>7718.3274307157471</v>
      </c>
      <c r="BC152">
        <f t="shared" si="143"/>
        <v>0</v>
      </c>
    </row>
    <row r="153" spans="1:55" x14ac:dyDescent="0.2">
      <c r="A153" s="3">
        <f t="shared" si="112"/>
        <v>47422</v>
      </c>
      <c r="B153">
        <f t="shared" si="104"/>
        <v>155</v>
      </c>
      <c r="C153">
        <f t="shared" si="96"/>
        <v>12.833333333333334</v>
      </c>
      <c r="D153">
        <f t="shared" si="97"/>
        <v>0</v>
      </c>
      <c r="E153">
        <f t="shared" si="105"/>
        <v>68</v>
      </c>
      <c r="F153">
        <f>IF(C153&gt;=$T$2,0,VLOOKUP($E153,'Mortality Table'!$A$3:$C$128,2+AF$2,FALSE))</f>
        <v>1.10735E-2</v>
      </c>
      <c r="G153">
        <f>F153*Assumptions!$B$1</f>
        <v>1.10735E-2</v>
      </c>
      <c r="H153">
        <f t="shared" si="113"/>
        <v>9.2750856556889083E-4</v>
      </c>
      <c r="I153">
        <f t="shared" si="106"/>
        <v>2.6273598870240217E-4</v>
      </c>
      <c r="J153">
        <f>IF(B153&gt;$AJ$2,0,HLOOKUP(C153,Assumptions!$A$6:$J$7,2,TRUE))</f>
        <v>6.4199999999999993E-2</v>
      </c>
      <c r="K153" s="4">
        <f t="shared" si="103"/>
        <v>1</v>
      </c>
      <c r="L153" s="4">
        <f t="shared" si="114"/>
        <v>8.3333333333333329E-2</v>
      </c>
      <c r="M153" s="4">
        <f t="shared" si="107"/>
        <v>5.5141990623922554E-3</v>
      </c>
      <c r="N153">
        <f t="shared" si="115"/>
        <v>1.5656030917421003E-3</v>
      </c>
      <c r="O153" s="21">
        <f t="shared" si="108"/>
        <v>0.28210055938190165</v>
      </c>
      <c r="P153">
        <f>IF(B153&gt;$AJ$2,0,HLOOKUP(C153,Assumptions!$A$12:$J$13,2,TRUE))</f>
        <v>5.3E-3</v>
      </c>
      <c r="Q153">
        <f t="shared" si="109"/>
        <v>1.2495342542207565E-4</v>
      </c>
      <c r="R153">
        <f t="shared" si="116"/>
        <v>7.9698621843062312E-2</v>
      </c>
      <c r="S153">
        <f t="shared" si="144"/>
        <v>7.4078584315157258E-5</v>
      </c>
      <c r="T153">
        <f t="shared" si="145"/>
        <v>4.4142281842878597E-4</v>
      </c>
      <c r="U153">
        <f t="shared" si="117"/>
        <v>4277.282660538538</v>
      </c>
      <c r="V153">
        <f t="shared" si="118"/>
        <v>1410.2</v>
      </c>
      <c r="W153">
        <f t="shared" si="119"/>
        <v>0.12</v>
      </c>
      <c r="X153">
        <f t="shared" si="110"/>
        <v>101.24821794489442</v>
      </c>
      <c r="Y153">
        <f t="shared" si="120"/>
        <v>210.25272843949281</v>
      </c>
      <c r="Z153">
        <f t="shared" si="121"/>
        <v>24426.316721964817</v>
      </c>
      <c r="AA153">
        <f t="shared" si="122"/>
        <v>0</v>
      </c>
      <c r="AB153">
        <f t="shared" si="123"/>
        <v>25399.840904806675</v>
      </c>
      <c r="AC153" s="23">
        <f>IF(B153&gt;$AJ$2,0,HLOOKUP(YEAR(A153),Assumptions!$A$25:$AL$29,4,TRUE)/100)</f>
        <v>6.9240000000000005E-3</v>
      </c>
      <c r="AD153">
        <f t="shared" si="124"/>
        <v>833.32176215086611</v>
      </c>
      <c r="AE153">
        <f t="shared" si="125"/>
        <v>6618.1595617694293</v>
      </c>
      <c r="AF153">
        <f t="shared" si="126"/>
        <v>6590.1956601186694</v>
      </c>
      <c r="AG153">
        <f t="shared" si="127"/>
        <v>7054.625304296871</v>
      </c>
      <c r="AH153">
        <f t="shared" si="128"/>
        <v>396.0484899566257</v>
      </c>
      <c r="AI153">
        <f t="shared" si="129"/>
        <v>395.36184581550833</v>
      </c>
      <c r="AJ153">
        <f t="shared" si="130"/>
        <v>0</v>
      </c>
      <c r="AK153">
        <f t="shared" si="131"/>
        <v>7.1540963020811059</v>
      </c>
      <c r="AL153">
        <f t="shared" si="132"/>
        <v>42.642799594258051</v>
      </c>
      <c r="AM153">
        <f t="shared" si="111"/>
        <v>0</v>
      </c>
      <c r="AN153">
        <f>IF($S$2=0,0,(SUMPRODUCT($K$2:$R$2,Assumptions!$B$34:$I$34)/$U$2+$J$2/$U$2*Assumptions!$A$34*G153)*K153*O152)</f>
        <v>6.1915730540961222</v>
      </c>
      <c r="AO153">
        <f t="shared" si="133"/>
        <v>0</v>
      </c>
      <c r="AP153">
        <f t="shared" si="134"/>
        <v>0</v>
      </c>
      <c r="AQ153">
        <f>IF(B153&gt;$AJ$2,0,AQ152*(1+Assumptions!$B$43)^(1/12))</f>
        <v>1.1249578651584191</v>
      </c>
      <c r="AR153" s="27">
        <f>IF(B153&gt;$AJ$2,0,(O152+R152)*Assumptions!$B$39/12*AQ152+AV153*Assumptions!$B$41/12)</f>
        <v>6.5991216935287786</v>
      </c>
      <c r="AS153">
        <f t="shared" si="135"/>
        <v>59.723097383150844</v>
      </c>
      <c r="AT153" s="28">
        <f t="shared" si="136"/>
        <v>7684.7808611967221</v>
      </c>
      <c r="AU153">
        <f t="shared" si="137"/>
        <v>82.983199339387994</v>
      </c>
      <c r="AV153" s="28">
        <f t="shared" si="138"/>
        <v>7802.9649215154741</v>
      </c>
      <c r="AW153" s="28">
        <f t="shared" si="139"/>
        <v>7837.8909203836884</v>
      </c>
      <c r="AX153" s="23">
        <f>HLOOKUP(YEAR(A153),Assumptions!$A$25:$AL$29,2,TRUE)/100</f>
        <v>1.2924E-2</v>
      </c>
      <c r="AY153" s="29">
        <f>1/(1+HLOOKUP(YEAR(A153),Assumptions!$A$18:$AL$20,3,TRUE))^(1/12)</f>
        <v>0.99894156792068245</v>
      </c>
      <c r="AZ153" s="26">
        <f t="shared" si="140"/>
        <v>7262.6685312913705</v>
      </c>
      <c r="BA153">
        <f t="shared" si="141"/>
        <v>55.988468950435283</v>
      </c>
      <c r="BB153">
        <f t="shared" si="142"/>
        <v>7728.3735370342929</v>
      </c>
      <c r="BC153">
        <f t="shared" si="143"/>
        <v>0</v>
      </c>
    </row>
    <row r="154" spans="1:55" x14ac:dyDescent="0.2">
      <c r="A154" s="3">
        <f t="shared" si="112"/>
        <v>47452</v>
      </c>
      <c r="B154">
        <f t="shared" si="104"/>
        <v>156</v>
      </c>
      <c r="C154">
        <f t="shared" si="96"/>
        <v>12.916666666666666</v>
      </c>
      <c r="D154">
        <f t="shared" si="97"/>
        <v>0</v>
      </c>
      <c r="E154">
        <f t="shared" si="105"/>
        <v>68</v>
      </c>
      <c r="F154">
        <f>IF(C154&gt;=$T$2,0,VLOOKUP($E154,'Mortality Table'!$A$3:$C$128,2+AF$2,FALSE))</f>
        <v>1.10735E-2</v>
      </c>
      <c r="G154">
        <f>F154*Assumptions!$B$1</f>
        <v>1.10735E-2</v>
      </c>
      <c r="H154">
        <f t="shared" si="113"/>
        <v>9.2750856556889083E-4</v>
      </c>
      <c r="I154">
        <f t="shared" si="106"/>
        <v>2.6092928819704654E-4</v>
      </c>
      <c r="J154">
        <f>IF(B154&gt;$AJ$2,0,HLOOKUP(C154,Assumptions!$A$6:$J$7,2,TRUE))</f>
        <v>6.4199999999999993E-2</v>
      </c>
      <c r="K154" s="4">
        <f t="shared" si="103"/>
        <v>1</v>
      </c>
      <c r="L154" s="4">
        <f t="shared" si="114"/>
        <v>8.3333333333333329E-2</v>
      </c>
      <c r="M154" s="4">
        <f t="shared" si="107"/>
        <v>5.5141990623922554E-3</v>
      </c>
      <c r="N154">
        <f t="shared" si="115"/>
        <v>1.5548372430625702E-3</v>
      </c>
      <c r="O154" s="21">
        <f t="shared" si="108"/>
        <v>0.28016069866577537</v>
      </c>
      <c r="P154">
        <f>IF(B154&gt;$AJ$2,0,HLOOKUP(C154,Assumptions!$A$12:$J$13,2,TRUE))</f>
        <v>5.3E-3</v>
      </c>
      <c r="Q154">
        <f t="shared" si="109"/>
        <v>1.2409418486667657E-4</v>
      </c>
      <c r="R154">
        <f t="shared" si="116"/>
        <v>7.9309728423624964E-2</v>
      </c>
      <c r="S154">
        <f t="shared" si="144"/>
        <v>7.3717346443269755E-5</v>
      </c>
      <c r="T154">
        <f t="shared" si="145"/>
        <v>4.392702578607627E-4</v>
      </c>
      <c r="U154">
        <f t="shared" si="117"/>
        <v>4277.282660538538</v>
      </c>
      <c r="V154">
        <f t="shared" si="118"/>
        <v>1410.2</v>
      </c>
      <c r="W154">
        <f t="shared" si="119"/>
        <v>0.12</v>
      </c>
      <c r="X154">
        <f t="shared" si="110"/>
        <v>100.55198593103584</v>
      </c>
      <c r="Y154">
        <f t="shared" si="120"/>
        <v>210.25272843949281</v>
      </c>
      <c r="Z154">
        <f t="shared" si="121"/>
        <v>24636.569450404309</v>
      </c>
      <c r="AA154">
        <f t="shared" si="122"/>
        <v>0</v>
      </c>
      <c r="AB154">
        <f t="shared" si="123"/>
        <v>25624.823968792443</v>
      </c>
      <c r="AC154" s="23">
        <f>IF(B154&gt;$AJ$2,0,HLOOKUP(YEAR(A154),Assumptions!$A$25:$AL$29,4,TRUE)/100)</f>
        <v>6.9240000000000005E-3</v>
      </c>
      <c r="AD154">
        <f t="shared" si="124"/>
        <v>833.32176215086611</v>
      </c>
      <c r="AE154">
        <f t="shared" si="125"/>
        <v>6646.3525707755944</v>
      </c>
      <c r="AF154">
        <f t="shared" si="126"/>
        <v>6618.1595617694293</v>
      </c>
      <c r="AG154">
        <f t="shared" si="127"/>
        <v>7087.7329939830333</v>
      </c>
      <c r="AH154">
        <f t="shared" si="128"/>
        <v>396.73268181247323</v>
      </c>
      <c r="AI154">
        <f t="shared" si="129"/>
        <v>396.0484899566257</v>
      </c>
      <c r="AJ154">
        <f t="shared" si="130"/>
        <v>0</v>
      </c>
      <c r="AK154">
        <f t="shared" si="131"/>
        <v>7.1629093895224942</v>
      </c>
      <c r="AL154">
        <f t="shared" si="132"/>
        <v>42.695353309072573</v>
      </c>
      <c r="AM154">
        <f t="shared" si="111"/>
        <v>0</v>
      </c>
      <c r="AN154">
        <f>IF($S$2=0,0,(SUMPRODUCT($K$2:$R$2,Assumptions!$B$34:$I$34)/$U$2+$J$2/$U$2*Assumptions!$A$34*G154)*K154*O153)</f>
        <v>6.148996784963642</v>
      </c>
      <c r="AO154">
        <f t="shared" si="133"/>
        <v>0</v>
      </c>
      <c r="AP154">
        <f t="shared" si="134"/>
        <v>0</v>
      </c>
      <c r="AQ154">
        <f>IF(B154&gt;$AJ$2,0,AQ153*(1+Assumptions!$B$43)^(1/12))</f>
        <v>1.1258910605846015</v>
      </c>
      <c r="AR154" s="27">
        <f>IF(B154&gt;$AJ$2,0,(O153+R153)*Assumptions!$B$39/12*AQ153+AV154*Assumptions!$B$41/12)</f>
        <v>6.5759798906807969</v>
      </c>
      <c r="AS154">
        <f t="shared" si="135"/>
        <v>59.312412304351987</v>
      </c>
      <c r="AT154" s="28">
        <f t="shared" si="136"/>
        <v>7694.2476956979481</v>
      </c>
      <c r="AU154">
        <f t="shared" si="137"/>
        <v>91.393965262148427</v>
      </c>
      <c r="AV154" s="28">
        <f t="shared" si="138"/>
        <v>7820.9274760554981</v>
      </c>
      <c r="AW154" s="28">
        <f t="shared" si="139"/>
        <v>7855.5910697915015</v>
      </c>
      <c r="AX154" s="23">
        <f>HLOOKUP(YEAR(A154),Assumptions!$A$25:$AL$29,2,TRUE)/100</f>
        <v>1.2924E-2</v>
      </c>
      <c r="AY154" s="29">
        <f>1/(1+HLOOKUP(YEAR(A154),Assumptions!$A$18:$AL$20,3,TRUE))^(1/12)</f>
        <v>0.99894156792068245</v>
      </c>
      <c r="AZ154" s="26">
        <f t="shared" si="140"/>
        <v>7308.3324640350529</v>
      </c>
      <c r="BA154">
        <f t="shared" si="141"/>
        <v>56.007259483558713</v>
      </c>
      <c r="BB154">
        <f t="shared" si="142"/>
        <v>7737.9442767161099</v>
      </c>
      <c r="BC154">
        <f t="shared" si="143"/>
        <v>0</v>
      </c>
    </row>
    <row r="155" spans="1:55" x14ac:dyDescent="0.2">
      <c r="A155" s="3">
        <f t="shared" si="112"/>
        <v>47483</v>
      </c>
      <c r="B155">
        <f t="shared" si="104"/>
        <v>157</v>
      </c>
      <c r="C155">
        <f t="shared" si="96"/>
        <v>13</v>
      </c>
      <c r="D155">
        <f t="shared" si="97"/>
        <v>1</v>
      </c>
      <c r="E155">
        <f t="shared" si="105"/>
        <v>69</v>
      </c>
      <c r="F155">
        <f>IF(C155&gt;=$T$2,0,VLOOKUP($E155,'Mortality Table'!$A$3:$C$128,2+AF$2,FALSE))</f>
        <v>1.2380200000000001E-2</v>
      </c>
      <c r="G155">
        <f>F155*Assumptions!$B$1</f>
        <v>1.2380200000000001E-2</v>
      </c>
      <c r="H155">
        <f t="shared" si="113"/>
        <v>1.0375840961015514E-3</v>
      </c>
      <c r="I155">
        <f t="shared" si="106"/>
        <v>2.8988882323901599E-4</v>
      </c>
      <c r="J155">
        <f>IF(B155&gt;$AJ$2,0,HLOOKUP(C155,Assumptions!$A$6:$J$7,2,TRUE))</f>
        <v>6.4199999999999993E-2</v>
      </c>
      <c r="K155" s="4">
        <f t="shared" si="103"/>
        <v>1</v>
      </c>
      <c r="L155" s="4">
        <f t="shared" si="114"/>
        <v>8.3333333333333329E-2</v>
      </c>
      <c r="M155" s="4">
        <f t="shared" si="107"/>
        <v>5.5141990623922554E-3</v>
      </c>
      <c r="N155">
        <f t="shared" si="115"/>
        <v>1.5440603998526862E-3</v>
      </c>
      <c r="O155" s="21">
        <f t="shared" si="108"/>
        <v>0.27820352216821259</v>
      </c>
      <c r="P155">
        <f>IF(B155&gt;$AJ$2,0,HLOOKUP(C155,Assumptions!$A$12:$J$13,2,TRUE))</f>
        <v>5.3E-3</v>
      </c>
      <c r="Q155">
        <f t="shared" si="109"/>
        <v>1.2322727447110031E-4</v>
      </c>
      <c r="R155">
        <f t="shared" si="116"/>
        <v>7.8913789321374397E-2</v>
      </c>
      <c r="S155">
        <f t="shared" si="144"/>
        <v>8.206362974400727E-5</v>
      </c>
      <c r="T155">
        <f t="shared" si="145"/>
        <v>4.3710274697765804E-4</v>
      </c>
      <c r="U155">
        <f t="shared" si="117"/>
        <v>4405.6011403546945</v>
      </c>
      <c r="V155">
        <f t="shared" si="118"/>
        <v>1410.2</v>
      </c>
      <c r="W155">
        <f t="shared" si="119"/>
        <v>0.12</v>
      </c>
      <c r="X155">
        <f t="shared" si="110"/>
        <v>102.85635779370899</v>
      </c>
      <c r="Y155">
        <f t="shared" si="120"/>
        <v>219.66275029267763</v>
      </c>
      <c r="Z155">
        <f t="shared" si="121"/>
        <v>24856.232200696988</v>
      </c>
      <c r="AA155">
        <f t="shared" si="122"/>
        <v>0</v>
      </c>
      <c r="AB155">
        <f t="shared" si="123"/>
        <v>25859.351872131621</v>
      </c>
      <c r="AC155" s="23">
        <f>IF(B155&gt;$AJ$2,0,HLOOKUP(YEAR(A155),Assumptions!$A$25:$AL$29,4,TRUE)/100)</f>
        <v>6.9240000000000005E-3</v>
      </c>
      <c r="AD155">
        <f t="shared" si="124"/>
        <v>833.32176215086611</v>
      </c>
      <c r="AE155">
        <f t="shared" si="125"/>
        <v>6674.7880806470512</v>
      </c>
      <c r="AF155">
        <f t="shared" si="126"/>
        <v>6646.3525707755944</v>
      </c>
      <c r="AG155">
        <f t="shared" si="127"/>
        <v>7121.1160185422368</v>
      </c>
      <c r="AH155">
        <f t="shared" si="128"/>
        <v>397.41443443006511</v>
      </c>
      <c r="AI155">
        <f t="shared" si="129"/>
        <v>396.73268181247323</v>
      </c>
      <c r="AJ155">
        <f t="shared" si="130"/>
        <v>0</v>
      </c>
      <c r="AK155">
        <f t="shared" si="131"/>
        <v>8.0250957082490295</v>
      </c>
      <c r="AL155">
        <f t="shared" si="132"/>
        <v>42.75750211043453</v>
      </c>
      <c r="AM155">
        <f t="shared" si="111"/>
        <v>0</v>
      </c>
      <c r="AN155">
        <f>IF($S$2=0,0,(SUMPRODUCT($K$2:$R$2,Assumptions!$B$34:$I$34)/$U$2+$J$2/$U$2*Assumptions!$A$34*G155)*K155*O154)</f>
        <v>6.1233427468414785</v>
      </c>
      <c r="AO155">
        <f t="shared" si="133"/>
        <v>0</v>
      </c>
      <c r="AP155">
        <f t="shared" si="134"/>
        <v>0</v>
      </c>
      <c r="AQ155">
        <f>IF(B155&gt;$AJ$2,0,AQ154*(1+Assumptions!$B$43)^(1/12))</f>
        <v>1.126825030131958</v>
      </c>
      <c r="AR155" s="27">
        <f>IF(B155&gt;$AJ$2,0,(O154+R154)*Assumptions!$B$39/12*AQ154+AV155*Assumptions!$B$41/12)</f>
        <v>6.5534787120427742</v>
      </c>
      <c r="AS155">
        <f t="shared" si="135"/>
        <v>61.54086959284232</v>
      </c>
      <c r="AT155" s="28">
        <f t="shared" si="136"/>
        <v>7756.1170210344853</v>
      </c>
      <c r="AU155">
        <f t="shared" si="137"/>
        <v>0</v>
      </c>
      <c r="AV155" s="28">
        <f t="shared" si="138"/>
        <v>7841.0591878060977</v>
      </c>
      <c r="AW155" s="28">
        <f t="shared" si="139"/>
        <v>7875.8211972949211</v>
      </c>
      <c r="AX155" s="23">
        <f>HLOOKUP(YEAR(A155),Assumptions!$A$25:$AL$29,2,TRUE)/100</f>
        <v>1.2924E-2</v>
      </c>
      <c r="AY155" s="29">
        <f>1/(1+HLOOKUP(YEAR(A155),Assumptions!$A$18:$AL$20,3,TRUE))^(1/12)</f>
        <v>0.99894156792068245</v>
      </c>
      <c r="AZ155" s="26">
        <f t="shared" si="140"/>
        <v>7355.4729721198864</v>
      </c>
      <c r="BA155">
        <f t="shared" si="141"/>
        <v>56.905940565525036</v>
      </c>
      <c r="BB155">
        <f t="shared" si="142"/>
        <v>7749.6652225439493</v>
      </c>
      <c r="BC155">
        <f t="shared" si="143"/>
        <v>0</v>
      </c>
    </row>
    <row r="156" spans="1:55" x14ac:dyDescent="0.2">
      <c r="A156" s="3">
        <f t="shared" si="112"/>
        <v>47514</v>
      </c>
      <c r="B156">
        <f t="shared" si="104"/>
        <v>158</v>
      </c>
      <c r="C156">
        <f t="shared" si="96"/>
        <v>13.083333333333334</v>
      </c>
      <c r="D156">
        <f t="shared" si="97"/>
        <v>0</v>
      </c>
      <c r="E156">
        <f t="shared" si="105"/>
        <v>69</v>
      </c>
      <c r="F156">
        <f>IF(C156&gt;=$T$2,0,VLOOKUP($E156,'Mortality Table'!$A$3:$C$128,2+AF$2,FALSE))</f>
        <v>1.2380200000000001E-2</v>
      </c>
      <c r="G156">
        <f>F156*Assumptions!$B$1</f>
        <v>1.2380200000000001E-2</v>
      </c>
      <c r="H156">
        <f t="shared" si="113"/>
        <v>1.0375840961015514E-3</v>
      </c>
      <c r="I156">
        <f t="shared" si="106"/>
        <v>2.8786368697096874E-4</v>
      </c>
      <c r="J156">
        <f>IF(B156&gt;$AJ$2,0,HLOOKUP(C156,Assumptions!$A$6:$J$7,2,TRUE))</f>
        <v>6.4199999999999993E-2</v>
      </c>
      <c r="K156" s="4">
        <f t="shared" si="103"/>
        <v>1</v>
      </c>
      <c r="L156" s="4">
        <f t="shared" si="114"/>
        <v>8.3333333333333329E-2</v>
      </c>
      <c r="M156" s="4">
        <f t="shared" si="107"/>
        <v>5.5141990623922554E-3</v>
      </c>
      <c r="N156">
        <f t="shared" si="115"/>
        <v>1.5332737379839768E-3</v>
      </c>
      <c r="O156" s="21">
        <f t="shared" si="108"/>
        <v>0.27626001832302699</v>
      </c>
      <c r="P156">
        <f>IF(B156&gt;$AJ$2,0,HLOOKUP(C156,Assumptions!$A$12:$J$13,2,TRUE))</f>
        <v>5.3E-3</v>
      </c>
      <c r="Q156">
        <f t="shared" si="109"/>
        <v>1.2236642023065141E-4</v>
      </c>
      <c r="R156">
        <f t="shared" si="116"/>
        <v>7.8519581206681413E-2</v>
      </c>
      <c r="S156">
        <f t="shared" si="144"/>
        <v>8.1653942300435271E-5</v>
      </c>
      <c r="T156">
        <f t="shared" si="145"/>
        <v>4.3492059262321145E-4</v>
      </c>
      <c r="U156">
        <f t="shared" si="117"/>
        <v>4405.6011403546945</v>
      </c>
      <c r="V156">
        <f t="shared" si="118"/>
        <v>1410.2</v>
      </c>
      <c r="W156">
        <f t="shared" si="119"/>
        <v>0.12</v>
      </c>
      <c r="X156">
        <f t="shared" si="110"/>
        <v>102.13781287624749</v>
      </c>
      <c r="Y156">
        <f t="shared" si="120"/>
        <v>219.66275029267763</v>
      </c>
      <c r="Z156">
        <f t="shared" si="121"/>
        <v>25075.894950989667</v>
      </c>
      <c r="AA156">
        <f t="shared" si="122"/>
        <v>169.79790928376678</v>
      </c>
      <c r="AB156">
        <f t="shared" si="123"/>
        <v>26093.872136031299</v>
      </c>
      <c r="AC156" s="23">
        <f>IF(B156&gt;$AJ$2,0,HLOOKUP(YEAR(A156),Assumptions!$A$25:$AL$29,4,TRUE)/100)</f>
        <v>6.8579999999999995E-3</v>
      </c>
      <c r="AD156">
        <f t="shared" si="124"/>
        <v>1003.1196714346329</v>
      </c>
      <c r="AE156">
        <f t="shared" si="125"/>
        <v>6703.4647182628132</v>
      </c>
      <c r="AF156">
        <f t="shared" si="126"/>
        <v>6674.7880806470512</v>
      </c>
      <c r="AG156">
        <f t="shared" si="127"/>
        <v>7154.7341842572459</v>
      </c>
      <c r="AH156">
        <f t="shared" si="128"/>
        <v>447.19565280400434</v>
      </c>
      <c r="AI156">
        <f t="shared" si="129"/>
        <v>446.32793789518564</v>
      </c>
      <c r="AJ156">
        <f t="shared" si="130"/>
        <v>48.913503465120527</v>
      </c>
      <c r="AK156">
        <f t="shared" si="131"/>
        <v>8.0886684982736181</v>
      </c>
      <c r="AL156">
        <f t="shared" si="132"/>
        <v>43.096237679294994</v>
      </c>
      <c r="AM156">
        <f t="shared" si="111"/>
        <v>0</v>
      </c>
      <c r="AN156">
        <f>IF($S$2=0,0,(SUMPRODUCT($K$2:$R$2,Assumptions!$B$34:$I$34)/$U$2+$J$2/$U$2*Assumptions!$A$34*G156)*K156*O155)</f>
        <v>6.0805656458144117</v>
      </c>
      <c r="AO156">
        <f t="shared" si="133"/>
        <v>0</v>
      </c>
      <c r="AP156">
        <f t="shared" si="134"/>
        <v>0</v>
      </c>
      <c r="AQ156">
        <f>IF(B156&gt;$AJ$2,0,AQ155*(1+Assumptions!$B$43)^(1/12))</f>
        <v>1.1277597744426517</v>
      </c>
      <c r="AR156" s="27">
        <f>IF(B156&gt;$AJ$2,0,(O155+R155)*Assumptions!$B$39/12*AQ155+AV156*Assumptions!$B$41/12)</f>
        <v>6.5193447488758709</v>
      </c>
      <c r="AS156">
        <f t="shared" si="135"/>
        <v>61.11095082057949</v>
      </c>
      <c r="AT156" s="28">
        <f t="shared" si="136"/>
        <v>7766.0559151248053</v>
      </c>
      <c r="AU156">
        <f t="shared" si="137"/>
        <v>8.3574801457830343</v>
      </c>
      <c r="AV156" s="28">
        <f t="shared" si="138"/>
        <v>7811.1474062092502</v>
      </c>
      <c r="AW156" s="28">
        <f t="shared" si="139"/>
        <v>7845.6549235160428</v>
      </c>
      <c r="AX156" s="23">
        <f>HLOOKUP(YEAR(A156),Assumptions!$A$25:$AL$29,2,TRUE)/100</f>
        <v>1.2858000000000001E-2</v>
      </c>
      <c r="AY156" s="29">
        <f>1/(1+HLOOKUP(YEAR(A156),Assumptions!$A$18:$AL$20,3,TRUE))^(1/12)</f>
        <v>0.99893006162889775</v>
      </c>
      <c r="AZ156" s="26">
        <f t="shared" si="140"/>
        <v>7401.7043005241658</v>
      </c>
      <c r="BA156">
        <f t="shared" si="141"/>
        <v>57.265471823383024</v>
      </c>
      <c r="BB156">
        <f t="shared" si="142"/>
        <v>7811.1474062092502</v>
      </c>
      <c r="BC156">
        <f t="shared" si="143"/>
        <v>0</v>
      </c>
    </row>
    <row r="157" spans="1:55" x14ac:dyDescent="0.2">
      <c r="A157" s="3">
        <f t="shared" si="112"/>
        <v>47542</v>
      </c>
      <c r="B157">
        <f t="shared" si="104"/>
        <v>159</v>
      </c>
      <c r="C157">
        <f t="shared" si="96"/>
        <v>13.166666666666666</v>
      </c>
      <c r="D157">
        <f t="shared" si="97"/>
        <v>0</v>
      </c>
      <c r="E157">
        <f t="shared" si="105"/>
        <v>69</v>
      </c>
      <c r="F157">
        <f>IF(C157&gt;=$T$2,0,VLOOKUP($E157,'Mortality Table'!$A$3:$C$128,2+AF$2,FALSE))</f>
        <v>1.2380200000000001E-2</v>
      </c>
      <c r="G157">
        <f>F157*Assumptions!$B$1</f>
        <v>1.2380200000000001E-2</v>
      </c>
      <c r="H157">
        <f t="shared" si="113"/>
        <v>1.0375840961015514E-3</v>
      </c>
      <c r="I157">
        <f t="shared" si="106"/>
        <v>2.8585269811591351E-4</v>
      </c>
      <c r="J157">
        <f>IF(B157&gt;$AJ$2,0,HLOOKUP(C157,Assumptions!$A$6:$J$7,2,TRUE))</f>
        <v>6.4199999999999993E-2</v>
      </c>
      <c r="K157" s="4">
        <f t="shared" si="103"/>
        <v>1</v>
      </c>
      <c r="L157" s="4">
        <f t="shared" si="114"/>
        <v>8.3333333333333329E-2</v>
      </c>
      <c r="M157" s="4">
        <f t="shared" si="107"/>
        <v>5.5141990623922554E-3</v>
      </c>
      <c r="N157">
        <f t="shared" si="115"/>
        <v>1.5225624307285204E-3</v>
      </c>
      <c r="O157" s="21">
        <f t="shared" si="108"/>
        <v>0.27433009161434496</v>
      </c>
      <c r="P157">
        <f>IF(B157&gt;$AJ$2,0,HLOOKUP(C157,Assumptions!$A$12:$J$13,2,TRUE))</f>
        <v>5.3E-3</v>
      </c>
      <c r="Q157">
        <f t="shared" si="109"/>
        <v>1.2151157983759529E-4</v>
      </c>
      <c r="R157">
        <f t="shared" si="116"/>
        <v>7.8127098762241998E-2</v>
      </c>
      <c r="S157">
        <f t="shared" si="144"/>
        <v>8.1246045950148283E-5</v>
      </c>
      <c r="T157">
        <f t="shared" si="145"/>
        <v>4.3274797832685657E-4</v>
      </c>
      <c r="U157">
        <f t="shared" si="117"/>
        <v>4405.6011403546945</v>
      </c>
      <c r="V157">
        <f t="shared" si="118"/>
        <v>1410.2</v>
      </c>
      <c r="W157">
        <f t="shared" si="119"/>
        <v>0.12</v>
      </c>
      <c r="X157">
        <f t="shared" si="110"/>
        <v>101.42428764652804</v>
      </c>
      <c r="Y157">
        <f t="shared" si="120"/>
        <v>219.66275029267763</v>
      </c>
      <c r="Z157">
        <f t="shared" si="121"/>
        <v>25295.557701282345</v>
      </c>
      <c r="AA157">
        <f t="shared" si="122"/>
        <v>0</v>
      </c>
      <c r="AB157">
        <f t="shared" si="123"/>
        <v>26328.526008813922</v>
      </c>
      <c r="AC157" s="23">
        <f>IF(B157&gt;$AJ$2,0,HLOOKUP(YEAR(A157),Assumptions!$A$25:$AL$29,4,TRUE)/100)</f>
        <v>6.8579999999999995E-3</v>
      </c>
      <c r="AD157">
        <f t="shared" si="124"/>
        <v>1003.1196714346329</v>
      </c>
      <c r="AE157">
        <f t="shared" si="125"/>
        <v>6732.3811202109928</v>
      </c>
      <c r="AF157">
        <f t="shared" si="126"/>
        <v>6703.4647182628132</v>
      </c>
      <c r="AG157">
        <f t="shared" si="127"/>
        <v>7188.6251006106713</v>
      </c>
      <c r="AH157">
        <f t="shared" si="128"/>
        <v>448.06028501028965</v>
      </c>
      <c r="AI157">
        <f t="shared" si="129"/>
        <v>447.19565280400434</v>
      </c>
      <c r="AJ157">
        <f t="shared" si="130"/>
        <v>0</v>
      </c>
      <c r="AK157">
        <f t="shared" si="131"/>
        <v>8.0985107649526711</v>
      </c>
      <c r="AL157">
        <f t="shared" si="132"/>
        <v>43.148699647153066</v>
      </c>
      <c r="AM157">
        <f t="shared" si="111"/>
        <v>0</v>
      </c>
      <c r="AN157">
        <f>IF($S$2=0,0,(SUMPRODUCT($K$2:$R$2,Assumptions!$B$34:$I$34)/$U$2+$J$2/$U$2*Assumptions!$A$34*G157)*K157*O156)</f>
        <v>6.0380873816233551</v>
      </c>
      <c r="AO157">
        <f t="shared" si="133"/>
        <v>0</v>
      </c>
      <c r="AP157">
        <f t="shared" si="134"/>
        <v>0</v>
      </c>
      <c r="AQ157">
        <f>IF(B157&gt;$AJ$2,0,AQ156*(1+Assumptions!$B$43)^(1/12))</f>
        <v>1.1286952941593784</v>
      </c>
      <c r="AR157" s="27">
        <f>IF(B157&gt;$AJ$2,0,(O156+R156)*Assumptions!$B$39/12*AQ156+AV157*Assumptions!$B$41/12)</f>
        <v>6.4961279257640099</v>
      </c>
      <c r="AS157">
        <f t="shared" si="135"/>
        <v>60.684035420741623</v>
      </c>
      <c r="AT157" s="28">
        <f t="shared" si="136"/>
        <v>7775.5056278157645</v>
      </c>
      <c r="AU157">
        <f t="shared" si="137"/>
        <v>16.733760169753786</v>
      </c>
      <c r="AV157" s="28">
        <f t="shared" si="138"/>
        <v>7829.0593433097074</v>
      </c>
      <c r="AW157" s="28">
        <f t="shared" si="139"/>
        <v>7863.3034676097295</v>
      </c>
      <c r="AX157" s="23">
        <f>HLOOKUP(YEAR(A157),Assumptions!$A$25:$AL$29,2,TRUE)/100</f>
        <v>1.2858000000000001E-2</v>
      </c>
      <c r="AY157" s="29">
        <f>1/(1+HLOOKUP(YEAR(A157),Assumptions!$A$18:$AL$20,3,TRUE))^(1/12)</f>
        <v>0.99893006162889775</v>
      </c>
      <c r="AZ157" s="26">
        <f t="shared" si="140"/>
        <v>7447.2750122045354</v>
      </c>
      <c r="BA157">
        <f t="shared" si="141"/>
        <v>57.285297793729093</v>
      </c>
      <c r="BB157">
        <f t="shared" si="142"/>
        <v>7820.7018631639239</v>
      </c>
      <c r="BC157">
        <f t="shared" si="143"/>
        <v>0</v>
      </c>
    </row>
    <row r="158" spans="1:55" x14ac:dyDescent="0.2">
      <c r="A158" s="3">
        <f t="shared" si="112"/>
        <v>47573</v>
      </c>
      <c r="B158">
        <f t="shared" si="104"/>
        <v>160</v>
      </c>
      <c r="C158">
        <f t="shared" si="96"/>
        <v>13.25</v>
      </c>
      <c r="D158">
        <f t="shared" si="97"/>
        <v>0</v>
      </c>
      <c r="E158">
        <f t="shared" si="105"/>
        <v>69</v>
      </c>
      <c r="F158">
        <f>IF(C158&gt;=$T$2,0,VLOOKUP($E158,'Mortality Table'!$A$3:$C$128,2+AF$2,FALSE))</f>
        <v>1.2380200000000001E-2</v>
      </c>
      <c r="G158">
        <f>F158*Assumptions!$B$1</f>
        <v>1.2380200000000001E-2</v>
      </c>
      <c r="H158">
        <f t="shared" si="113"/>
        <v>1.0375840961015514E-3</v>
      </c>
      <c r="I158">
        <f t="shared" si="106"/>
        <v>2.838557578413434E-4</v>
      </c>
      <c r="J158">
        <f>IF(B158&gt;$AJ$2,0,HLOOKUP(C158,Assumptions!$A$6:$J$7,2,TRUE))</f>
        <v>6.4199999999999993E-2</v>
      </c>
      <c r="K158" s="4">
        <f t="shared" si="103"/>
        <v>1</v>
      </c>
      <c r="L158" s="4">
        <f t="shared" si="114"/>
        <v>8.3333333333333329E-2</v>
      </c>
      <c r="M158" s="4">
        <f t="shared" si="107"/>
        <v>5.5141990623922554E-3</v>
      </c>
      <c r="N158">
        <f t="shared" si="115"/>
        <v>1.51192595166602E-3</v>
      </c>
      <c r="O158" s="21">
        <f t="shared" si="108"/>
        <v>0.27241364719355787</v>
      </c>
      <c r="P158">
        <f>IF(B158&gt;$AJ$2,0,HLOOKUP(C158,Assumptions!$A$12:$J$13,2,TRUE))</f>
        <v>5.3E-3</v>
      </c>
      <c r="Q158">
        <f t="shared" si="109"/>
        <v>1.206627112797553E-4</v>
      </c>
      <c r="R158">
        <f t="shared" si="116"/>
        <v>7.7736336663547415E-2</v>
      </c>
      <c r="S158">
        <f t="shared" si="144"/>
        <v>8.0839935191207585E-5</v>
      </c>
      <c r="T158">
        <f t="shared" si="145"/>
        <v>4.3058487478313208E-4</v>
      </c>
      <c r="U158">
        <f t="shared" si="117"/>
        <v>4405.6011403546945</v>
      </c>
      <c r="V158">
        <f t="shared" si="118"/>
        <v>1410.2</v>
      </c>
      <c r="W158">
        <f t="shared" si="119"/>
        <v>0.12</v>
      </c>
      <c r="X158">
        <f t="shared" si="110"/>
        <v>100.7157470374805</v>
      </c>
      <c r="Y158">
        <f t="shared" si="120"/>
        <v>219.66275029267763</v>
      </c>
      <c r="Z158">
        <f t="shared" si="121"/>
        <v>25515.220451575024</v>
      </c>
      <c r="AA158">
        <f t="shared" si="122"/>
        <v>0</v>
      </c>
      <c r="AB158">
        <f t="shared" si="123"/>
        <v>26563.313566598001</v>
      </c>
      <c r="AC158" s="23">
        <f>IF(B158&gt;$AJ$2,0,HLOOKUP(YEAR(A158),Assumptions!$A$25:$AL$29,4,TRUE)/100)</f>
        <v>6.8579999999999995E-3</v>
      </c>
      <c r="AD158">
        <f t="shared" si="124"/>
        <v>1003.1196714346329</v>
      </c>
      <c r="AE158">
        <f t="shared" si="125"/>
        <v>6761.5359327031692</v>
      </c>
      <c r="AF158">
        <f t="shared" si="126"/>
        <v>6732.3811202109928</v>
      </c>
      <c r="AG158">
        <f t="shared" si="127"/>
        <v>7222.7876693102371</v>
      </c>
      <c r="AH158">
        <f t="shared" si="128"/>
        <v>448.92185082830753</v>
      </c>
      <c r="AI158">
        <f t="shared" si="129"/>
        <v>448.06028501028965</v>
      </c>
      <c r="AJ158">
        <f t="shared" si="130"/>
        <v>0</v>
      </c>
      <c r="AK158">
        <f t="shared" si="131"/>
        <v>8.1078499501537618</v>
      </c>
      <c r="AL158">
        <f t="shared" si="132"/>
        <v>43.19848068893554</v>
      </c>
      <c r="AM158">
        <f t="shared" si="111"/>
        <v>0</v>
      </c>
      <c r="AN158">
        <f>IF($S$2=0,0,(SUMPRODUCT($K$2:$R$2,Assumptions!$B$34:$I$34)/$U$2+$J$2/$U$2*Assumptions!$A$34*G158)*K158*O157)</f>
        <v>5.9959058666220599</v>
      </c>
      <c r="AO158">
        <f t="shared" si="133"/>
        <v>0</v>
      </c>
      <c r="AP158">
        <f t="shared" si="134"/>
        <v>0</v>
      </c>
      <c r="AQ158">
        <f>IF(B158&gt;$AJ$2,0,AQ157*(1+Assumptions!$B$43)^(1/12))</f>
        <v>1.1296315899253668</v>
      </c>
      <c r="AR158" s="27">
        <f>IF(B158&gt;$AJ$2,0,(O157+R157)*Assumptions!$B$39/12*AQ157+AV158*Assumptions!$B$41/12)</f>
        <v>6.4729617772059589</v>
      </c>
      <c r="AS158">
        <f t="shared" si="135"/>
        <v>60.260102412049235</v>
      </c>
      <c r="AT158" s="28">
        <f t="shared" si="136"/>
        <v>7784.4723241872216</v>
      </c>
      <c r="AU158">
        <f t="shared" si="137"/>
        <v>25.128343943930481</v>
      </c>
      <c r="AV158" s="28">
        <f t="shared" si="138"/>
        <v>7846.5035845309458</v>
      </c>
      <c r="AW158" s="28">
        <f t="shared" si="139"/>
        <v>7880.4862673791704</v>
      </c>
      <c r="AX158" s="23">
        <f>HLOOKUP(YEAR(A158),Assumptions!$A$25:$AL$29,2,TRUE)/100</f>
        <v>1.2858000000000001E-2</v>
      </c>
      <c r="AY158" s="29">
        <f>1/(1+HLOOKUP(YEAR(A158),Assumptions!$A$18:$AL$20,3,TRUE))^(1/12)</f>
        <v>0.99893006162889775</v>
      </c>
      <c r="AZ158" s="26">
        <f t="shared" si="140"/>
        <v>7492.1922207892321</v>
      </c>
      <c r="BA158">
        <f t="shared" si="141"/>
        <v>57.302236505711363</v>
      </c>
      <c r="BB158">
        <f t="shared" si="142"/>
        <v>7829.7698243611921</v>
      </c>
      <c r="BC158">
        <f t="shared" si="143"/>
        <v>0</v>
      </c>
    </row>
    <row r="159" spans="1:55" x14ac:dyDescent="0.2">
      <c r="A159" s="3">
        <f t="shared" si="112"/>
        <v>47603</v>
      </c>
      <c r="B159">
        <f t="shared" si="104"/>
        <v>161</v>
      </c>
      <c r="C159">
        <f t="shared" si="96"/>
        <v>13.333333333333334</v>
      </c>
      <c r="D159">
        <f t="shared" si="97"/>
        <v>0</v>
      </c>
      <c r="E159">
        <f t="shared" si="105"/>
        <v>69</v>
      </c>
      <c r="F159">
        <f>IF(C159&gt;=$T$2,0,VLOOKUP($E159,'Mortality Table'!$A$3:$C$128,2+AF$2,FALSE))</f>
        <v>1.2380200000000001E-2</v>
      </c>
      <c r="G159">
        <f>F159*Assumptions!$B$1</f>
        <v>1.2380200000000001E-2</v>
      </c>
      <c r="H159">
        <f t="shared" si="113"/>
        <v>1.0375840961015514E-3</v>
      </c>
      <c r="I159">
        <f t="shared" si="106"/>
        <v>2.8187276800518615E-4</v>
      </c>
      <c r="J159">
        <f>IF(B159&gt;$AJ$2,0,HLOOKUP(C159,Assumptions!$A$6:$J$7,2,TRUE))</f>
        <v>6.4199999999999993E-2</v>
      </c>
      <c r="K159" s="4">
        <f t="shared" si="103"/>
        <v>1</v>
      </c>
      <c r="L159" s="4">
        <f t="shared" si="114"/>
        <v>8.3333333333333329E-2</v>
      </c>
      <c r="M159" s="4">
        <f t="shared" si="107"/>
        <v>5.5141990623922554E-3</v>
      </c>
      <c r="N159">
        <f t="shared" si="115"/>
        <v>1.501363778053703E-3</v>
      </c>
      <c r="O159" s="21">
        <f t="shared" si="108"/>
        <v>0.27051059087466056</v>
      </c>
      <c r="P159">
        <f>IF(B159&gt;$AJ$2,0,HLOOKUP(C159,Assumptions!$A$12:$J$13,2,TRUE))</f>
        <v>5.3E-3</v>
      </c>
      <c r="Q159">
        <f t="shared" si="109"/>
        <v>1.1981977283844782E-4</v>
      </c>
      <c r="R159">
        <f t="shared" si="116"/>
        <v>7.7347289579224779E-2</v>
      </c>
      <c r="S159">
        <f t="shared" si="144"/>
        <v>8.0435604514219523E-5</v>
      </c>
      <c r="T159">
        <f t="shared" si="145"/>
        <v>4.2843125264686865E-4</v>
      </c>
      <c r="U159">
        <f t="shared" si="117"/>
        <v>4405.6011403546945</v>
      </c>
      <c r="V159">
        <f t="shared" si="118"/>
        <v>1410.2</v>
      </c>
      <c r="W159">
        <f t="shared" si="119"/>
        <v>0.12</v>
      </c>
      <c r="X159">
        <f t="shared" si="110"/>
        <v>100.01215622701</v>
      </c>
      <c r="Y159">
        <f t="shared" si="120"/>
        <v>219.66275029267763</v>
      </c>
      <c r="Z159">
        <f t="shared" si="121"/>
        <v>25734.883201867702</v>
      </c>
      <c r="AA159">
        <f t="shared" si="122"/>
        <v>0</v>
      </c>
      <c r="AB159">
        <f t="shared" si="123"/>
        <v>26798.234885545415</v>
      </c>
      <c r="AC159" s="23">
        <f>IF(B159&gt;$AJ$2,0,HLOOKUP(YEAR(A159),Assumptions!$A$25:$AL$29,4,TRUE)/100)</f>
        <v>6.8579999999999995E-3</v>
      </c>
      <c r="AD159">
        <f t="shared" si="124"/>
        <v>1003.1196714346329</v>
      </c>
      <c r="AE159">
        <f t="shared" si="125"/>
        <v>6790.9278114896615</v>
      </c>
      <c r="AF159">
        <f t="shared" si="126"/>
        <v>6761.5359327031692</v>
      </c>
      <c r="AG159">
        <f t="shared" si="127"/>
        <v>7257.2208000649298</v>
      </c>
      <c r="AH159">
        <f t="shared" si="128"/>
        <v>449.78036645741173</v>
      </c>
      <c r="AI159">
        <f t="shared" si="129"/>
        <v>448.92185082830753</v>
      </c>
      <c r="AJ159">
        <f t="shared" si="130"/>
        <v>0</v>
      </c>
      <c r="AK159">
        <f t="shared" si="131"/>
        <v>8.1166924114709627</v>
      </c>
      <c r="AL159">
        <f t="shared" si="132"/>
        <v>43.245614686200248</v>
      </c>
      <c r="AM159">
        <f t="shared" si="111"/>
        <v>0</v>
      </c>
      <c r="AN159">
        <f>IF($S$2=0,0,(SUMPRODUCT($K$2:$R$2,Assumptions!$B$34:$I$34)/$U$2+$J$2/$U$2*Assumptions!$A$34*G159)*K159*O158)</f>
        <v>5.9540190277483784</v>
      </c>
      <c r="AO159">
        <f t="shared" si="133"/>
        <v>0</v>
      </c>
      <c r="AP159">
        <f t="shared" si="134"/>
        <v>0</v>
      </c>
      <c r="AQ159">
        <f>IF(B159&gt;$AJ$2,0,AQ158*(1+Assumptions!$B$43)^(1/12))</f>
        <v>1.1305686623843794</v>
      </c>
      <c r="AR159" s="27">
        <f>IF(B159&gt;$AJ$2,0,(O158+R158)*Assumptions!$B$39/12*AQ158+AV159*Assumptions!$B$41/12)</f>
        <v>6.449846682406867</v>
      </c>
      <c r="AS159">
        <f t="shared" si="135"/>
        <v>59.839130959796087</v>
      </c>
      <c r="AT159" s="28">
        <f t="shared" si="136"/>
        <v>7792.9621082637195</v>
      </c>
      <c r="AU159">
        <f t="shared" si="137"/>
        <v>33.540741343817942</v>
      </c>
      <c r="AV159" s="28">
        <f t="shared" si="138"/>
        <v>7863.4857800631999</v>
      </c>
      <c r="AW159" s="28">
        <f t="shared" si="139"/>
        <v>7897.208958648006</v>
      </c>
      <c r="AX159" s="23">
        <f>HLOOKUP(YEAR(A159),Assumptions!$A$25:$AL$29,2,TRUE)/100</f>
        <v>1.2858000000000001E-2</v>
      </c>
      <c r="AY159" s="29">
        <f>1/(1+HLOOKUP(YEAR(A159),Assumptions!$A$18:$AL$20,3,TRUE))^(1/12)</f>
        <v>0.99893006162889775</v>
      </c>
      <c r="AZ159" s="26">
        <f t="shared" si="140"/>
        <v>7536.4629741584004</v>
      </c>
      <c r="BA159">
        <f t="shared" si="141"/>
        <v>57.316326125419593</v>
      </c>
      <c r="BB159">
        <f t="shared" si="142"/>
        <v>7838.3574361192696</v>
      </c>
      <c r="BC159">
        <f t="shared" si="143"/>
        <v>0</v>
      </c>
    </row>
    <row r="160" spans="1:55" x14ac:dyDescent="0.2">
      <c r="A160" s="3">
        <f t="shared" si="112"/>
        <v>47634</v>
      </c>
      <c r="B160">
        <f t="shared" si="104"/>
        <v>162</v>
      </c>
      <c r="C160">
        <f t="shared" si="96"/>
        <v>13.416666666666666</v>
      </c>
      <c r="D160">
        <f t="shared" si="97"/>
        <v>0</v>
      </c>
      <c r="E160">
        <f t="shared" si="105"/>
        <v>69</v>
      </c>
      <c r="F160">
        <f>IF(C160&gt;=$T$2,0,VLOOKUP($E160,'Mortality Table'!$A$3:$C$128,2+AF$2,FALSE))</f>
        <v>1.2380200000000001E-2</v>
      </c>
      <c r="G160">
        <f>F160*Assumptions!$B$1</f>
        <v>1.2380200000000001E-2</v>
      </c>
      <c r="H160">
        <f t="shared" si="113"/>
        <v>1.0375840961015514E-3</v>
      </c>
      <c r="I160">
        <f t="shared" si="106"/>
        <v>2.7990363115098073E-4</v>
      </c>
      <c r="J160">
        <f>IF(B160&gt;$AJ$2,0,HLOOKUP(C160,Assumptions!$A$6:$J$7,2,TRUE))</f>
        <v>6.4199999999999993E-2</v>
      </c>
      <c r="K160" s="4">
        <f t="shared" si="103"/>
        <v>1</v>
      </c>
      <c r="L160" s="4">
        <f t="shared" si="114"/>
        <v>8.3333333333333329E-2</v>
      </c>
      <c r="M160" s="4">
        <f t="shared" si="107"/>
        <v>5.5141990623922554E-3</v>
      </c>
      <c r="N160">
        <f t="shared" si="115"/>
        <v>1.490875390800628E-3</v>
      </c>
      <c r="O160" s="21">
        <f t="shared" si="108"/>
        <v>0.26862082912962254</v>
      </c>
      <c r="P160">
        <f>IF(B160&gt;$AJ$2,0,HLOOKUP(C160,Assumptions!$A$12:$J$13,2,TRUE))</f>
        <v>5.3E-3</v>
      </c>
      <c r="Q160">
        <f t="shared" si="109"/>
        <v>1.1898272308643215E-4</v>
      </c>
      <c r="R160">
        <f t="shared" si="116"/>
        <v>7.6959952171373441E-2</v>
      </c>
      <c r="S160">
        <f t="shared" si="144"/>
        <v>8.0033048402687956E-5</v>
      </c>
      <c r="T160">
        <f t="shared" si="145"/>
        <v>4.2628708253506664E-4</v>
      </c>
      <c r="U160">
        <f t="shared" si="117"/>
        <v>4405.6011403546945</v>
      </c>
      <c r="V160">
        <f t="shared" si="118"/>
        <v>1410.2</v>
      </c>
      <c r="W160">
        <f t="shared" si="119"/>
        <v>0.12</v>
      </c>
      <c r="X160">
        <f t="shared" si="110"/>
        <v>99.313480636285561</v>
      </c>
      <c r="Y160">
        <f t="shared" si="120"/>
        <v>219.66275029267763</v>
      </c>
      <c r="Z160">
        <f t="shared" si="121"/>
        <v>25954.545952160381</v>
      </c>
      <c r="AA160">
        <f t="shared" si="122"/>
        <v>0</v>
      </c>
      <c r="AB160">
        <f t="shared" si="123"/>
        <v>27033.290041861434</v>
      </c>
      <c r="AC160" s="23">
        <f>IF(B160&gt;$AJ$2,0,HLOOKUP(YEAR(A160),Assumptions!$A$25:$AL$29,4,TRUE)/100)</f>
        <v>6.8579999999999995E-3</v>
      </c>
      <c r="AD160">
        <f t="shared" si="124"/>
        <v>1003.1196714346329</v>
      </c>
      <c r="AE160">
        <f t="shared" si="125"/>
        <v>6820.555421775699</v>
      </c>
      <c r="AF160">
        <f t="shared" si="126"/>
        <v>6790.9278114896615</v>
      </c>
      <c r="AG160">
        <f t="shared" si="127"/>
        <v>7291.9234105148735</v>
      </c>
      <c r="AH160">
        <f t="shared" si="128"/>
        <v>450.6358479830543</v>
      </c>
      <c r="AI160">
        <f t="shared" si="129"/>
        <v>449.78036645741173</v>
      </c>
      <c r="AJ160">
        <f t="shared" si="130"/>
        <v>0</v>
      </c>
      <c r="AK160">
        <f t="shared" si="131"/>
        <v>8.1250444434735876</v>
      </c>
      <c r="AL160">
        <f t="shared" si="132"/>
        <v>43.290135184589779</v>
      </c>
      <c r="AM160">
        <f t="shared" si="111"/>
        <v>0</v>
      </c>
      <c r="AN160">
        <f>IF($S$2=0,0,(SUMPRODUCT($K$2:$R$2,Assumptions!$B$34:$I$34)/$U$2+$J$2/$U$2*Assumptions!$A$34*G160)*K160*O159)</f>
        <v>5.9124248064223792</v>
      </c>
      <c r="AO160">
        <f t="shared" si="133"/>
        <v>0</v>
      </c>
      <c r="AP160">
        <f t="shared" si="134"/>
        <v>0</v>
      </c>
      <c r="AQ160">
        <f>IF(B160&gt;$AJ$2,0,AQ159*(1+Assumptions!$B$43)^(1/12))</f>
        <v>1.1315065121807126</v>
      </c>
      <c r="AR160" s="27">
        <f>IF(B160&gt;$AJ$2,0,(O159+R159)*Assumptions!$B$39/12*AQ159+AV160*Assumptions!$B$41/12)</f>
        <v>6.4267830133191914</v>
      </c>
      <c r="AS160">
        <f t="shared" si="135"/>
        <v>59.421100374825244</v>
      </c>
      <c r="AT160" s="28">
        <f t="shared" si="136"/>
        <v>7800.9810235587574</v>
      </c>
      <c r="AU160">
        <f t="shared" si="137"/>
        <v>41.970468190015794</v>
      </c>
      <c r="AV160" s="28">
        <f t="shared" si="138"/>
        <v>7880.0115251759398</v>
      </c>
      <c r="AW160" s="28">
        <f t="shared" si="139"/>
        <v>7913.4771224240812</v>
      </c>
      <c r="AX160" s="23">
        <f>HLOOKUP(YEAR(A160),Assumptions!$A$25:$AL$29,2,TRUE)/100</f>
        <v>1.2858000000000001E-2</v>
      </c>
      <c r="AY160" s="29">
        <f>1/(1+HLOOKUP(YEAR(A160),Assumptions!$A$18:$AL$20,3,TRUE))^(1/12)</f>
        <v>0.99893006162889775</v>
      </c>
      <c r="AZ160" s="26">
        <f t="shared" si="140"/>
        <v>7580.0942550086429</v>
      </c>
      <c r="BA160">
        <f t="shared" si="141"/>
        <v>57.32760443448575</v>
      </c>
      <c r="BB160">
        <f t="shared" si="142"/>
        <v>7846.4707838321219</v>
      </c>
      <c r="BC160">
        <f t="shared" si="143"/>
        <v>0</v>
      </c>
    </row>
    <row r="161" spans="1:55" x14ac:dyDescent="0.2">
      <c r="A161" s="3">
        <f t="shared" si="112"/>
        <v>47664</v>
      </c>
      <c r="B161">
        <f t="shared" si="104"/>
        <v>163</v>
      </c>
      <c r="C161">
        <f t="shared" si="96"/>
        <v>13.5</v>
      </c>
      <c r="D161">
        <f t="shared" si="97"/>
        <v>0</v>
      </c>
      <c r="E161">
        <f t="shared" si="105"/>
        <v>69</v>
      </c>
      <c r="F161">
        <f>IF(C161&gt;=$T$2,0,VLOOKUP($E161,'Mortality Table'!$A$3:$C$128,2+AF$2,FALSE))</f>
        <v>1.2380200000000001E-2</v>
      </c>
      <c r="G161">
        <f>F161*Assumptions!$B$1</f>
        <v>1.2380200000000001E-2</v>
      </c>
      <c r="H161">
        <f t="shared" si="113"/>
        <v>1.0375840961015514E-3</v>
      </c>
      <c r="I161">
        <f t="shared" ref="I161:I224" si="146">H161*O160*(1-M161/2)</f>
        <v>2.7794825050308792E-4</v>
      </c>
      <c r="J161">
        <f>IF(B161&gt;$AJ$2,0,HLOOKUP(C161,Assumptions!$A$6:$J$7,2,TRUE))</f>
        <v>6.4199999999999993E-2</v>
      </c>
      <c r="K161" s="4">
        <f t="shared" ref="K161:K224" si="147">IF(B161&gt;$AJ$2,0,IF(($U$2*(B161+11))/12-INT(($U$2*(B161+11))/12)=0,1,0))</f>
        <v>1</v>
      </c>
      <c r="L161" s="4">
        <f t="shared" si="114"/>
        <v>8.3333333333333329E-2</v>
      </c>
      <c r="M161" s="4">
        <f t="shared" ref="M161:M224" si="148">(1-(1-J161)^L161)</f>
        <v>5.5141990623922554E-3</v>
      </c>
      <c r="N161">
        <f t="shared" si="115"/>
        <v>1.4804602744421741E-3</v>
      </c>
      <c r="O161" s="21">
        <f t="shared" ref="O161:O224" si="149">IF(B161&gt;$AJ$2,0,O160-I161-N161-Q161)</f>
        <v>0.2667442690837914</v>
      </c>
      <c r="P161">
        <f>IF(B161&gt;$AJ$2,0,HLOOKUP(C161,Assumptions!$A$12:$J$13,2,TRUE))</f>
        <v>5.3E-3</v>
      </c>
      <c r="Q161">
        <f t="shared" ref="Q161:Q224" si="150">(1-(1-P161)^L161)*(O160-I161-N161)</f>
        <v>1.1815152088587443E-4</v>
      </c>
      <c r="R161">
        <f t="shared" si="116"/>
        <v>7.6574319095897195E-2</v>
      </c>
      <c r="S161">
        <f t="shared" si="144"/>
        <v>7.9632261333362339E-5</v>
      </c>
      <c r="T161">
        <f t="shared" si="145"/>
        <v>4.2415233502874949E-4</v>
      </c>
      <c r="U161">
        <f t="shared" si="117"/>
        <v>4405.6011403546945</v>
      </c>
      <c r="V161">
        <f t="shared" si="118"/>
        <v>1410.2</v>
      </c>
      <c r="W161">
        <f t="shared" si="119"/>
        <v>0.12</v>
      </c>
      <c r="X161">
        <f t="shared" si="110"/>
        <v>98.619685928040724</v>
      </c>
      <c r="Y161">
        <f t="shared" si="120"/>
        <v>219.66275029267763</v>
      </c>
      <c r="Z161">
        <f t="shared" si="121"/>
        <v>26174.208702453059</v>
      </c>
      <c r="AA161">
        <f t="shared" si="122"/>
        <v>0</v>
      </c>
      <c r="AB161">
        <f t="shared" si="123"/>
        <v>27268.479111794739</v>
      </c>
      <c r="AC161" s="23">
        <f>IF(B161&gt;$AJ$2,0,HLOOKUP(YEAR(A161),Assumptions!$A$25:$AL$29,4,TRUE)/100)</f>
        <v>6.8579999999999995E-3</v>
      </c>
      <c r="AD161">
        <f t="shared" si="124"/>
        <v>1003.1196714346329</v>
      </c>
      <c r="AE161">
        <f t="shared" si="125"/>
        <v>6850.4174381384719</v>
      </c>
      <c r="AF161">
        <f t="shared" si="126"/>
        <v>6820.555421775699</v>
      </c>
      <c r="AG161">
        <f t="shared" si="127"/>
        <v>7326.8944261619272</v>
      </c>
      <c r="AH161">
        <f t="shared" si="128"/>
        <v>451.48831137778461</v>
      </c>
      <c r="AI161">
        <f t="shared" si="129"/>
        <v>450.6358479830543</v>
      </c>
      <c r="AJ161">
        <f t="shared" si="130"/>
        <v>0</v>
      </c>
      <c r="AK161">
        <f t="shared" si="131"/>
        <v>8.1329122782683072</v>
      </c>
      <c r="AL161">
        <f t="shared" si="132"/>
        <v>43.332075396828031</v>
      </c>
      <c r="AM161">
        <f t="shared" si="111"/>
        <v>0</v>
      </c>
      <c r="AN161">
        <f>IF($S$2=0,0,(SUMPRODUCT($K$2:$R$2,Assumptions!$B$34:$I$34)/$U$2+$J$2/$U$2*Assumptions!$A$34*G161)*K161*O160)</f>
        <v>5.871121158445181</v>
      </c>
      <c r="AO161">
        <f t="shared" si="133"/>
        <v>0</v>
      </c>
      <c r="AP161">
        <f t="shared" si="134"/>
        <v>0</v>
      </c>
      <c r="AQ161">
        <f>IF(B161&gt;$AJ$2,0,AQ160*(1+Assumptions!$B$43)^(1/12))</f>
        <v>1.1324451399591975</v>
      </c>
      <c r="AR161" s="27">
        <f>IF(B161&gt;$AJ$2,0,(O160+R160)*Assumptions!$B$39/12*AQ160+AV161*Assumptions!$B$41/12)</f>
        <v>6.4037711347226178</v>
      </c>
      <c r="AS161">
        <f t="shared" si="135"/>
        <v>59.005990112512301</v>
      </c>
      <c r="AT161" s="28">
        <f t="shared" si="136"/>
        <v>7808.5350536144815</v>
      </c>
      <c r="AU161">
        <f t="shared" si="137"/>
        <v>50.417046190342433</v>
      </c>
      <c r="AV161" s="28">
        <f t="shared" si="138"/>
        <v>7896.0863607028405</v>
      </c>
      <c r="AW161" s="28">
        <f t="shared" si="139"/>
        <v>7929.2962853836461</v>
      </c>
      <c r="AX161" s="23">
        <f>HLOOKUP(YEAR(A161),Assumptions!$A$25:$AL$29,2,TRUE)/100</f>
        <v>1.2858000000000001E-2</v>
      </c>
      <c r="AY161" s="29">
        <f>1/(1+HLOOKUP(YEAR(A161),Assumptions!$A$18:$AL$20,3,TRUE))^(1/12)</f>
        <v>0.99893006162889775</v>
      </c>
      <c r="AZ161" s="26">
        <f t="shared" si="140"/>
        <v>7623.0929814129404</v>
      </c>
      <c r="BA161">
        <f t="shared" si="141"/>
        <v>57.336108833541516</v>
      </c>
      <c r="BB161">
        <f t="shared" si="142"/>
        <v>7854.1158925128248</v>
      </c>
      <c r="BC161">
        <f t="shared" si="143"/>
        <v>0</v>
      </c>
    </row>
    <row r="162" spans="1:55" x14ac:dyDescent="0.2">
      <c r="A162" s="3">
        <f t="shared" si="112"/>
        <v>47695</v>
      </c>
      <c r="B162">
        <f t="shared" si="104"/>
        <v>164</v>
      </c>
      <c r="C162">
        <f t="shared" ref="C162:C225" si="151">(B162+11)/12-1</f>
        <v>13.583333333333334</v>
      </c>
      <c r="D162">
        <f t="shared" ref="D162:D225" si="152">IF(C162-INT(C162)=0,1,0)</f>
        <v>0</v>
      </c>
      <c r="E162">
        <f t="shared" si="105"/>
        <v>69</v>
      </c>
      <c r="F162">
        <f>IF(C162&gt;=$T$2,0,VLOOKUP($E162,'Mortality Table'!$A$3:$C$128,2+AF$2,FALSE))</f>
        <v>1.2380200000000001E-2</v>
      </c>
      <c r="G162">
        <f>F162*Assumptions!$B$1</f>
        <v>1.2380200000000001E-2</v>
      </c>
      <c r="H162">
        <f t="shared" si="113"/>
        <v>1.0375840961015514E-3</v>
      </c>
      <c r="I162">
        <f t="shared" si="146"/>
        <v>2.7600652996193417E-4</v>
      </c>
      <c r="J162">
        <f>IF(B162&gt;$AJ$2,0,HLOOKUP(C162,Assumptions!$A$6:$J$7,2,TRUE))</f>
        <v>6.4199999999999993E-2</v>
      </c>
      <c r="K162" s="4">
        <f t="shared" si="147"/>
        <v>1</v>
      </c>
      <c r="L162" s="4">
        <f t="shared" si="114"/>
        <v>8.3333333333333329E-2</v>
      </c>
      <c r="M162" s="4">
        <f t="shared" si="148"/>
        <v>5.5141990623922554E-3</v>
      </c>
      <c r="N162">
        <f t="shared" si="115"/>
        <v>1.4701179171147094E-3</v>
      </c>
      <c r="O162" s="21">
        <f t="shared" si="149"/>
        <v>0.26488081851132839</v>
      </c>
      <c r="P162">
        <f>IF(B162&gt;$AJ$2,0,HLOOKUP(C162,Assumptions!$A$12:$J$13,2,TRUE))</f>
        <v>5.3E-3</v>
      </c>
      <c r="Q162">
        <f t="shared" si="150"/>
        <v>1.1732612538632576E-4</v>
      </c>
      <c r="R162">
        <f t="shared" si="116"/>
        <v>7.6190385002832137E-2</v>
      </c>
      <c r="S162">
        <f t="shared" si="144"/>
        <v>7.9233237776581402E-5</v>
      </c>
      <c r="T162">
        <f t="shared" si="145"/>
        <v>4.2202698067479488E-4</v>
      </c>
      <c r="U162">
        <f t="shared" si="117"/>
        <v>4405.6011403546945</v>
      </c>
      <c r="V162">
        <f t="shared" si="118"/>
        <v>1410.2</v>
      </c>
      <c r="W162">
        <f t="shared" si="119"/>
        <v>0.12</v>
      </c>
      <c r="X162">
        <f t="shared" si="110"/>
        <v>97.93073800488591</v>
      </c>
      <c r="Y162">
        <f t="shared" si="120"/>
        <v>219.66275029267763</v>
      </c>
      <c r="Z162">
        <f t="shared" si="121"/>
        <v>26393.871452745738</v>
      </c>
      <c r="AA162">
        <f t="shared" si="122"/>
        <v>0</v>
      </c>
      <c r="AB162">
        <f t="shared" si="123"/>
        <v>27503.802171637453</v>
      </c>
      <c r="AC162" s="23">
        <f>IF(B162&gt;$AJ$2,0,HLOOKUP(YEAR(A162),Assumptions!$A$25:$AL$29,4,TRUE)/100)</f>
        <v>6.8579999999999995E-3</v>
      </c>
      <c r="AD162">
        <f t="shared" si="124"/>
        <v>1003.1196714346329</v>
      </c>
      <c r="AE162">
        <f t="shared" si="125"/>
        <v>6880.5125444450541</v>
      </c>
      <c r="AF162">
        <f t="shared" si="126"/>
        <v>6850.4174381384719</v>
      </c>
      <c r="AG162">
        <f t="shared" si="127"/>
        <v>7362.132780301019</v>
      </c>
      <c r="AH162">
        <f t="shared" si="128"/>
        <v>452.33777250223824</v>
      </c>
      <c r="AI162">
        <f t="shared" si="129"/>
        <v>451.48831137778461</v>
      </c>
      <c r="AJ162">
        <f t="shared" si="130"/>
        <v>0</v>
      </c>
      <c r="AK162">
        <f t="shared" si="131"/>
        <v>8.1403020860565434</v>
      </c>
      <c r="AL162">
        <f t="shared" si="132"/>
        <v>43.371468205691706</v>
      </c>
      <c r="AM162">
        <f t="shared" si="111"/>
        <v>0</v>
      </c>
      <c r="AN162">
        <f>IF($S$2=0,0,(SUMPRODUCT($K$2:$R$2,Assumptions!$B$34:$I$34)/$U$2+$J$2/$U$2*Assumptions!$A$34*G162)*K162*O161)</f>
        <v>5.8301060538984837</v>
      </c>
      <c r="AO162">
        <f t="shared" si="133"/>
        <v>0</v>
      </c>
      <c r="AP162">
        <f t="shared" si="134"/>
        <v>0</v>
      </c>
      <c r="AQ162">
        <f>IF(B162&gt;$AJ$2,0,AQ161*(1+Assumptions!$B$43)^(1/12))</f>
        <v>1.1333845463651997</v>
      </c>
      <c r="AR162" s="27">
        <f>IF(B162&gt;$AJ$2,0,(O161+R161)*Assumptions!$B$39/12*AQ161+AV162*Assumptions!$B$41/12)</f>
        <v>6.3808114043032109</v>
      </c>
      <c r="AS162">
        <f t="shared" si="135"/>
        <v>58.593779771755678</v>
      </c>
      <c r="AT162" s="28">
        <f t="shared" si="136"/>
        <v>7815.6301225368497</v>
      </c>
      <c r="AU162">
        <f t="shared" si="137"/>
        <v>58.880002882470507</v>
      </c>
      <c r="AV162" s="28">
        <f t="shared" si="138"/>
        <v>7911.715773522681</v>
      </c>
      <c r="AW162" s="28">
        <f t="shared" si="139"/>
        <v>7944.6719203515077</v>
      </c>
      <c r="AX162" s="23">
        <f>HLOOKUP(YEAR(A162),Assumptions!$A$25:$AL$29,2,TRUE)/100</f>
        <v>1.2858000000000001E-2</v>
      </c>
      <c r="AY162" s="29">
        <f>1/(1+HLOOKUP(YEAR(A162),Assumptions!$A$18:$AL$20,3,TRUE))^(1/12)</f>
        <v>0.99893006162889775</v>
      </c>
      <c r="AZ162" s="26">
        <f t="shared" si="140"/>
        <v>7665.4660073759796</v>
      </c>
      <c r="BA162">
        <f t="shared" si="141"/>
        <v>57.341876345646732</v>
      </c>
      <c r="BB162">
        <f t="shared" si="142"/>
        <v>7861.2987273323388</v>
      </c>
      <c r="BC162">
        <f t="shared" si="143"/>
        <v>0</v>
      </c>
    </row>
    <row r="163" spans="1:55" x14ac:dyDescent="0.2">
      <c r="A163" s="3">
        <f t="shared" si="112"/>
        <v>47726</v>
      </c>
      <c r="B163">
        <f t="shared" si="104"/>
        <v>165</v>
      </c>
      <c r="C163">
        <f t="shared" si="151"/>
        <v>13.666666666666666</v>
      </c>
      <c r="D163">
        <f t="shared" si="152"/>
        <v>0</v>
      </c>
      <c r="E163">
        <f t="shared" si="105"/>
        <v>69</v>
      </c>
      <c r="F163">
        <f>IF(C163&gt;=$T$2,0,VLOOKUP($E163,'Mortality Table'!$A$3:$C$128,2+AF$2,FALSE))</f>
        <v>1.2380200000000001E-2</v>
      </c>
      <c r="G163">
        <f>F163*Assumptions!$B$1</f>
        <v>1.2380200000000001E-2</v>
      </c>
      <c r="H163">
        <f t="shared" si="113"/>
        <v>1.0375840961015514E-3</v>
      </c>
      <c r="I163">
        <f t="shared" si="146"/>
        <v>2.740783740992883E-4</v>
      </c>
      <c r="J163">
        <f>IF(B163&gt;$AJ$2,0,HLOOKUP(C163,Assumptions!$A$6:$J$7,2,TRUE))</f>
        <v>6.4199999999999993E-2</v>
      </c>
      <c r="K163" s="4">
        <f t="shared" si="147"/>
        <v>1</v>
      </c>
      <c r="L163" s="4">
        <f t="shared" si="114"/>
        <v>8.3333333333333329E-2</v>
      </c>
      <c r="M163" s="4">
        <f t="shared" si="148"/>
        <v>5.5141990623922554E-3</v>
      </c>
      <c r="N163">
        <f t="shared" si="115"/>
        <v>1.4598478105304327E-3</v>
      </c>
      <c r="O163" s="21">
        <f t="shared" si="149"/>
        <v>0.26303038583067595</v>
      </c>
      <c r="P163">
        <f>IF(B163&gt;$AJ$2,0,HLOOKUP(C163,Assumptions!$A$12:$J$13,2,TRUE))</f>
        <v>5.3E-3</v>
      </c>
      <c r="Q163">
        <f t="shared" si="150"/>
        <v>1.1650649602271484E-4</v>
      </c>
      <c r="R163">
        <f t="shared" si="116"/>
        <v>7.5808144536670494E-2</v>
      </c>
      <c r="S163">
        <f t="shared" si="144"/>
        <v>7.8835972196612426E-5</v>
      </c>
      <c r="T163">
        <f t="shared" si="145"/>
        <v>4.1991098998774164E-4</v>
      </c>
      <c r="U163">
        <f t="shared" si="117"/>
        <v>4405.6011403546945</v>
      </c>
      <c r="V163">
        <f t="shared" si="118"/>
        <v>1410.2</v>
      </c>
      <c r="W163">
        <f t="shared" si="119"/>
        <v>0.12</v>
      </c>
      <c r="X163">
        <f t="shared" si="110"/>
        <v>97.246603007632771</v>
      </c>
      <c r="Y163">
        <f t="shared" si="120"/>
        <v>219.66275029267763</v>
      </c>
      <c r="Z163">
        <f t="shared" si="121"/>
        <v>26613.534203038416</v>
      </c>
      <c r="AA163">
        <f t="shared" si="122"/>
        <v>0</v>
      </c>
      <c r="AB163">
        <f t="shared" si="123"/>
        <v>27739.259297725166</v>
      </c>
      <c r="AC163" s="23">
        <f>IF(B163&gt;$AJ$2,0,HLOOKUP(YEAR(A163),Assumptions!$A$25:$AL$29,4,TRUE)/100)</f>
        <v>6.8579999999999995E-3</v>
      </c>
      <c r="AD163">
        <f t="shared" si="124"/>
        <v>1003.1196714346329</v>
      </c>
      <c r="AE163">
        <f t="shared" si="125"/>
        <v>6910.8394337711861</v>
      </c>
      <c r="AF163">
        <f t="shared" si="126"/>
        <v>6880.5125444450541</v>
      </c>
      <c r="AG163">
        <f t="shared" si="127"/>
        <v>7397.6374139521986</v>
      </c>
      <c r="AH163">
        <f t="shared" si="128"/>
        <v>453.18424710611555</v>
      </c>
      <c r="AI163">
        <f t="shared" si="129"/>
        <v>452.33777250223824</v>
      </c>
      <c r="AJ163">
        <f t="shared" si="130"/>
        <v>0</v>
      </c>
      <c r="AK163">
        <f t="shared" si="131"/>
        <v>8.1472199756871611</v>
      </c>
      <c r="AL163">
        <f t="shared" si="132"/>
        <v>43.408346166956633</v>
      </c>
      <c r="AM163">
        <f t="shared" si="111"/>
        <v>0</v>
      </c>
      <c r="AN163">
        <f>IF($S$2=0,0,(SUMPRODUCT($K$2:$R$2,Assumptions!$B$34:$I$34)/$U$2+$J$2/$U$2*Assumptions!$A$34*G163)*K163*O162)</f>
        <v>5.7893774770448063</v>
      </c>
      <c r="AO163">
        <f t="shared" si="133"/>
        <v>0</v>
      </c>
      <c r="AP163">
        <f t="shared" si="134"/>
        <v>0</v>
      </c>
      <c r="AQ163">
        <f>IF(B163&gt;$AJ$2,0,AQ162*(1+Assumptions!$B$43)^(1/12))</f>
        <v>1.1343247320446206</v>
      </c>
      <c r="AR163" s="27">
        <f>IF(B163&gt;$AJ$2,0,(O162+R162)*Assumptions!$B$39/12*AQ162+AV163*Assumptions!$B$41/12)</f>
        <v>6.3579041727318559</v>
      </c>
      <c r="AS163">
        <f t="shared" si="135"/>
        <v>58.184449093973988</v>
      </c>
      <c r="AT163" s="28">
        <f t="shared" si="136"/>
        <v>7822.2720955262894</v>
      </c>
      <c r="AU163">
        <f t="shared" si="137"/>
        <v>67.358871577069593</v>
      </c>
      <c r="AV163" s="28">
        <f t="shared" si="138"/>
        <v>7926.9051970362498</v>
      </c>
      <c r="AW163" s="28">
        <f t="shared" si="139"/>
        <v>7959.6094467771773</v>
      </c>
      <c r="AX163" s="23">
        <f>HLOOKUP(YEAR(A163),Assumptions!$A$25:$AL$29,2,TRUE)/100</f>
        <v>1.2858000000000001E-2</v>
      </c>
      <c r="AY163" s="29">
        <f>1/(1+HLOOKUP(YEAR(A163),Assumptions!$A$18:$AL$20,3,TRUE))^(1/12)</f>
        <v>0.99893006162889775</v>
      </c>
      <c r="AZ163" s="26">
        <f t="shared" si="140"/>
        <v>7707.2201233849173</v>
      </c>
      <c r="BA163">
        <f t="shared" si="141"/>
        <v>57.344943619688607</v>
      </c>
      <c r="BB163">
        <f t="shared" si="142"/>
        <v>7868.025194153779</v>
      </c>
      <c r="BC163">
        <f t="shared" si="143"/>
        <v>0</v>
      </c>
    </row>
    <row r="164" spans="1:55" x14ac:dyDescent="0.2">
      <c r="A164" s="3">
        <f t="shared" si="112"/>
        <v>47756</v>
      </c>
      <c r="B164">
        <f t="shared" si="104"/>
        <v>166</v>
      </c>
      <c r="C164">
        <f t="shared" si="151"/>
        <v>13.75</v>
      </c>
      <c r="D164">
        <f t="shared" si="152"/>
        <v>0</v>
      </c>
      <c r="E164">
        <f t="shared" si="105"/>
        <v>69</v>
      </c>
      <c r="F164">
        <f>IF(C164&gt;=$T$2,0,VLOOKUP($E164,'Mortality Table'!$A$3:$C$128,2+AF$2,FALSE))</f>
        <v>1.2380200000000001E-2</v>
      </c>
      <c r="G164">
        <f>F164*Assumptions!$B$1</f>
        <v>1.2380200000000001E-2</v>
      </c>
      <c r="H164">
        <f t="shared" si="113"/>
        <v>1.0375840961015514E-3</v>
      </c>
      <c r="I164">
        <f t="shared" si="146"/>
        <v>2.7216368815357223E-4</v>
      </c>
      <c r="J164">
        <f>IF(B164&gt;$AJ$2,0,HLOOKUP(C164,Assumptions!$A$6:$J$7,2,TRUE))</f>
        <v>6.4199999999999993E-2</v>
      </c>
      <c r="K164" s="4">
        <f t="shared" si="147"/>
        <v>1</v>
      </c>
      <c r="L164" s="4">
        <f t="shared" si="114"/>
        <v>8.3333333333333329E-2</v>
      </c>
      <c r="M164" s="4">
        <f t="shared" si="148"/>
        <v>5.5141990623922554E-3</v>
      </c>
      <c r="N164">
        <f t="shared" si="115"/>
        <v>1.4496494499523945E-3</v>
      </c>
      <c r="O164" s="21">
        <f t="shared" si="149"/>
        <v>0.26119288010005659</v>
      </c>
      <c r="P164">
        <f>IF(B164&gt;$AJ$2,0,HLOOKUP(C164,Assumptions!$A$12:$J$13,2,TRUE))</f>
        <v>5.3E-3</v>
      </c>
      <c r="Q164">
        <f t="shared" si="150"/>
        <v>1.15692592513354E-4</v>
      </c>
      <c r="R164">
        <f t="shared" si="116"/>
        <v>7.5427592336680283E-2</v>
      </c>
      <c r="S164">
        <f t="shared" si="144"/>
        <v>7.8440459051986393E-5</v>
      </c>
      <c r="T164">
        <f t="shared" si="145"/>
        <v>4.1780433345157443E-4</v>
      </c>
      <c r="U164">
        <f t="shared" si="117"/>
        <v>4405.6011403546945</v>
      </c>
      <c r="V164">
        <f t="shared" si="118"/>
        <v>1410.2</v>
      </c>
      <c r="W164">
        <f t="shared" si="119"/>
        <v>0.12</v>
      </c>
      <c r="X164">
        <f t="shared" si="110"/>
        <v>96.567247313630105</v>
      </c>
      <c r="Y164">
        <f t="shared" si="120"/>
        <v>219.66275029267763</v>
      </c>
      <c r="Z164">
        <f t="shared" si="121"/>
        <v>26833.196953331095</v>
      </c>
      <c r="AA164">
        <f t="shared" si="122"/>
        <v>0</v>
      </c>
      <c r="AB164">
        <f t="shared" si="123"/>
        <v>27974.850566436951</v>
      </c>
      <c r="AC164" s="23">
        <f>IF(B164&gt;$AJ$2,0,HLOOKUP(YEAR(A164),Assumptions!$A$25:$AL$29,4,TRUE)/100)</f>
        <v>6.8579999999999995E-3</v>
      </c>
      <c r="AD164">
        <f t="shared" si="124"/>
        <v>1003.1196714346329</v>
      </c>
      <c r="AE164">
        <f t="shared" si="125"/>
        <v>6941.3968083209093</v>
      </c>
      <c r="AF164">
        <f t="shared" si="126"/>
        <v>6910.8394337711861</v>
      </c>
      <c r="AG164">
        <f t="shared" si="127"/>
        <v>7433.4072757933973</v>
      </c>
      <c r="AH164">
        <f t="shared" si="128"/>
        <v>454.02775082914974</v>
      </c>
      <c r="AI164">
        <f t="shared" si="129"/>
        <v>453.18424710611555</v>
      </c>
      <c r="AJ164">
        <f t="shared" si="130"/>
        <v>0</v>
      </c>
      <c r="AK164">
        <f t="shared" si="131"/>
        <v>8.1536719952045509</v>
      </c>
      <c r="AL164">
        <f t="shared" si="132"/>
        <v>43.442741512319429</v>
      </c>
      <c r="AM164">
        <f t="shared" si="111"/>
        <v>0</v>
      </c>
      <c r="AN164">
        <f>IF($S$2=0,0,(SUMPRODUCT($K$2:$R$2,Assumptions!$B$34:$I$34)/$U$2+$J$2/$U$2*Assumptions!$A$34*G164)*K164*O163)</f>
        <v>5.7489334262284251</v>
      </c>
      <c r="AO164">
        <f t="shared" si="133"/>
        <v>0</v>
      </c>
      <c r="AP164">
        <f t="shared" si="134"/>
        <v>0</v>
      </c>
      <c r="AQ164">
        <f>IF(B164&gt;$AJ$2,0,AQ163*(1+Assumptions!$B$43)^(1/12))</f>
        <v>1.1352656976438971</v>
      </c>
      <c r="AR164" s="27">
        <f>IF(B164&gt;$AJ$2,0,(O163+R163)*Assumptions!$B$39/12*AQ163+AV164*Assumptions!$B$41/12)</f>
        <v>6.3350497837419395</v>
      </c>
      <c r="AS164">
        <f t="shared" si="135"/>
        <v>57.77797796211042</v>
      </c>
      <c r="AT164" s="28">
        <f t="shared" si="136"/>
        <v>7828.4667794038905</v>
      </c>
      <c r="AU164">
        <f t="shared" si="137"/>
        <v>75.853191301451787</v>
      </c>
      <c r="AV164" s="28">
        <f t="shared" si="138"/>
        <v>7941.660011639241</v>
      </c>
      <c r="AW164" s="28">
        <f t="shared" si="139"/>
        <v>7974.1142312070187</v>
      </c>
      <c r="AX164" s="23">
        <f>HLOOKUP(YEAR(A164),Assumptions!$A$25:$AL$29,2,TRUE)/100</f>
        <v>1.2858000000000001E-2</v>
      </c>
      <c r="AY164" s="29">
        <f>1/(1+HLOOKUP(YEAR(A164),Assumptions!$A$18:$AL$20,3,TRUE))^(1/12)</f>
        <v>0.99893006162889775</v>
      </c>
      <c r="AZ164" s="26">
        <f t="shared" si="140"/>
        <v>7748.3620569556251</v>
      </c>
      <c r="BA164">
        <f t="shared" si="141"/>
        <v>57.345346933752403</v>
      </c>
      <c r="BB164">
        <f t="shared" si="142"/>
        <v>7874.3011400621717</v>
      </c>
      <c r="BC164">
        <f t="shared" si="143"/>
        <v>0</v>
      </c>
    </row>
    <row r="165" spans="1:55" x14ac:dyDescent="0.2">
      <c r="A165" s="3">
        <f t="shared" si="112"/>
        <v>47787</v>
      </c>
      <c r="B165">
        <f t="shared" si="104"/>
        <v>167</v>
      </c>
      <c r="C165">
        <f t="shared" si="151"/>
        <v>13.833333333333334</v>
      </c>
      <c r="D165">
        <f t="shared" si="152"/>
        <v>0</v>
      </c>
      <c r="E165">
        <f t="shared" si="105"/>
        <v>69</v>
      </c>
      <c r="F165">
        <f>IF(C165&gt;=$T$2,0,VLOOKUP($E165,'Mortality Table'!$A$3:$C$128,2+AF$2,FALSE))</f>
        <v>1.2380200000000001E-2</v>
      </c>
      <c r="G165">
        <f>F165*Assumptions!$B$1</f>
        <v>1.2380200000000001E-2</v>
      </c>
      <c r="H165">
        <f t="shared" si="113"/>
        <v>1.0375840961015514E-3</v>
      </c>
      <c r="I165">
        <f t="shared" si="146"/>
        <v>2.7026237802520311E-4</v>
      </c>
      <c r="J165">
        <f>IF(B165&gt;$AJ$2,0,HLOOKUP(C165,Assumptions!$A$6:$J$7,2,TRUE))</f>
        <v>6.4199999999999993E-2</v>
      </c>
      <c r="K165" s="4">
        <f t="shared" si="147"/>
        <v>1</v>
      </c>
      <c r="L165" s="4">
        <f t="shared" si="114"/>
        <v>8.3333333333333329E-2</v>
      </c>
      <c r="M165" s="4">
        <f t="shared" si="148"/>
        <v>5.5141990623922554E-3</v>
      </c>
      <c r="N165">
        <f t="shared" si="115"/>
        <v>1.4395223341696899E-3</v>
      </c>
      <c r="O165" s="21">
        <f t="shared" si="149"/>
        <v>0.25936821101300378</v>
      </c>
      <c r="P165">
        <f>IF(B165&gt;$AJ$2,0,HLOOKUP(C165,Assumptions!$A$12:$J$13,2,TRUE))</f>
        <v>5.3E-3</v>
      </c>
      <c r="Q165">
        <f t="shared" si="150"/>
        <v>1.1488437485795984E-4</v>
      </c>
      <c r="R165">
        <f t="shared" si="116"/>
        <v>7.5048723037220919E-2</v>
      </c>
      <c r="S165">
        <f t="shared" si="144"/>
        <v>7.8046692795828563E-5</v>
      </c>
      <c r="T165">
        <f t="shared" si="145"/>
        <v>4.1570698152148557E-4</v>
      </c>
      <c r="U165">
        <f t="shared" si="117"/>
        <v>4405.6011403546945</v>
      </c>
      <c r="V165">
        <f t="shared" si="118"/>
        <v>1410.2</v>
      </c>
      <c r="W165">
        <f t="shared" si="119"/>
        <v>0.12</v>
      </c>
      <c r="X165">
        <f t="shared" si="110"/>
        <v>95.892637535111362</v>
      </c>
      <c r="Y165">
        <f t="shared" si="120"/>
        <v>219.66275029267763</v>
      </c>
      <c r="Z165">
        <f t="shared" si="121"/>
        <v>27052.859703623773</v>
      </c>
      <c r="AA165">
        <f t="shared" si="122"/>
        <v>0</v>
      </c>
      <c r="AB165">
        <f t="shared" si="123"/>
        <v>28210.576054195401</v>
      </c>
      <c r="AC165" s="23">
        <f>IF(B165&gt;$AJ$2,0,HLOOKUP(YEAR(A165),Assumptions!$A$25:$AL$29,4,TRUE)/100)</f>
        <v>6.8579999999999995E-3</v>
      </c>
      <c r="AD165">
        <f t="shared" si="124"/>
        <v>1003.1196714346329</v>
      </c>
      <c r="AE165">
        <f t="shared" si="125"/>
        <v>6972.1833793470405</v>
      </c>
      <c r="AF165">
        <f t="shared" si="126"/>
        <v>6941.3968083209093</v>
      </c>
      <c r="AG165">
        <f t="shared" si="127"/>
        <v>7469.4413220939014</v>
      </c>
      <c r="AH165">
        <f t="shared" si="128"/>
        <v>454.86829920206515</v>
      </c>
      <c r="AI165">
        <f t="shared" si="129"/>
        <v>454.02775082914974</v>
      </c>
      <c r="AJ165">
        <f t="shared" si="130"/>
        <v>0</v>
      </c>
      <c r="AK165">
        <f t="shared" si="131"/>
        <v>8.1596641323920469</v>
      </c>
      <c r="AL165">
        <f t="shared" si="132"/>
        <v>43.474686152294488</v>
      </c>
      <c r="AM165">
        <f t="shared" si="111"/>
        <v>0</v>
      </c>
      <c r="AN165">
        <f>IF($S$2=0,0,(SUMPRODUCT($K$2:$R$2,Assumptions!$B$34:$I$34)/$U$2+$J$2/$U$2*Assumptions!$A$34*G165)*K165*O164)</f>
        <v>5.7087719137769914</v>
      </c>
      <c r="AO165">
        <f t="shared" si="133"/>
        <v>0</v>
      </c>
      <c r="AP165">
        <f t="shared" si="134"/>
        <v>0</v>
      </c>
      <c r="AQ165">
        <f>IF(B165&gt;$AJ$2,0,AQ164*(1+Assumptions!$B$43)^(1/12))</f>
        <v>1.1362074438100025</v>
      </c>
      <c r="AR165" s="27">
        <f>IF(B165&gt;$AJ$2,0,(O164+R164)*Assumptions!$B$39/12*AQ164+AV165*Assumptions!$B$41/12)</f>
        <v>6.3122485742063281</v>
      </c>
      <c r="AS165">
        <f t="shared" si="135"/>
        <v>57.374346399644018</v>
      </c>
      <c r="AT165" s="28">
        <f t="shared" si="136"/>
        <v>7834.2199231331888</v>
      </c>
      <c r="AU165">
        <f t="shared" si="137"/>
        <v>84.362506743716125</v>
      </c>
      <c r="AV165" s="28">
        <f t="shared" si="138"/>
        <v>7955.9855451912099</v>
      </c>
      <c r="AW165" s="28">
        <f t="shared" si="139"/>
        <v>7988.1915877524707</v>
      </c>
      <c r="AX165" s="23">
        <f>HLOOKUP(YEAR(A165),Assumptions!$A$25:$AL$29,2,TRUE)/100</f>
        <v>1.2858000000000001E-2</v>
      </c>
      <c r="AY165" s="29">
        <f>1/(1+HLOOKUP(YEAR(A165),Assumptions!$A$18:$AL$20,3,TRUE))^(1/12)</f>
        <v>0.99893006162889775</v>
      </c>
      <c r="AZ165" s="26">
        <f t="shared" si="140"/>
        <v>7788.8984731744467</v>
      </c>
      <c r="BA165">
        <f t="shared" si="141"/>
        <v>57.343122198463526</v>
      </c>
      <c r="BB165">
        <f t="shared" si="142"/>
        <v>7880.1323538897577</v>
      </c>
      <c r="BC165">
        <f t="shared" si="143"/>
        <v>0</v>
      </c>
    </row>
    <row r="166" spans="1:55" x14ac:dyDescent="0.2">
      <c r="A166" s="3">
        <f t="shared" si="112"/>
        <v>47817</v>
      </c>
      <c r="B166">
        <f t="shared" si="104"/>
        <v>168</v>
      </c>
      <c r="C166">
        <f t="shared" si="151"/>
        <v>13.916666666666666</v>
      </c>
      <c r="D166">
        <f t="shared" si="152"/>
        <v>0</v>
      </c>
      <c r="E166">
        <f t="shared" si="105"/>
        <v>69</v>
      </c>
      <c r="F166">
        <f>IF(C166&gt;=$T$2,0,VLOOKUP($E166,'Mortality Table'!$A$3:$C$128,2+AF$2,FALSE))</f>
        <v>1.2380200000000001E-2</v>
      </c>
      <c r="G166">
        <f>F166*Assumptions!$B$1</f>
        <v>1.2380200000000001E-2</v>
      </c>
      <c r="H166">
        <f t="shared" si="113"/>
        <v>1.0375840961015514E-3</v>
      </c>
      <c r="I166">
        <f t="shared" si="146"/>
        <v>2.6837435027196935E-4</v>
      </c>
      <c r="J166">
        <f>IF(B166&gt;$AJ$2,0,HLOOKUP(C166,Assumptions!$A$6:$J$7,2,TRUE))</f>
        <v>6.4199999999999993E-2</v>
      </c>
      <c r="K166" s="4">
        <f t="shared" si="147"/>
        <v>1</v>
      </c>
      <c r="L166" s="4">
        <f t="shared" si="114"/>
        <v>8.3333333333333329E-2</v>
      </c>
      <c r="M166" s="4">
        <f t="shared" si="148"/>
        <v>5.5141990623922554E-3</v>
      </c>
      <c r="N166">
        <f t="shared" si="115"/>
        <v>1.4294659654728275E-3</v>
      </c>
      <c r="O166" s="21">
        <f t="shared" si="149"/>
        <v>0.25755628889392329</v>
      </c>
      <c r="P166">
        <f>IF(B166&gt;$AJ$2,0,HLOOKUP(C166,Assumptions!$A$12:$J$13,2,TRUE))</f>
        <v>5.3E-3</v>
      </c>
      <c r="Q166">
        <f t="shared" si="150"/>
        <v>1.1408180333568706E-4</v>
      </c>
      <c r="R166">
        <f t="shared" si="116"/>
        <v>7.4671531268054814E-2</v>
      </c>
      <c r="S166">
        <f t="shared" si="144"/>
        <v>7.765466787618525E-5</v>
      </c>
      <c r="T166">
        <f t="shared" si="145"/>
        <v>4.1361890462561436E-4</v>
      </c>
      <c r="U166">
        <f t="shared" si="117"/>
        <v>4405.6011403546945</v>
      </c>
      <c r="V166">
        <f t="shared" si="118"/>
        <v>1410.2</v>
      </c>
      <c r="W166">
        <f t="shared" si="119"/>
        <v>0.12</v>
      </c>
      <c r="X166">
        <f t="shared" si="110"/>
        <v>95.222740517553873</v>
      </c>
      <c r="Y166">
        <f t="shared" si="120"/>
        <v>219.66275029267763</v>
      </c>
      <c r="Z166">
        <f t="shared" si="121"/>
        <v>27272.522453916452</v>
      </c>
      <c r="AA166">
        <f t="shared" si="122"/>
        <v>0</v>
      </c>
      <c r="AB166">
        <f t="shared" si="123"/>
        <v>28446.435837466644</v>
      </c>
      <c r="AC166" s="23">
        <f>IF(B166&gt;$AJ$2,0,HLOOKUP(YEAR(A166),Assumptions!$A$25:$AL$29,4,TRUE)/100)</f>
        <v>6.8579999999999995E-3</v>
      </c>
      <c r="AD166">
        <f t="shared" si="124"/>
        <v>1003.1196714346329</v>
      </c>
      <c r="AE166">
        <f t="shared" si="125"/>
        <v>7003.1978670724793</v>
      </c>
      <c r="AF166">
        <f t="shared" si="126"/>
        <v>6972.1833793470405</v>
      </c>
      <c r="AG166">
        <f t="shared" si="127"/>
        <v>7505.738516648511</v>
      </c>
      <c r="AH166">
        <f t="shared" si="128"/>
        <v>455.70590764752512</v>
      </c>
      <c r="AI166">
        <f t="shared" si="129"/>
        <v>454.86829920206515</v>
      </c>
      <c r="AJ166">
        <f t="shared" si="130"/>
        <v>0</v>
      </c>
      <c r="AK166">
        <f t="shared" si="131"/>
        <v>8.16520231531082</v>
      </c>
      <c r="AL166">
        <f t="shared" si="132"/>
        <v>43.504211679086687</v>
      </c>
      <c r="AM166">
        <f t="shared" si="111"/>
        <v>0</v>
      </c>
      <c r="AN166">
        <f>IF($S$2=0,0,(SUMPRODUCT($K$2:$R$2,Assumptions!$B$34:$I$34)/$U$2+$J$2/$U$2*Assumptions!$A$34*G166)*K166*O165)</f>
        <v>5.6688909659038575</v>
      </c>
      <c r="AO166">
        <f t="shared" si="133"/>
        <v>0</v>
      </c>
      <c r="AP166">
        <f t="shared" si="134"/>
        <v>0</v>
      </c>
      <c r="AQ166">
        <f>IF(B166&gt;$AJ$2,0,AQ165*(1+Assumptions!$B$43)^(1/12))</f>
        <v>1.1371499711904467</v>
      </c>
      <c r="AR166" s="27">
        <f>IF(B166&gt;$AJ$2,0,(O165+R165)*Assumptions!$B$39/12*AQ165+AV166*Assumptions!$B$41/12)</f>
        <v>6.2895008742136138</v>
      </c>
      <c r="AS166">
        <f t="shared" si="135"/>
        <v>56.97353456960797</v>
      </c>
      <c r="AT166" s="28">
        <f t="shared" si="136"/>
        <v>7839.5372183375275</v>
      </c>
      <c r="AU166">
        <f t="shared" si="137"/>
        <v>92.886368197387554</v>
      </c>
      <c r="AV166" s="28">
        <f t="shared" si="138"/>
        <v>7969.8870734806087</v>
      </c>
      <c r="AW166" s="28">
        <f t="shared" si="139"/>
        <v>8001.8467785543407</v>
      </c>
      <c r="AX166" s="23">
        <f>HLOOKUP(YEAR(A166),Assumptions!$A$25:$AL$29,2,TRUE)/100</f>
        <v>1.2858000000000001E-2</v>
      </c>
      <c r="AY166" s="29">
        <f>1/(1+HLOOKUP(YEAR(A166),Assumptions!$A$18:$AL$20,3,TRUE))^(1/12)</f>
        <v>0.99893006162889775</v>
      </c>
      <c r="AZ166" s="26">
        <f t="shared" si="140"/>
        <v>7828.8359752355054</v>
      </c>
      <c r="BA166">
        <f t="shared" si="141"/>
        <v>57.338304960301365</v>
      </c>
      <c r="BB166">
        <f t="shared" si="142"/>
        <v>7885.5245667368927</v>
      </c>
      <c r="BC166">
        <f t="shared" si="143"/>
        <v>0</v>
      </c>
    </row>
    <row r="167" spans="1:55" x14ac:dyDescent="0.2">
      <c r="A167" s="3">
        <f t="shared" si="112"/>
        <v>47848</v>
      </c>
      <c r="B167">
        <f t="shared" si="104"/>
        <v>169</v>
      </c>
      <c r="C167">
        <f t="shared" si="151"/>
        <v>14</v>
      </c>
      <c r="D167">
        <f t="shared" si="152"/>
        <v>1</v>
      </c>
      <c r="E167">
        <f t="shared" si="105"/>
        <v>70</v>
      </c>
      <c r="F167">
        <f>IF(C167&gt;=$T$2,0,VLOOKUP($E167,'Mortality Table'!$A$3:$C$128,2+AF$2,FALSE))</f>
        <v>0</v>
      </c>
      <c r="G167">
        <f>F167*Assumptions!$B$1</f>
        <v>0</v>
      </c>
      <c r="H167">
        <f t="shared" si="113"/>
        <v>0</v>
      </c>
      <c r="I167">
        <f t="shared" si="146"/>
        <v>0</v>
      </c>
      <c r="J167">
        <f>IF(B167&gt;$AJ$2,0,HLOOKUP(C167,Assumptions!$A$6:$J$7,2,TRUE))</f>
        <v>0</v>
      </c>
      <c r="K167" s="4">
        <f t="shared" si="147"/>
        <v>0</v>
      </c>
      <c r="L167" s="4">
        <f t="shared" si="114"/>
        <v>0</v>
      </c>
      <c r="M167" s="4">
        <f t="shared" si="148"/>
        <v>0</v>
      </c>
      <c r="N167">
        <f t="shared" si="115"/>
        <v>0</v>
      </c>
      <c r="O167" s="21">
        <f t="shared" si="149"/>
        <v>0</v>
      </c>
      <c r="P167">
        <f>IF(B167&gt;$AJ$2,0,HLOOKUP(C167,Assumptions!$A$12:$J$13,2,TRUE))</f>
        <v>0</v>
      </c>
      <c r="Q167">
        <f t="shared" si="150"/>
        <v>0</v>
      </c>
      <c r="R167">
        <f t="shared" si="116"/>
        <v>0</v>
      </c>
      <c r="S167">
        <f t="shared" si="144"/>
        <v>0</v>
      </c>
      <c r="T167">
        <f t="shared" si="145"/>
        <v>0</v>
      </c>
      <c r="U167">
        <f t="shared" si="117"/>
        <v>0</v>
      </c>
      <c r="V167">
        <f t="shared" si="118"/>
        <v>0</v>
      </c>
      <c r="W167">
        <f t="shared" si="119"/>
        <v>0</v>
      </c>
      <c r="X167">
        <f t="shared" si="110"/>
        <v>0</v>
      </c>
      <c r="Y167">
        <f t="shared" si="120"/>
        <v>0</v>
      </c>
      <c r="Z167">
        <f t="shared" si="121"/>
        <v>0</v>
      </c>
      <c r="AA167">
        <f t="shared" si="122"/>
        <v>0</v>
      </c>
      <c r="AB167">
        <f t="shared" si="123"/>
        <v>0</v>
      </c>
      <c r="AC167" s="23">
        <f>IF(B167&gt;$AJ$2,0,HLOOKUP(YEAR(A167),Assumptions!$A$25:$AL$29,4,TRUE)/100)</f>
        <v>0</v>
      </c>
      <c r="AD167">
        <f t="shared" si="124"/>
        <v>0</v>
      </c>
      <c r="AE167">
        <f t="shared" si="125"/>
        <v>0</v>
      </c>
      <c r="AF167">
        <f t="shared" si="126"/>
        <v>0</v>
      </c>
      <c r="AG167">
        <f t="shared" si="127"/>
        <v>0</v>
      </c>
      <c r="AH167">
        <f t="shared" si="128"/>
        <v>0</v>
      </c>
      <c r="AI167">
        <f t="shared" si="129"/>
        <v>0</v>
      </c>
      <c r="AJ167">
        <f t="shared" si="130"/>
        <v>0</v>
      </c>
      <c r="AK167">
        <f t="shared" si="131"/>
        <v>0</v>
      </c>
      <c r="AL167">
        <f t="shared" si="132"/>
        <v>0</v>
      </c>
      <c r="AM167">
        <f t="shared" si="111"/>
        <v>7837.221319047575</v>
      </c>
      <c r="AN167">
        <f>IF($S$2=0,0,(SUMPRODUCT($K$2:$R$2,Assumptions!$B$34:$I$34)/$U$2+$J$2/$U$2*Assumptions!$A$34*G167)*K167*O166)</f>
        <v>0</v>
      </c>
      <c r="AO167">
        <f t="shared" si="133"/>
        <v>0</v>
      </c>
      <c r="AP167">
        <f t="shared" si="134"/>
        <v>0</v>
      </c>
      <c r="AQ167">
        <f>IF(B167&gt;$AJ$2,0,AQ166*(1+Assumptions!$B$43)^(1/12))</f>
        <v>0</v>
      </c>
      <c r="AR167" s="27">
        <f>IF(B167&gt;$AJ$2,0,(O166+R166)*Assumptions!$B$39/12*AQ166+AV167*Assumptions!$B$41/12)</f>
        <v>0</v>
      </c>
      <c r="AS167">
        <f t="shared" si="135"/>
        <v>0</v>
      </c>
      <c r="AT167" s="28">
        <f t="shared" si="136"/>
        <v>0</v>
      </c>
      <c r="AU167">
        <f t="shared" si="137"/>
        <v>0</v>
      </c>
      <c r="AV167" s="28">
        <f t="shared" si="138"/>
        <v>0</v>
      </c>
      <c r="AW167" s="28">
        <f t="shared" si="139"/>
        <v>0</v>
      </c>
      <c r="AX167" s="23">
        <f>HLOOKUP(YEAR(A167),Assumptions!$A$25:$AL$29,2,TRUE)/100</f>
        <v>1.2858000000000001E-2</v>
      </c>
      <c r="AY167" s="29">
        <f>1/(1+HLOOKUP(YEAR(A167),Assumptions!$A$18:$AL$20,3,TRUE))^(1/12)</f>
        <v>0.99893006162889775</v>
      </c>
      <c r="AZ167" s="26">
        <f t="shared" si="140"/>
        <v>0</v>
      </c>
      <c r="BA167">
        <f t="shared" si="141"/>
        <v>7837.221319047575</v>
      </c>
      <c r="BB167">
        <f t="shared" si="142"/>
        <v>0</v>
      </c>
      <c r="BC167">
        <f t="shared" si="143"/>
        <v>0</v>
      </c>
    </row>
    <row r="168" spans="1:55" x14ac:dyDescent="0.2">
      <c r="A168" s="3">
        <f t="shared" si="112"/>
        <v>47879</v>
      </c>
      <c r="B168">
        <f t="shared" si="104"/>
        <v>170</v>
      </c>
      <c r="C168">
        <f t="shared" si="151"/>
        <v>14.083333333333334</v>
      </c>
      <c r="D168">
        <f t="shared" si="152"/>
        <v>0</v>
      </c>
      <c r="E168">
        <f t="shared" si="105"/>
        <v>70</v>
      </c>
      <c r="F168">
        <f>IF(C168&gt;=$T$2,0,VLOOKUP($E168,'Mortality Table'!$A$3:$C$128,2+AF$2,FALSE))</f>
        <v>0</v>
      </c>
      <c r="G168">
        <f>F168*Assumptions!$B$1</f>
        <v>0</v>
      </c>
      <c r="H168">
        <f t="shared" si="113"/>
        <v>0</v>
      </c>
      <c r="I168">
        <f t="shared" si="146"/>
        <v>0</v>
      </c>
      <c r="J168">
        <f>IF(B168&gt;$AJ$2,0,HLOOKUP(C168,Assumptions!$A$6:$J$7,2,TRUE))</f>
        <v>0</v>
      </c>
      <c r="K168" s="4">
        <f t="shared" si="147"/>
        <v>0</v>
      </c>
      <c r="L168" s="4">
        <f t="shared" si="114"/>
        <v>0</v>
      </c>
      <c r="M168" s="4">
        <f t="shared" si="148"/>
        <v>0</v>
      </c>
      <c r="N168">
        <f t="shared" si="115"/>
        <v>0</v>
      </c>
      <c r="O168" s="21">
        <f t="shared" si="149"/>
        <v>0</v>
      </c>
      <c r="P168">
        <f>IF(B168&gt;$AJ$2,0,HLOOKUP(C168,Assumptions!$A$12:$J$13,2,TRUE))</f>
        <v>0</v>
      </c>
      <c r="Q168">
        <f t="shared" si="150"/>
        <v>0</v>
      </c>
      <c r="R168">
        <f t="shared" si="116"/>
        <v>0</v>
      </c>
      <c r="S168">
        <f t="shared" si="144"/>
        <v>0</v>
      </c>
      <c r="T168">
        <f t="shared" si="145"/>
        <v>0</v>
      </c>
      <c r="U168">
        <f t="shared" si="117"/>
        <v>0</v>
      </c>
      <c r="V168">
        <f t="shared" si="118"/>
        <v>0</v>
      </c>
      <c r="W168">
        <f t="shared" si="119"/>
        <v>0</v>
      </c>
      <c r="X168">
        <f t="shared" si="110"/>
        <v>0</v>
      </c>
      <c r="Y168">
        <f t="shared" si="120"/>
        <v>0</v>
      </c>
      <c r="Z168">
        <f t="shared" si="121"/>
        <v>0</v>
      </c>
      <c r="AA168">
        <f t="shared" si="122"/>
        <v>0</v>
      </c>
      <c r="AB168">
        <f t="shared" si="123"/>
        <v>0</v>
      </c>
      <c r="AC168" s="23">
        <f>IF(B168&gt;$AJ$2,0,HLOOKUP(YEAR(A168),Assumptions!$A$25:$AL$29,4,TRUE)/100)</f>
        <v>0</v>
      </c>
      <c r="AD168">
        <f t="shared" si="124"/>
        <v>0</v>
      </c>
      <c r="AE168">
        <f t="shared" si="125"/>
        <v>0</v>
      </c>
      <c r="AF168">
        <f t="shared" si="126"/>
        <v>0</v>
      </c>
      <c r="AG168">
        <f t="shared" si="127"/>
        <v>0</v>
      </c>
      <c r="AH168">
        <f t="shared" si="128"/>
        <v>0</v>
      </c>
      <c r="AI168">
        <f t="shared" si="129"/>
        <v>0</v>
      </c>
      <c r="AJ168">
        <f t="shared" si="130"/>
        <v>0</v>
      </c>
      <c r="AK168">
        <f t="shared" si="131"/>
        <v>0</v>
      </c>
      <c r="AL168">
        <f t="shared" si="132"/>
        <v>0</v>
      </c>
      <c r="AM168">
        <f t="shared" si="111"/>
        <v>0</v>
      </c>
      <c r="AN168">
        <f>IF($S$2=0,0,(SUMPRODUCT($K$2:$R$2,Assumptions!$B$34:$I$34)/$U$2+$J$2/$U$2*Assumptions!$A$34*G168)*K168*O167)</f>
        <v>0</v>
      </c>
      <c r="AO168">
        <f t="shared" si="133"/>
        <v>0</v>
      </c>
      <c r="AP168">
        <f t="shared" si="134"/>
        <v>0</v>
      </c>
      <c r="AQ168">
        <f>IF(B168&gt;$AJ$2,0,AQ167*(1+Assumptions!$B$43)^(1/12))</f>
        <v>0</v>
      </c>
      <c r="AR168" s="27">
        <f>IF(B168&gt;$AJ$2,0,(O167+R167)*Assumptions!$B$39/12*AQ167+AV168*Assumptions!$B$41/12)</f>
        <v>0</v>
      </c>
      <c r="AS168">
        <f t="shared" si="135"/>
        <v>0</v>
      </c>
      <c r="AT168" s="28">
        <f t="shared" si="136"/>
        <v>0</v>
      </c>
      <c r="AU168">
        <f t="shared" si="137"/>
        <v>0</v>
      </c>
      <c r="AV168" s="28">
        <f t="shared" si="138"/>
        <v>0</v>
      </c>
      <c r="AW168" s="28">
        <f t="shared" si="139"/>
        <v>0</v>
      </c>
      <c r="AX168" s="23">
        <f>HLOOKUP(YEAR(A168),Assumptions!$A$25:$AL$29,2,TRUE)/100</f>
        <v>1.2891999999999999E-2</v>
      </c>
      <c r="AY168" s="29">
        <f>1/(1+HLOOKUP(YEAR(A168),Assumptions!$A$18:$AL$20,3,TRUE))^(1/12)</f>
        <v>0.99893556799642025</v>
      </c>
      <c r="AZ168" s="26">
        <f t="shared" si="140"/>
        <v>0</v>
      </c>
      <c r="BA168">
        <f t="shared" si="141"/>
        <v>0</v>
      </c>
      <c r="BB168">
        <f t="shared" si="142"/>
        <v>0</v>
      </c>
      <c r="BC168">
        <f t="shared" si="143"/>
        <v>0</v>
      </c>
    </row>
    <row r="169" spans="1:55" x14ac:dyDescent="0.2">
      <c r="A169" s="3">
        <f t="shared" si="112"/>
        <v>47907</v>
      </c>
      <c r="B169">
        <f t="shared" si="104"/>
        <v>171</v>
      </c>
      <c r="C169">
        <f t="shared" si="151"/>
        <v>14.166666666666666</v>
      </c>
      <c r="D169">
        <f t="shared" si="152"/>
        <v>0</v>
      </c>
      <c r="E169">
        <f t="shared" si="105"/>
        <v>70</v>
      </c>
      <c r="F169">
        <f>IF(C169&gt;=$T$2,0,VLOOKUP($E169,'Mortality Table'!$A$3:$C$128,2+AF$2,FALSE))</f>
        <v>0</v>
      </c>
      <c r="G169">
        <f>F169*Assumptions!$B$1</f>
        <v>0</v>
      </c>
      <c r="H169">
        <f t="shared" si="113"/>
        <v>0</v>
      </c>
      <c r="I169">
        <f t="shared" si="146"/>
        <v>0</v>
      </c>
      <c r="J169">
        <f>IF(B169&gt;$AJ$2,0,HLOOKUP(C169,Assumptions!$A$6:$J$7,2,TRUE))</f>
        <v>0</v>
      </c>
      <c r="K169" s="4">
        <f t="shared" si="147"/>
        <v>0</v>
      </c>
      <c r="L169" s="4">
        <f t="shared" si="114"/>
        <v>0</v>
      </c>
      <c r="M169" s="4">
        <f t="shared" si="148"/>
        <v>0</v>
      </c>
      <c r="N169">
        <f t="shared" si="115"/>
        <v>0</v>
      </c>
      <c r="O169" s="21">
        <f t="shared" si="149"/>
        <v>0</v>
      </c>
      <c r="P169">
        <f>IF(B169&gt;$AJ$2,0,HLOOKUP(C169,Assumptions!$A$12:$J$13,2,TRUE))</f>
        <v>0</v>
      </c>
      <c r="Q169">
        <f t="shared" si="150"/>
        <v>0</v>
      </c>
      <c r="R169">
        <f t="shared" si="116"/>
        <v>0</v>
      </c>
      <c r="S169">
        <f t="shared" si="144"/>
        <v>0</v>
      </c>
      <c r="T169">
        <f t="shared" si="145"/>
        <v>0</v>
      </c>
      <c r="U169">
        <f t="shared" si="117"/>
        <v>0</v>
      </c>
      <c r="V169">
        <f t="shared" si="118"/>
        <v>0</v>
      </c>
      <c r="W169">
        <f t="shared" si="119"/>
        <v>0</v>
      </c>
      <c r="X169">
        <f t="shared" si="110"/>
        <v>0</v>
      </c>
      <c r="Y169">
        <f t="shared" si="120"/>
        <v>0</v>
      </c>
      <c r="Z169">
        <f t="shared" si="121"/>
        <v>0</v>
      </c>
      <c r="AA169">
        <f t="shared" si="122"/>
        <v>0</v>
      </c>
      <c r="AB169">
        <f t="shared" si="123"/>
        <v>0</v>
      </c>
      <c r="AC169" s="23">
        <f>IF(B169&gt;$AJ$2,0,HLOOKUP(YEAR(A169),Assumptions!$A$25:$AL$29,4,TRUE)/100)</f>
        <v>0</v>
      </c>
      <c r="AD169">
        <f t="shared" si="124"/>
        <v>0</v>
      </c>
      <c r="AE169">
        <f t="shared" si="125"/>
        <v>0</v>
      </c>
      <c r="AF169">
        <f t="shared" si="126"/>
        <v>0</v>
      </c>
      <c r="AG169">
        <f t="shared" si="127"/>
        <v>0</v>
      </c>
      <c r="AH169">
        <f t="shared" si="128"/>
        <v>0</v>
      </c>
      <c r="AI169">
        <f t="shared" si="129"/>
        <v>0</v>
      </c>
      <c r="AJ169">
        <f t="shared" si="130"/>
        <v>0</v>
      </c>
      <c r="AK169">
        <f t="shared" si="131"/>
        <v>0</v>
      </c>
      <c r="AL169">
        <f t="shared" si="132"/>
        <v>0</v>
      </c>
      <c r="AM169">
        <f t="shared" si="111"/>
        <v>0</v>
      </c>
      <c r="AN169">
        <f>IF($S$2=0,0,(SUMPRODUCT($K$2:$R$2,Assumptions!$B$34:$I$34)/$U$2+$J$2/$U$2*Assumptions!$A$34*G169)*K169*O168)</f>
        <v>0</v>
      </c>
      <c r="AO169">
        <f t="shared" si="133"/>
        <v>0</v>
      </c>
      <c r="AP169">
        <f t="shared" si="134"/>
        <v>0</v>
      </c>
      <c r="AQ169">
        <f>IF(B169&gt;$AJ$2,0,AQ168*(1+Assumptions!$B$43)^(1/12))</f>
        <v>0</v>
      </c>
      <c r="AR169" s="27">
        <f>IF(B169&gt;$AJ$2,0,(O168+R168)*Assumptions!$B$39/12*AQ168+AV169*Assumptions!$B$41/12)</f>
        <v>0</v>
      </c>
      <c r="AS169">
        <f t="shared" si="135"/>
        <v>0</v>
      </c>
      <c r="AT169" s="28">
        <f t="shared" si="136"/>
        <v>0</v>
      </c>
      <c r="AU169">
        <f t="shared" si="137"/>
        <v>0</v>
      </c>
      <c r="AV169" s="28">
        <f t="shared" si="138"/>
        <v>0</v>
      </c>
      <c r="AW169" s="28">
        <f t="shared" si="139"/>
        <v>0</v>
      </c>
      <c r="AX169" s="23">
        <f>HLOOKUP(YEAR(A169),Assumptions!$A$25:$AL$29,2,TRUE)/100</f>
        <v>1.2891999999999999E-2</v>
      </c>
      <c r="AY169" s="29">
        <f>1/(1+HLOOKUP(YEAR(A169),Assumptions!$A$18:$AL$20,3,TRUE))^(1/12)</f>
        <v>0.99893556799642025</v>
      </c>
      <c r="AZ169" s="26">
        <f t="shared" si="140"/>
        <v>0</v>
      </c>
      <c r="BA169">
        <f t="shared" si="141"/>
        <v>0</v>
      </c>
      <c r="BB169">
        <f t="shared" si="142"/>
        <v>0</v>
      </c>
      <c r="BC169">
        <f t="shared" si="143"/>
        <v>0</v>
      </c>
    </row>
    <row r="170" spans="1:55" x14ac:dyDescent="0.2">
      <c r="A170" s="3">
        <f t="shared" si="112"/>
        <v>47938</v>
      </c>
      <c r="B170">
        <f t="shared" si="104"/>
        <v>172</v>
      </c>
      <c r="C170">
        <f t="shared" si="151"/>
        <v>14.25</v>
      </c>
      <c r="D170">
        <f t="shared" si="152"/>
        <v>0</v>
      </c>
      <c r="E170">
        <f t="shared" si="105"/>
        <v>70</v>
      </c>
      <c r="F170">
        <f>IF(C170&gt;=$T$2,0,VLOOKUP($E170,'Mortality Table'!$A$3:$C$128,2+AF$2,FALSE))</f>
        <v>0</v>
      </c>
      <c r="G170">
        <f>F170*Assumptions!$B$1</f>
        <v>0</v>
      </c>
      <c r="H170">
        <f t="shared" si="113"/>
        <v>0</v>
      </c>
      <c r="I170">
        <f t="shared" si="146"/>
        <v>0</v>
      </c>
      <c r="J170">
        <f>IF(B170&gt;$AJ$2,0,HLOOKUP(C170,Assumptions!$A$6:$J$7,2,TRUE))</f>
        <v>0</v>
      </c>
      <c r="K170" s="4">
        <f t="shared" si="147"/>
        <v>0</v>
      </c>
      <c r="L170" s="4">
        <f t="shared" si="114"/>
        <v>0</v>
      </c>
      <c r="M170" s="4">
        <f t="shared" si="148"/>
        <v>0</v>
      </c>
      <c r="N170">
        <f t="shared" si="115"/>
        <v>0</v>
      </c>
      <c r="O170" s="21">
        <f t="shared" si="149"/>
        <v>0</v>
      </c>
      <c r="P170">
        <f>IF(B170&gt;$AJ$2,0,HLOOKUP(C170,Assumptions!$A$12:$J$13,2,TRUE))</f>
        <v>0</v>
      </c>
      <c r="Q170">
        <f t="shared" si="150"/>
        <v>0</v>
      </c>
      <c r="R170">
        <f t="shared" si="116"/>
        <v>0</v>
      </c>
      <c r="S170">
        <f t="shared" si="144"/>
        <v>0</v>
      </c>
      <c r="T170">
        <f t="shared" si="145"/>
        <v>0</v>
      </c>
      <c r="U170">
        <f t="shared" si="117"/>
        <v>0</v>
      </c>
      <c r="V170">
        <f t="shared" si="118"/>
        <v>0</v>
      </c>
      <c r="W170">
        <f t="shared" si="119"/>
        <v>0</v>
      </c>
      <c r="X170">
        <f t="shared" si="110"/>
        <v>0</v>
      </c>
      <c r="Y170">
        <f t="shared" si="120"/>
        <v>0</v>
      </c>
      <c r="Z170">
        <f t="shared" si="121"/>
        <v>0</v>
      </c>
      <c r="AA170">
        <f t="shared" si="122"/>
        <v>0</v>
      </c>
      <c r="AB170">
        <f t="shared" si="123"/>
        <v>0</v>
      </c>
      <c r="AC170" s="23">
        <f>IF(B170&gt;$AJ$2,0,HLOOKUP(YEAR(A170),Assumptions!$A$25:$AL$29,4,TRUE)/100)</f>
        <v>0</v>
      </c>
      <c r="AD170">
        <f t="shared" si="124"/>
        <v>0</v>
      </c>
      <c r="AE170">
        <f t="shared" si="125"/>
        <v>0</v>
      </c>
      <c r="AF170">
        <f t="shared" si="126"/>
        <v>0</v>
      </c>
      <c r="AG170">
        <f t="shared" si="127"/>
        <v>0</v>
      </c>
      <c r="AH170">
        <f t="shared" si="128"/>
        <v>0</v>
      </c>
      <c r="AI170">
        <f t="shared" si="129"/>
        <v>0</v>
      </c>
      <c r="AJ170">
        <f t="shared" si="130"/>
        <v>0</v>
      </c>
      <c r="AK170">
        <f t="shared" si="131"/>
        <v>0</v>
      </c>
      <c r="AL170">
        <f t="shared" si="132"/>
        <v>0</v>
      </c>
      <c r="AM170">
        <f t="shared" si="111"/>
        <v>0</v>
      </c>
      <c r="AN170">
        <f>IF($S$2=0,0,(SUMPRODUCT($K$2:$R$2,Assumptions!$B$34:$I$34)/$U$2+$J$2/$U$2*Assumptions!$A$34*G170)*K170*O169)</f>
        <v>0</v>
      </c>
      <c r="AO170">
        <f t="shared" si="133"/>
        <v>0</v>
      </c>
      <c r="AP170">
        <f t="shared" si="134"/>
        <v>0</v>
      </c>
      <c r="AQ170">
        <f>IF(B170&gt;$AJ$2,0,AQ169*(1+Assumptions!$B$43)^(1/12))</f>
        <v>0</v>
      </c>
      <c r="AR170" s="27">
        <f>IF(B170&gt;$AJ$2,0,(O169+R169)*Assumptions!$B$39/12*AQ169+AV170*Assumptions!$B$41/12)</f>
        <v>0</v>
      </c>
      <c r="AS170">
        <f t="shared" si="135"/>
        <v>0</v>
      </c>
      <c r="AT170" s="28">
        <f t="shared" si="136"/>
        <v>0</v>
      </c>
      <c r="AU170">
        <f t="shared" si="137"/>
        <v>0</v>
      </c>
      <c r="AV170" s="28">
        <f t="shared" si="138"/>
        <v>0</v>
      </c>
      <c r="AW170" s="28">
        <f t="shared" si="139"/>
        <v>0</v>
      </c>
      <c r="AX170" s="23">
        <f>HLOOKUP(YEAR(A170),Assumptions!$A$25:$AL$29,2,TRUE)/100</f>
        <v>1.2891999999999999E-2</v>
      </c>
      <c r="AY170" s="29">
        <f>1/(1+HLOOKUP(YEAR(A170),Assumptions!$A$18:$AL$20,3,TRUE))^(1/12)</f>
        <v>0.99893556799642025</v>
      </c>
      <c r="AZ170" s="26">
        <f t="shared" si="140"/>
        <v>0</v>
      </c>
      <c r="BA170">
        <f t="shared" si="141"/>
        <v>0</v>
      </c>
      <c r="BB170">
        <f t="shared" si="142"/>
        <v>0</v>
      </c>
      <c r="BC170">
        <f t="shared" si="143"/>
        <v>0</v>
      </c>
    </row>
    <row r="171" spans="1:55" x14ac:dyDescent="0.2">
      <c r="A171" s="3">
        <f t="shared" si="112"/>
        <v>47968</v>
      </c>
      <c r="B171">
        <f t="shared" si="104"/>
        <v>173</v>
      </c>
      <c r="C171">
        <f t="shared" si="151"/>
        <v>14.333333333333334</v>
      </c>
      <c r="D171">
        <f t="shared" si="152"/>
        <v>0</v>
      </c>
      <c r="E171">
        <f t="shared" si="105"/>
        <v>70</v>
      </c>
      <c r="F171">
        <f>IF(C171&gt;=$T$2,0,VLOOKUP($E171,'Mortality Table'!$A$3:$C$128,2+AF$2,FALSE))</f>
        <v>0</v>
      </c>
      <c r="G171">
        <f>F171*Assumptions!$B$1</f>
        <v>0</v>
      </c>
      <c r="H171">
        <f t="shared" si="113"/>
        <v>0</v>
      </c>
      <c r="I171">
        <f t="shared" si="146"/>
        <v>0</v>
      </c>
      <c r="J171">
        <f>IF(B171&gt;$AJ$2,0,HLOOKUP(C171,Assumptions!$A$6:$J$7,2,TRUE))</f>
        <v>0</v>
      </c>
      <c r="K171" s="4">
        <f t="shared" si="147"/>
        <v>0</v>
      </c>
      <c r="L171" s="4">
        <f t="shared" si="114"/>
        <v>0</v>
      </c>
      <c r="M171" s="4">
        <f t="shared" si="148"/>
        <v>0</v>
      </c>
      <c r="N171">
        <f t="shared" si="115"/>
        <v>0</v>
      </c>
      <c r="O171" s="21">
        <f t="shared" si="149"/>
        <v>0</v>
      </c>
      <c r="P171">
        <f>IF(B171&gt;$AJ$2,0,HLOOKUP(C171,Assumptions!$A$12:$J$13,2,TRUE))</f>
        <v>0</v>
      </c>
      <c r="Q171">
        <f t="shared" si="150"/>
        <v>0</v>
      </c>
      <c r="R171">
        <f t="shared" si="116"/>
        <v>0</v>
      </c>
      <c r="S171">
        <f t="shared" si="144"/>
        <v>0</v>
      </c>
      <c r="T171">
        <f t="shared" si="145"/>
        <v>0</v>
      </c>
      <c r="U171">
        <f t="shared" si="117"/>
        <v>0</v>
      </c>
      <c r="V171">
        <f t="shared" si="118"/>
        <v>0</v>
      </c>
      <c r="W171">
        <f t="shared" si="119"/>
        <v>0</v>
      </c>
      <c r="X171">
        <f t="shared" si="110"/>
        <v>0</v>
      </c>
      <c r="Y171">
        <f t="shared" si="120"/>
        <v>0</v>
      </c>
      <c r="Z171">
        <f t="shared" si="121"/>
        <v>0</v>
      </c>
      <c r="AA171">
        <f t="shared" si="122"/>
        <v>0</v>
      </c>
      <c r="AB171">
        <f t="shared" si="123"/>
        <v>0</v>
      </c>
      <c r="AC171" s="23">
        <f>IF(B171&gt;$AJ$2,0,HLOOKUP(YEAR(A171),Assumptions!$A$25:$AL$29,4,TRUE)/100)</f>
        <v>0</v>
      </c>
      <c r="AD171">
        <f t="shared" si="124"/>
        <v>0</v>
      </c>
      <c r="AE171">
        <f t="shared" si="125"/>
        <v>0</v>
      </c>
      <c r="AF171">
        <f t="shared" si="126"/>
        <v>0</v>
      </c>
      <c r="AG171">
        <f t="shared" si="127"/>
        <v>0</v>
      </c>
      <c r="AH171">
        <f t="shared" si="128"/>
        <v>0</v>
      </c>
      <c r="AI171">
        <f t="shared" si="129"/>
        <v>0</v>
      </c>
      <c r="AJ171">
        <f t="shared" si="130"/>
        <v>0</v>
      </c>
      <c r="AK171">
        <f t="shared" si="131"/>
        <v>0</v>
      </c>
      <c r="AL171">
        <f t="shared" si="132"/>
        <v>0</v>
      </c>
      <c r="AM171">
        <f t="shared" si="111"/>
        <v>0</v>
      </c>
      <c r="AN171">
        <f>IF($S$2=0,0,(SUMPRODUCT($K$2:$R$2,Assumptions!$B$34:$I$34)/$U$2+$J$2/$U$2*Assumptions!$A$34*G171)*K171*O170)</f>
        <v>0</v>
      </c>
      <c r="AO171">
        <f t="shared" si="133"/>
        <v>0</v>
      </c>
      <c r="AP171">
        <f t="shared" si="134"/>
        <v>0</v>
      </c>
      <c r="AQ171">
        <f>IF(B171&gt;$AJ$2,0,AQ170*(1+Assumptions!$B$43)^(1/12))</f>
        <v>0</v>
      </c>
      <c r="AR171" s="27">
        <f>IF(B171&gt;$AJ$2,0,(O170+R170)*Assumptions!$B$39/12*AQ170+AV171*Assumptions!$B$41/12)</f>
        <v>0</v>
      </c>
      <c r="AS171">
        <f t="shared" si="135"/>
        <v>0</v>
      </c>
      <c r="AT171" s="28">
        <f t="shared" si="136"/>
        <v>0</v>
      </c>
      <c r="AU171">
        <f t="shared" si="137"/>
        <v>0</v>
      </c>
      <c r="AV171" s="28">
        <f t="shared" si="138"/>
        <v>0</v>
      </c>
      <c r="AW171" s="28">
        <f t="shared" si="139"/>
        <v>0</v>
      </c>
      <c r="AX171" s="23">
        <f>HLOOKUP(YEAR(A171),Assumptions!$A$25:$AL$29,2,TRUE)/100</f>
        <v>1.2891999999999999E-2</v>
      </c>
      <c r="AY171" s="29">
        <f>1/(1+HLOOKUP(YEAR(A171),Assumptions!$A$18:$AL$20,3,TRUE))^(1/12)</f>
        <v>0.99893556799642025</v>
      </c>
      <c r="AZ171" s="26">
        <f t="shared" si="140"/>
        <v>0</v>
      </c>
      <c r="BA171">
        <f t="shared" si="141"/>
        <v>0</v>
      </c>
      <c r="BB171">
        <f t="shared" si="142"/>
        <v>0</v>
      </c>
      <c r="BC171">
        <f t="shared" si="143"/>
        <v>0</v>
      </c>
    </row>
    <row r="172" spans="1:55" x14ac:dyDescent="0.2">
      <c r="A172" s="3">
        <f t="shared" si="112"/>
        <v>47999</v>
      </c>
      <c r="B172">
        <f t="shared" si="104"/>
        <v>174</v>
      </c>
      <c r="C172">
        <f t="shared" si="151"/>
        <v>14.416666666666666</v>
      </c>
      <c r="D172">
        <f t="shared" si="152"/>
        <v>0</v>
      </c>
      <c r="E172">
        <f t="shared" si="105"/>
        <v>70</v>
      </c>
      <c r="F172">
        <f>IF(C172&gt;=$T$2,0,VLOOKUP($E172,'Mortality Table'!$A$3:$C$128,2+AF$2,FALSE))</f>
        <v>0</v>
      </c>
      <c r="G172">
        <f>F172*Assumptions!$B$1</f>
        <v>0</v>
      </c>
      <c r="H172">
        <f t="shared" si="113"/>
        <v>0</v>
      </c>
      <c r="I172">
        <f t="shared" si="146"/>
        <v>0</v>
      </c>
      <c r="J172">
        <f>IF(B172&gt;$AJ$2,0,HLOOKUP(C172,Assumptions!$A$6:$J$7,2,TRUE))</f>
        <v>0</v>
      </c>
      <c r="K172" s="4">
        <f t="shared" si="147"/>
        <v>0</v>
      </c>
      <c r="L172" s="4">
        <f t="shared" si="114"/>
        <v>0</v>
      </c>
      <c r="M172" s="4">
        <f t="shared" si="148"/>
        <v>0</v>
      </c>
      <c r="N172">
        <f t="shared" si="115"/>
        <v>0</v>
      </c>
      <c r="O172" s="21">
        <f t="shared" si="149"/>
        <v>0</v>
      </c>
      <c r="P172">
        <f>IF(B172&gt;$AJ$2,0,HLOOKUP(C172,Assumptions!$A$12:$J$13,2,TRUE))</f>
        <v>0</v>
      </c>
      <c r="Q172">
        <f t="shared" si="150"/>
        <v>0</v>
      </c>
      <c r="R172">
        <f t="shared" si="116"/>
        <v>0</v>
      </c>
      <c r="S172">
        <f t="shared" si="144"/>
        <v>0</v>
      </c>
      <c r="T172">
        <f t="shared" si="145"/>
        <v>0</v>
      </c>
      <c r="U172">
        <f t="shared" si="117"/>
        <v>0</v>
      </c>
      <c r="V172">
        <f t="shared" si="118"/>
        <v>0</v>
      </c>
      <c r="W172">
        <f t="shared" si="119"/>
        <v>0</v>
      </c>
      <c r="X172">
        <f t="shared" si="110"/>
        <v>0</v>
      </c>
      <c r="Y172">
        <f t="shared" si="120"/>
        <v>0</v>
      </c>
      <c r="Z172">
        <f t="shared" si="121"/>
        <v>0</v>
      </c>
      <c r="AA172">
        <f t="shared" si="122"/>
        <v>0</v>
      </c>
      <c r="AB172">
        <f t="shared" si="123"/>
        <v>0</v>
      </c>
      <c r="AC172" s="23">
        <f>IF(B172&gt;$AJ$2,0,HLOOKUP(YEAR(A172),Assumptions!$A$25:$AL$29,4,TRUE)/100)</f>
        <v>0</v>
      </c>
      <c r="AD172">
        <f t="shared" si="124"/>
        <v>0</v>
      </c>
      <c r="AE172">
        <f t="shared" si="125"/>
        <v>0</v>
      </c>
      <c r="AF172">
        <f t="shared" si="126"/>
        <v>0</v>
      </c>
      <c r="AG172">
        <f t="shared" si="127"/>
        <v>0</v>
      </c>
      <c r="AH172">
        <f t="shared" si="128"/>
        <v>0</v>
      </c>
      <c r="AI172">
        <f t="shared" si="129"/>
        <v>0</v>
      </c>
      <c r="AJ172">
        <f t="shared" si="130"/>
        <v>0</v>
      </c>
      <c r="AK172">
        <f t="shared" si="131"/>
        <v>0</v>
      </c>
      <c r="AL172">
        <f t="shared" si="132"/>
        <v>0</v>
      </c>
      <c r="AM172">
        <f t="shared" si="111"/>
        <v>0</v>
      </c>
      <c r="AN172">
        <f>IF($S$2=0,0,(SUMPRODUCT($K$2:$R$2,Assumptions!$B$34:$I$34)/$U$2+$J$2/$U$2*Assumptions!$A$34*G172)*K172*O171)</f>
        <v>0</v>
      </c>
      <c r="AO172">
        <f t="shared" si="133"/>
        <v>0</v>
      </c>
      <c r="AP172">
        <f t="shared" si="134"/>
        <v>0</v>
      </c>
      <c r="AQ172">
        <f>IF(B172&gt;$AJ$2,0,AQ171*(1+Assumptions!$B$43)^(1/12))</f>
        <v>0</v>
      </c>
      <c r="AR172" s="27">
        <f>IF(B172&gt;$AJ$2,0,(O171+R171)*Assumptions!$B$39/12*AQ171+AV172*Assumptions!$B$41/12)</f>
        <v>0</v>
      </c>
      <c r="AS172">
        <f t="shared" si="135"/>
        <v>0</v>
      </c>
      <c r="AT172" s="28">
        <f t="shared" si="136"/>
        <v>0</v>
      </c>
      <c r="AU172">
        <f t="shared" si="137"/>
        <v>0</v>
      </c>
      <c r="AV172" s="28">
        <f t="shared" si="138"/>
        <v>0</v>
      </c>
      <c r="AW172" s="28">
        <f t="shared" si="139"/>
        <v>0</v>
      </c>
      <c r="AX172" s="23">
        <f>HLOOKUP(YEAR(A172),Assumptions!$A$25:$AL$29,2,TRUE)/100</f>
        <v>1.2891999999999999E-2</v>
      </c>
      <c r="AY172" s="29">
        <f>1/(1+HLOOKUP(YEAR(A172),Assumptions!$A$18:$AL$20,3,TRUE))^(1/12)</f>
        <v>0.99893556799642025</v>
      </c>
      <c r="AZ172" s="26">
        <f t="shared" si="140"/>
        <v>0</v>
      </c>
      <c r="BA172">
        <f t="shared" si="141"/>
        <v>0</v>
      </c>
      <c r="BB172">
        <f t="shared" si="142"/>
        <v>0</v>
      </c>
      <c r="BC172">
        <f t="shared" si="143"/>
        <v>0</v>
      </c>
    </row>
    <row r="173" spans="1:55" x14ac:dyDescent="0.2">
      <c r="A173" s="3">
        <f t="shared" si="112"/>
        <v>48029</v>
      </c>
      <c r="B173">
        <f t="shared" si="104"/>
        <v>175</v>
      </c>
      <c r="C173">
        <f t="shared" si="151"/>
        <v>14.5</v>
      </c>
      <c r="D173">
        <f t="shared" si="152"/>
        <v>0</v>
      </c>
      <c r="E173">
        <f t="shared" si="105"/>
        <v>70</v>
      </c>
      <c r="F173">
        <f>IF(C173&gt;=$T$2,0,VLOOKUP($E173,'Mortality Table'!$A$3:$C$128,2+AF$2,FALSE))</f>
        <v>0</v>
      </c>
      <c r="G173">
        <f>F173*Assumptions!$B$1</f>
        <v>0</v>
      </c>
      <c r="H173">
        <f t="shared" si="113"/>
        <v>0</v>
      </c>
      <c r="I173">
        <f t="shared" si="146"/>
        <v>0</v>
      </c>
      <c r="J173">
        <f>IF(B173&gt;$AJ$2,0,HLOOKUP(C173,Assumptions!$A$6:$J$7,2,TRUE))</f>
        <v>0</v>
      </c>
      <c r="K173" s="4">
        <f t="shared" si="147"/>
        <v>0</v>
      </c>
      <c r="L173" s="4">
        <f t="shared" si="114"/>
        <v>0</v>
      </c>
      <c r="M173" s="4">
        <f t="shared" si="148"/>
        <v>0</v>
      </c>
      <c r="N173">
        <f t="shared" si="115"/>
        <v>0</v>
      </c>
      <c r="O173" s="21">
        <f t="shared" si="149"/>
        <v>0</v>
      </c>
      <c r="P173">
        <f>IF(B173&gt;$AJ$2,0,HLOOKUP(C173,Assumptions!$A$12:$J$13,2,TRUE))</f>
        <v>0</v>
      </c>
      <c r="Q173">
        <f t="shared" si="150"/>
        <v>0</v>
      </c>
      <c r="R173">
        <f t="shared" si="116"/>
        <v>0</v>
      </c>
      <c r="S173">
        <f t="shared" si="144"/>
        <v>0</v>
      </c>
      <c r="T173">
        <f t="shared" si="145"/>
        <v>0</v>
      </c>
      <c r="U173">
        <f t="shared" si="117"/>
        <v>0</v>
      </c>
      <c r="V173">
        <f t="shared" si="118"/>
        <v>0</v>
      </c>
      <c r="W173">
        <f t="shared" si="119"/>
        <v>0</v>
      </c>
      <c r="X173">
        <f t="shared" si="110"/>
        <v>0</v>
      </c>
      <c r="Y173">
        <f t="shared" si="120"/>
        <v>0</v>
      </c>
      <c r="Z173">
        <f t="shared" si="121"/>
        <v>0</v>
      </c>
      <c r="AA173">
        <f t="shared" si="122"/>
        <v>0</v>
      </c>
      <c r="AB173">
        <f t="shared" si="123"/>
        <v>0</v>
      </c>
      <c r="AC173" s="23">
        <f>IF(B173&gt;$AJ$2,0,HLOOKUP(YEAR(A173),Assumptions!$A$25:$AL$29,4,TRUE)/100)</f>
        <v>0</v>
      </c>
      <c r="AD173">
        <f t="shared" si="124"/>
        <v>0</v>
      </c>
      <c r="AE173">
        <f t="shared" si="125"/>
        <v>0</v>
      </c>
      <c r="AF173">
        <f t="shared" si="126"/>
        <v>0</v>
      </c>
      <c r="AG173">
        <f t="shared" si="127"/>
        <v>0</v>
      </c>
      <c r="AH173">
        <f t="shared" si="128"/>
        <v>0</v>
      </c>
      <c r="AI173">
        <f t="shared" si="129"/>
        <v>0</v>
      </c>
      <c r="AJ173">
        <f t="shared" si="130"/>
        <v>0</v>
      </c>
      <c r="AK173">
        <f t="shared" si="131"/>
        <v>0</v>
      </c>
      <c r="AL173">
        <f t="shared" si="132"/>
        <v>0</v>
      </c>
      <c r="AM173">
        <f t="shared" si="111"/>
        <v>0</v>
      </c>
      <c r="AN173">
        <f>IF($S$2=0,0,(SUMPRODUCT($K$2:$R$2,Assumptions!$B$34:$I$34)/$U$2+$J$2/$U$2*Assumptions!$A$34*G173)*K173*O172)</f>
        <v>0</v>
      </c>
      <c r="AO173">
        <f t="shared" si="133"/>
        <v>0</v>
      </c>
      <c r="AP173">
        <f t="shared" si="134"/>
        <v>0</v>
      </c>
      <c r="AQ173">
        <f>IF(B173&gt;$AJ$2,0,AQ172*(1+Assumptions!$B$43)^(1/12))</f>
        <v>0</v>
      </c>
      <c r="AR173" s="27">
        <f>IF(B173&gt;$AJ$2,0,(O172+R172)*Assumptions!$B$39/12*AQ172+AV173*Assumptions!$B$41/12)</f>
        <v>0</v>
      </c>
      <c r="AS173">
        <f t="shared" si="135"/>
        <v>0</v>
      </c>
      <c r="AT173" s="28">
        <f t="shared" si="136"/>
        <v>0</v>
      </c>
      <c r="AU173">
        <f t="shared" si="137"/>
        <v>0</v>
      </c>
      <c r="AV173" s="28">
        <f t="shared" si="138"/>
        <v>0</v>
      </c>
      <c r="AW173" s="28">
        <f t="shared" si="139"/>
        <v>0</v>
      </c>
      <c r="AX173" s="23">
        <f>HLOOKUP(YEAR(A173),Assumptions!$A$25:$AL$29,2,TRUE)/100</f>
        <v>1.2891999999999999E-2</v>
      </c>
      <c r="AY173" s="29">
        <f>1/(1+HLOOKUP(YEAR(A173),Assumptions!$A$18:$AL$20,3,TRUE))^(1/12)</f>
        <v>0.99893556799642025</v>
      </c>
      <c r="AZ173" s="26">
        <f t="shared" si="140"/>
        <v>0</v>
      </c>
      <c r="BA173">
        <f t="shared" si="141"/>
        <v>0</v>
      </c>
      <c r="BB173">
        <f t="shared" si="142"/>
        <v>0</v>
      </c>
      <c r="BC173">
        <f t="shared" si="143"/>
        <v>0</v>
      </c>
    </row>
    <row r="174" spans="1:55" x14ac:dyDescent="0.2">
      <c r="A174" s="3">
        <f t="shared" si="112"/>
        <v>48060</v>
      </c>
      <c r="B174">
        <f t="shared" si="104"/>
        <v>176</v>
      </c>
      <c r="C174">
        <f t="shared" si="151"/>
        <v>14.583333333333334</v>
      </c>
      <c r="D174">
        <f t="shared" si="152"/>
        <v>0</v>
      </c>
      <c r="E174">
        <f t="shared" si="105"/>
        <v>70</v>
      </c>
      <c r="F174">
        <f>IF(C174&gt;=$T$2,0,VLOOKUP($E174,'Mortality Table'!$A$3:$C$128,2+AF$2,FALSE))</f>
        <v>0</v>
      </c>
      <c r="G174">
        <f>F174*Assumptions!$B$1</f>
        <v>0</v>
      </c>
      <c r="H174">
        <f t="shared" si="113"/>
        <v>0</v>
      </c>
      <c r="I174">
        <f t="shared" si="146"/>
        <v>0</v>
      </c>
      <c r="J174">
        <f>IF(B174&gt;$AJ$2,0,HLOOKUP(C174,Assumptions!$A$6:$J$7,2,TRUE))</f>
        <v>0</v>
      </c>
      <c r="K174" s="4">
        <f t="shared" si="147"/>
        <v>0</v>
      </c>
      <c r="L174" s="4">
        <f t="shared" si="114"/>
        <v>0</v>
      </c>
      <c r="M174" s="4">
        <f t="shared" si="148"/>
        <v>0</v>
      </c>
      <c r="N174">
        <f t="shared" si="115"/>
        <v>0</v>
      </c>
      <c r="O174" s="21">
        <f t="shared" si="149"/>
        <v>0</v>
      </c>
      <c r="P174">
        <f>IF(B174&gt;$AJ$2,0,HLOOKUP(C174,Assumptions!$A$12:$J$13,2,TRUE))</f>
        <v>0</v>
      </c>
      <c r="Q174">
        <f t="shared" si="150"/>
        <v>0</v>
      </c>
      <c r="R174">
        <f t="shared" si="116"/>
        <v>0</v>
      </c>
      <c r="S174">
        <f t="shared" si="144"/>
        <v>0</v>
      </c>
      <c r="T174">
        <f t="shared" si="145"/>
        <v>0</v>
      </c>
      <c r="U174">
        <f t="shared" si="117"/>
        <v>0</v>
      </c>
      <c r="V174">
        <f t="shared" si="118"/>
        <v>0</v>
      </c>
      <c r="W174">
        <f t="shared" si="119"/>
        <v>0</v>
      </c>
      <c r="X174">
        <f t="shared" si="110"/>
        <v>0</v>
      </c>
      <c r="Y174">
        <f t="shared" si="120"/>
        <v>0</v>
      </c>
      <c r="Z174">
        <f t="shared" si="121"/>
        <v>0</v>
      </c>
      <c r="AA174">
        <f t="shared" si="122"/>
        <v>0</v>
      </c>
      <c r="AB174">
        <f t="shared" si="123"/>
        <v>0</v>
      </c>
      <c r="AC174" s="23">
        <f>IF(B174&gt;$AJ$2,0,HLOOKUP(YEAR(A174),Assumptions!$A$25:$AL$29,4,TRUE)/100)</f>
        <v>0</v>
      </c>
      <c r="AD174">
        <f t="shared" si="124"/>
        <v>0</v>
      </c>
      <c r="AE174">
        <f t="shared" si="125"/>
        <v>0</v>
      </c>
      <c r="AF174">
        <f t="shared" si="126"/>
        <v>0</v>
      </c>
      <c r="AG174">
        <f t="shared" si="127"/>
        <v>0</v>
      </c>
      <c r="AH174">
        <f t="shared" si="128"/>
        <v>0</v>
      </c>
      <c r="AI174">
        <f t="shared" si="129"/>
        <v>0</v>
      </c>
      <c r="AJ174">
        <f t="shared" si="130"/>
        <v>0</v>
      </c>
      <c r="AK174">
        <f t="shared" si="131"/>
        <v>0</v>
      </c>
      <c r="AL174">
        <f t="shared" si="132"/>
        <v>0</v>
      </c>
      <c r="AM174">
        <f t="shared" si="111"/>
        <v>0</v>
      </c>
      <c r="AN174">
        <f>IF($S$2=0,0,(SUMPRODUCT($K$2:$R$2,Assumptions!$B$34:$I$34)/$U$2+$J$2/$U$2*Assumptions!$A$34*G174)*K174*O173)</f>
        <v>0</v>
      </c>
      <c r="AO174">
        <f t="shared" si="133"/>
        <v>0</v>
      </c>
      <c r="AP174">
        <f t="shared" si="134"/>
        <v>0</v>
      </c>
      <c r="AQ174">
        <f>IF(B174&gt;$AJ$2,0,AQ173*(1+Assumptions!$B$43)^(1/12))</f>
        <v>0</v>
      </c>
      <c r="AR174" s="27">
        <f>IF(B174&gt;$AJ$2,0,(O173+R173)*Assumptions!$B$39/12*AQ173+AV174*Assumptions!$B$41/12)</f>
        <v>0</v>
      </c>
      <c r="AS174">
        <f t="shared" si="135"/>
        <v>0</v>
      </c>
      <c r="AT174" s="28">
        <f t="shared" si="136"/>
        <v>0</v>
      </c>
      <c r="AU174">
        <f t="shared" si="137"/>
        <v>0</v>
      </c>
      <c r="AV174" s="28">
        <f t="shared" si="138"/>
        <v>0</v>
      </c>
      <c r="AW174" s="28">
        <f t="shared" si="139"/>
        <v>0</v>
      </c>
      <c r="AX174" s="23">
        <f>HLOOKUP(YEAR(A174),Assumptions!$A$25:$AL$29,2,TRUE)/100</f>
        <v>1.2891999999999999E-2</v>
      </c>
      <c r="AY174" s="29">
        <f>1/(1+HLOOKUP(YEAR(A174),Assumptions!$A$18:$AL$20,3,TRUE))^(1/12)</f>
        <v>0.99893556799642025</v>
      </c>
      <c r="AZ174" s="26">
        <f t="shared" si="140"/>
        <v>0</v>
      </c>
      <c r="BA174">
        <f t="shared" si="141"/>
        <v>0</v>
      </c>
      <c r="BB174">
        <f t="shared" si="142"/>
        <v>0</v>
      </c>
      <c r="BC174">
        <f t="shared" si="143"/>
        <v>0</v>
      </c>
    </row>
    <row r="175" spans="1:55" x14ac:dyDescent="0.2">
      <c r="A175" s="3">
        <f t="shared" si="112"/>
        <v>48091</v>
      </c>
      <c r="B175">
        <f t="shared" si="104"/>
        <v>177</v>
      </c>
      <c r="C175">
        <f t="shared" si="151"/>
        <v>14.666666666666666</v>
      </c>
      <c r="D175">
        <f t="shared" si="152"/>
        <v>0</v>
      </c>
      <c r="E175">
        <f t="shared" si="105"/>
        <v>70</v>
      </c>
      <c r="F175">
        <f>IF(C175&gt;=$T$2,0,VLOOKUP($E175,'Mortality Table'!$A$3:$C$128,2+AF$2,FALSE))</f>
        <v>0</v>
      </c>
      <c r="G175">
        <f>F175*Assumptions!$B$1</f>
        <v>0</v>
      </c>
      <c r="H175">
        <f t="shared" si="113"/>
        <v>0</v>
      </c>
      <c r="I175">
        <f t="shared" si="146"/>
        <v>0</v>
      </c>
      <c r="J175">
        <f>IF(B175&gt;$AJ$2,0,HLOOKUP(C175,Assumptions!$A$6:$J$7,2,TRUE))</f>
        <v>0</v>
      </c>
      <c r="K175" s="4">
        <f t="shared" si="147"/>
        <v>0</v>
      </c>
      <c r="L175" s="4">
        <f t="shared" si="114"/>
        <v>0</v>
      </c>
      <c r="M175" s="4">
        <f t="shared" si="148"/>
        <v>0</v>
      </c>
      <c r="N175">
        <f t="shared" si="115"/>
        <v>0</v>
      </c>
      <c r="O175" s="21">
        <f t="shared" si="149"/>
        <v>0</v>
      </c>
      <c r="P175">
        <f>IF(B175&gt;$AJ$2,0,HLOOKUP(C175,Assumptions!$A$12:$J$13,2,TRUE))</f>
        <v>0</v>
      </c>
      <c r="Q175">
        <f t="shared" si="150"/>
        <v>0</v>
      </c>
      <c r="R175">
        <f t="shared" si="116"/>
        <v>0</v>
      </c>
      <c r="S175">
        <f t="shared" si="144"/>
        <v>0</v>
      </c>
      <c r="T175">
        <f t="shared" si="145"/>
        <v>0</v>
      </c>
      <c r="U175">
        <f t="shared" si="117"/>
        <v>0</v>
      </c>
      <c r="V175">
        <f t="shared" si="118"/>
        <v>0</v>
      </c>
      <c r="W175">
        <f t="shared" si="119"/>
        <v>0</v>
      </c>
      <c r="X175">
        <f t="shared" si="110"/>
        <v>0</v>
      </c>
      <c r="Y175">
        <f t="shared" si="120"/>
        <v>0</v>
      </c>
      <c r="Z175">
        <f t="shared" si="121"/>
        <v>0</v>
      </c>
      <c r="AA175">
        <f t="shared" si="122"/>
        <v>0</v>
      </c>
      <c r="AB175">
        <f t="shared" si="123"/>
        <v>0</v>
      </c>
      <c r="AC175" s="23">
        <f>IF(B175&gt;$AJ$2,0,HLOOKUP(YEAR(A175),Assumptions!$A$25:$AL$29,4,TRUE)/100)</f>
        <v>0</v>
      </c>
      <c r="AD175">
        <f t="shared" si="124"/>
        <v>0</v>
      </c>
      <c r="AE175">
        <f t="shared" si="125"/>
        <v>0</v>
      </c>
      <c r="AF175">
        <f t="shared" si="126"/>
        <v>0</v>
      </c>
      <c r="AG175">
        <f t="shared" si="127"/>
        <v>0</v>
      </c>
      <c r="AH175">
        <f t="shared" si="128"/>
        <v>0</v>
      </c>
      <c r="AI175">
        <f t="shared" si="129"/>
        <v>0</v>
      </c>
      <c r="AJ175">
        <f t="shared" si="130"/>
        <v>0</v>
      </c>
      <c r="AK175">
        <f t="shared" si="131"/>
        <v>0</v>
      </c>
      <c r="AL175">
        <f t="shared" si="132"/>
        <v>0</v>
      </c>
      <c r="AM175">
        <f t="shared" si="111"/>
        <v>0</v>
      </c>
      <c r="AN175">
        <f>IF($S$2=0,0,(SUMPRODUCT($K$2:$R$2,Assumptions!$B$34:$I$34)/$U$2+$J$2/$U$2*Assumptions!$A$34*G175)*K175*O174)</f>
        <v>0</v>
      </c>
      <c r="AO175">
        <f t="shared" si="133"/>
        <v>0</v>
      </c>
      <c r="AP175">
        <f t="shared" si="134"/>
        <v>0</v>
      </c>
      <c r="AQ175">
        <f>IF(B175&gt;$AJ$2,0,AQ174*(1+Assumptions!$B$43)^(1/12))</f>
        <v>0</v>
      </c>
      <c r="AR175" s="27">
        <f>IF(B175&gt;$AJ$2,0,(O174+R174)*Assumptions!$B$39/12*AQ174+AV175*Assumptions!$B$41/12)</f>
        <v>0</v>
      </c>
      <c r="AS175">
        <f t="shared" si="135"/>
        <v>0</v>
      </c>
      <c r="AT175" s="28">
        <f t="shared" si="136"/>
        <v>0</v>
      </c>
      <c r="AU175">
        <f t="shared" si="137"/>
        <v>0</v>
      </c>
      <c r="AV175" s="28">
        <f t="shared" si="138"/>
        <v>0</v>
      </c>
      <c r="AW175" s="28">
        <f t="shared" si="139"/>
        <v>0</v>
      </c>
      <c r="AX175" s="23">
        <f>HLOOKUP(YEAR(A175),Assumptions!$A$25:$AL$29,2,TRUE)/100</f>
        <v>1.2891999999999999E-2</v>
      </c>
      <c r="AY175" s="29">
        <f>1/(1+HLOOKUP(YEAR(A175),Assumptions!$A$18:$AL$20,3,TRUE))^(1/12)</f>
        <v>0.99893556799642025</v>
      </c>
      <c r="AZ175" s="26">
        <f t="shared" si="140"/>
        <v>0</v>
      </c>
      <c r="BA175">
        <f t="shared" si="141"/>
        <v>0</v>
      </c>
      <c r="BB175">
        <f t="shared" si="142"/>
        <v>0</v>
      </c>
      <c r="BC175">
        <f t="shared" si="143"/>
        <v>0</v>
      </c>
    </row>
    <row r="176" spans="1:55" x14ac:dyDescent="0.2">
      <c r="A176" s="3">
        <f t="shared" si="112"/>
        <v>48121</v>
      </c>
      <c r="B176">
        <f t="shared" si="104"/>
        <v>178</v>
      </c>
      <c r="C176">
        <f t="shared" si="151"/>
        <v>14.75</v>
      </c>
      <c r="D176">
        <f t="shared" si="152"/>
        <v>0</v>
      </c>
      <c r="E176">
        <f t="shared" si="105"/>
        <v>70</v>
      </c>
      <c r="F176">
        <f>IF(C176&gt;=$T$2,0,VLOOKUP($E176,'Mortality Table'!$A$3:$C$128,2+AF$2,FALSE))</f>
        <v>0</v>
      </c>
      <c r="G176">
        <f>F176*Assumptions!$B$1</f>
        <v>0</v>
      </c>
      <c r="H176">
        <f t="shared" si="113"/>
        <v>0</v>
      </c>
      <c r="I176">
        <f t="shared" si="146"/>
        <v>0</v>
      </c>
      <c r="J176">
        <f>IF(B176&gt;$AJ$2,0,HLOOKUP(C176,Assumptions!$A$6:$J$7,2,TRUE))</f>
        <v>0</v>
      </c>
      <c r="K176" s="4">
        <f t="shared" si="147"/>
        <v>0</v>
      </c>
      <c r="L176" s="4">
        <f t="shared" si="114"/>
        <v>0</v>
      </c>
      <c r="M176" s="4">
        <f t="shared" si="148"/>
        <v>0</v>
      </c>
      <c r="N176">
        <f t="shared" si="115"/>
        <v>0</v>
      </c>
      <c r="O176" s="21">
        <f t="shared" si="149"/>
        <v>0</v>
      </c>
      <c r="P176">
        <f>IF(B176&gt;$AJ$2,0,HLOOKUP(C176,Assumptions!$A$12:$J$13,2,TRUE))</f>
        <v>0</v>
      </c>
      <c r="Q176">
        <f t="shared" si="150"/>
        <v>0</v>
      </c>
      <c r="R176">
        <f t="shared" si="116"/>
        <v>0</v>
      </c>
      <c r="S176">
        <f t="shared" si="144"/>
        <v>0</v>
      </c>
      <c r="T176">
        <f t="shared" si="145"/>
        <v>0</v>
      </c>
      <c r="U176">
        <f t="shared" si="117"/>
        <v>0</v>
      </c>
      <c r="V176">
        <f t="shared" si="118"/>
        <v>0</v>
      </c>
      <c r="W176">
        <f t="shared" si="119"/>
        <v>0</v>
      </c>
      <c r="X176">
        <f t="shared" si="110"/>
        <v>0</v>
      </c>
      <c r="Y176">
        <f t="shared" si="120"/>
        <v>0</v>
      </c>
      <c r="Z176">
        <f t="shared" si="121"/>
        <v>0</v>
      </c>
      <c r="AA176">
        <f t="shared" si="122"/>
        <v>0</v>
      </c>
      <c r="AB176">
        <f t="shared" si="123"/>
        <v>0</v>
      </c>
      <c r="AC176" s="23">
        <f>IF(B176&gt;$AJ$2,0,HLOOKUP(YEAR(A176),Assumptions!$A$25:$AL$29,4,TRUE)/100)</f>
        <v>0</v>
      </c>
      <c r="AD176">
        <f t="shared" si="124"/>
        <v>0</v>
      </c>
      <c r="AE176">
        <f t="shared" si="125"/>
        <v>0</v>
      </c>
      <c r="AF176">
        <f t="shared" si="126"/>
        <v>0</v>
      </c>
      <c r="AG176">
        <f t="shared" si="127"/>
        <v>0</v>
      </c>
      <c r="AH176">
        <f t="shared" si="128"/>
        <v>0</v>
      </c>
      <c r="AI176">
        <f t="shared" si="129"/>
        <v>0</v>
      </c>
      <c r="AJ176">
        <f t="shared" si="130"/>
        <v>0</v>
      </c>
      <c r="AK176">
        <f t="shared" si="131"/>
        <v>0</v>
      </c>
      <c r="AL176">
        <f t="shared" si="132"/>
        <v>0</v>
      </c>
      <c r="AM176">
        <f t="shared" si="111"/>
        <v>0</v>
      </c>
      <c r="AN176">
        <f>IF($S$2=0,0,(SUMPRODUCT($K$2:$R$2,Assumptions!$B$34:$I$34)/$U$2+$J$2/$U$2*Assumptions!$A$34*G176)*K176*O175)</f>
        <v>0</v>
      </c>
      <c r="AO176">
        <f t="shared" si="133"/>
        <v>0</v>
      </c>
      <c r="AP176">
        <f t="shared" si="134"/>
        <v>0</v>
      </c>
      <c r="AQ176">
        <f>IF(B176&gt;$AJ$2,0,AQ175*(1+Assumptions!$B$43)^(1/12))</f>
        <v>0</v>
      </c>
      <c r="AR176" s="27">
        <f>IF(B176&gt;$AJ$2,0,(O175+R175)*Assumptions!$B$39/12*AQ175+AV176*Assumptions!$B$41/12)</f>
        <v>0</v>
      </c>
      <c r="AS176">
        <f t="shared" si="135"/>
        <v>0</v>
      </c>
      <c r="AT176" s="28">
        <f t="shared" si="136"/>
        <v>0</v>
      </c>
      <c r="AU176">
        <f t="shared" si="137"/>
        <v>0</v>
      </c>
      <c r="AV176" s="28">
        <f t="shared" si="138"/>
        <v>0</v>
      </c>
      <c r="AW176" s="28">
        <f t="shared" si="139"/>
        <v>0</v>
      </c>
      <c r="AX176" s="23">
        <f>HLOOKUP(YEAR(A176),Assumptions!$A$25:$AL$29,2,TRUE)/100</f>
        <v>1.2891999999999999E-2</v>
      </c>
      <c r="AY176" s="29">
        <f>1/(1+HLOOKUP(YEAR(A176),Assumptions!$A$18:$AL$20,3,TRUE))^(1/12)</f>
        <v>0.99893556799642025</v>
      </c>
      <c r="AZ176" s="26">
        <f t="shared" si="140"/>
        <v>0</v>
      </c>
      <c r="BA176">
        <f t="shared" si="141"/>
        <v>0</v>
      </c>
      <c r="BB176">
        <f t="shared" si="142"/>
        <v>0</v>
      </c>
      <c r="BC176">
        <f t="shared" si="143"/>
        <v>0</v>
      </c>
    </row>
    <row r="177" spans="1:55" x14ac:dyDescent="0.2">
      <c r="A177" s="3">
        <f t="shared" si="112"/>
        <v>48152</v>
      </c>
      <c r="B177">
        <f t="shared" si="104"/>
        <v>179</v>
      </c>
      <c r="C177">
        <f t="shared" si="151"/>
        <v>14.833333333333334</v>
      </c>
      <c r="D177">
        <f t="shared" si="152"/>
        <v>0</v>
      </c>
      <c r="E177">
        <f t="shared" si="105"/>
        <v>70</v>
      </c>
      <c r="F177">
        <f>IF(C177&gt;=$T$2,0,VLOOKUP($E177,'Mortality Table'!$A$3:$C$128,2+AF$2,FALSE))</f>
        <v>0</v>
      </c>
      <c r="G177">
        <f>F177*Assumptions!$B$1</f>
        <v>0</v>
      </c>
      <c r="H177">
        <f t="shared" si="113"/>
        <v>0</v>
      </c>
      <c r="I177">
        <f t="shared" si="146"/>
        <v>0</v>
      </c>
      <c r="J177">
        <f>IF(B177&gt;$AJ$2,0,HLOOKUP(C177,Assumptions!$A$6:$J$7,2,TRUE))</f>
        <v>0</v>
      </c>
      <c r="K177" s="4">
        <f t="shared" si="147"/>
        <v>0</v>
      </c>
      <c r="L177" s="4">
        <f t="shared" si="114"/>
        <v>0</v>
      </c>
      <c r="M177" s="4">
        <f t="shared" si="148"/>
        <v>0</v>
      </c>
      <c r="N177">
        <f t="shared" si="115"/>
        <v>0</v>
      </c>
      <c r="O177" s="21">
        <f t="shared" si="149"/>
        <v>0</v>
      </c>
      <c r="P177">
        <f>IF(B177&gt;$AJ$2,0,HLOOKUP(C177,Assumptions!$A$12:$J$13,2,TRUE))</f>
        <v>0</v>
      </c>
      <c r="Q177">
        <f t="shared" si="150"/>
        <v>0</v>
      </c>
      <c r="R177">
        <f t="shared" si="116"/>
        <v>0</v>
      </c>
      <c r="S177">
        <f t="shared" si="144"/>
        <v>0</v>
      </c>
      <c r="T177">
        <f t="shared" si="145"/>
        <v>0</v>
      </c>
      <c r="U177">
        <f t="shared" si="117"/>
        <v>0</v>
      </c>
      <c r="V177">
        <f t="shared" si="118"/>
        <v>0</v>
      </c>
      <c r="W177">
        <f t="shared" si="119"/>
        <v>0</v>
      </c>
      <c r="X177">
        <f t="shared" si="110"/>
        <v>0</v>
      </c>
      <c r="Y177">
        <f t="shared" si="120"/>
        <v>0</v>
      </c>
      <c r="Z177">
        <f t="shared" si="121"/>
        <v>0</v>
      </c>
      <c r="AA177">
        <f t="shared" si="122"/>
        <v>0</v>
      </c>
      <c r="AB177">
        <f t="shared" si="123"/>
        <v>0</v>
      </c>
      <c r="AC177" s="23">
        <f>IF(B177&gt;$AJ$2,0,HLOOKUP(YEAR(A177),Assumptions!$A$25:$AL$29,4,TRUE)/100)</f>
        <v>0</v>
      </c>
      <c r="AD177">
        <f t="shared" si="124"/>
        <v>0</v>
      </c>
      <c r="AE177">
        <f t="shared" si="125"/>
        <v>0</v>
      </c>
      <c r="AF177">
        <f t="shared" si="126"/>
        <v>0</v>
      </c>
      <c r="AG177">
        <f t="shared" si="127"/>
        <v>0</v>
      </c>
      <c r="AH177">
        <f t="shared" si="128"/>
        <v>0</v>
      </c>
      <c r="AI177">
        <f t="shared" si="129"/>
        <v>0</v>
      </c>
      <c r="AJ177">
        <f t="shared" si="130"/>
        <v>0</v>
      </c>
      <c r="AK177">
        <f t="shared" si="131"/>
        <v>0</v>
      </c>
      <c r="AL177">
        <f t="shared" si="132"/>
        <v>0</v>
      </c>
      <c r="AM177">
        <f t="shared" si="111"/>
        <v>0</v>
      </c>
      <c r="AN177">
        <f>IF($S$2=0,0,(SUMPRODUCT($K$2:$R$2,Assumptions!$B$34:$I$34)/$U$2+$J$2/$U$2*Assumptions!$A$34*G177)*K177*O176)</f>
        <v>0</v>
      </c>
      <c r="AO177">
        <f t="shared" si="133"/>
        <v>0</v>
      </c>
      <c r="AP177">
        <f t="shared" si="134"/>
        <v>0</v>
      </c>
      <c r="AQ177">
        <f>IF(B177&gt;$AJ$2,0,AQ176*(1+Assumptions!$B$43)^(1/12))</f>
        <v>0</v>
      </c>
      <c r="AR177" s="27">
        <f>IF(B177&gt;$AJ$2,0,(O176+R176)*Assumptions!$B$39/12*AQ176+AV177*Assumptions!$B$41/12)</f>
        <v>0</v>
      </c>
      <c r="AS177">
        <f t="shared" si="135"/>
        <v>0</v>
      </c>
      <c r="AT177" s="28">
        <f t="shared" si="136"/>
        <v>0</v>
      </c>
      <c r="AU177">
        <f t="shared" si="137"/>
        <v>0</v>
      </c>
      <c r="AV177" s="28">
        <f t="shared" si="138"/>
        <v>0</v>
      </c>
      <c r="AW177" s="28">
        <f t="shared" si="139"/>
        <v>0</v>
      </c>
      <c r="AX177" s="23">
        <f>HLOOKUP(YEAR(A177),Assumptions!$A$25:$AL$29,2,TRUE)/100</f>
        <v>1.2891999999999999E-2</v>
      </c>
      <c r="AY177" s="29">
        <f>1/(1+HLOOKUP(YEAR(A177),Assumptions!$A$18:$AL$20,3,TRUE))^(1/12)</f>
        <v>0.99893556799642025</v>
      </c>
      <c r="AZ177" s="26">
        <f t="shared" si="140"/>
        <v>0</v>
      </c>
      <c r="BA177">
        <f t="shared" si="141"/>
        <v>0</v>
      </c>
      <c r="BB177">
        <f t="shared" si="142"/>
        <v>0</v>
      </c>
      <c r="BC177">
        <f t="shared" si="143"/>
        <v>0</v>
      </c>
    </row>
    <row r="178" spans="1:55" x14ac:dyDescent="0.2">
      <c r="A178" s="3">
        <f t="shared" si="112"/>
        <v>48182</v>
      </c>
      <c r="B178">
        <f t="shared" si="104"/>
        <v>180</v>
      </c>
      <c r="C178">
        <f t="shared" si="151"/>
        <v>14.916666666666666</v>
      </c>
      <c r="D178">
        <f t="shared" si="152"/>
        <v>0</v>
      </c>
      <c r="E178">
        <f t="shared" si="105"/>
        <v>70</v>
      </c>
      <c r="F178">
        <f>IF(C178&gt;=$T$2,0,VLOOKUP($E178,'Mortality Table'!$A$3:$C$128,2+AF$2,FALSE))</f>
        <v>0</v>
      </c>
      <c r="G178">
        <f>F178*Assumptions!$B$1</f>
        <v>0</v>
      </c>
      <c r="H178">
        <f t="shared" si="113"/>
        <v>0</v>
      </c>
      <c r="I178">
        <f t="shared" si="146"/>
        <v>0</v>
      </c>
      <c r="J178">
        <f>IF(B178&gt;$AJ$2,0,HLOOKUP(C178,Assumptions!$A$6:$J$7,2,TRUE))</f>
        <v>0</v>
      </c>
      <c r="K178" s="4">
        <f t="shared" si="147"/>
        <v>0</v>
      </c>
      <c r="L178" s="4">
        <f t="shared" si="114"/>
        <v>0</v>
      </c>
      <c r="M178" s="4">
        <f t="shared" si="148"/>
        <v>0</v>
      </c>
      <c r="N178">
        <f t="shared" si="115"/>
        <v>0</v>
      </c>
      <c r="O178" s="21">
        <f t="shared" si="149"/>
        <v>0</v>
      </c>
      <c r="P178">
        <f>IF(B178&gt;$AJ$2,0,HLOOKUP(C178,Assumptions!$A$12:$J$13,2,TRUE))</f>
        <v>0</v>
      </c>
      <c r="Q178">
        <f t="shared" si="150"/>
        <v>0</v>
      </c>
      <c r="R178">
        <f t="shared" si="116"/>
        <v>0</v>
      </c>
      <c r="S178">
        <f t="shared" si="144"/>
        <v>0</v>
      </c>
      <c r="T178">
        <f t="shared" si="145"/>
        <v>0</v>
      </c>
      <c r="U178">
        <f t="shared" si="117"/>
        <v>0</v>
      </c>
      <c r="V178">
        <f t="shared" si="118"/>
        <v>0</v>
      </c>
      <c r="W178">
        <f t="shared" si="119"/>
        <v>0</v>
      </c>
      <c r="X178">
        <f t="shared" si="110"/>
        <v>0</v>
      </c>
      <c r="Y178">
        <f t="shared" si="120"/>
        <v>0</v>
      </c>
      <c r="Z178">
        <f t="shared" si="121"/>
        <v>0</v>
      </c>
      <c r="AA178">
        <f t="shared" si="122"/>
        <v>0</v>
      </c>
      <c r="AB178">
        <f t="shared" si="123"/>
        <v>0</v>
      </c>
      <c r="AC178" s="23">
        <f>IF(B178&gt;$AJ$2,0,HLOOKUP(YEAR(A178),Assumptions!$A$25:$AL$29,4,TRUE)/100)</f>
        <v>0</v>
      </c>
      <c r="AD178">
        <f t="shared" si="124"/>
        <v>0</v>
      </c>
      <c r="AE178">
        <f t="shared" si="125"/>
        <v>0</v>
      </c>
      <c r="AF178">
        <f t="shared" si="126"/>
        <v>0</v>
      </c>
      <c r="AG178">
        <f t="shared" si="127"/>
        <v>0</v>
      </c>
      <c r="AH178">
        <f t="shared" si="128"/>
        <v>0</v>
      </c>
      <c r="AI178">
        <f t="shared" si="129"/>
        <v>0</v>
      </c>
      <c r="AJ178">
        <f t="shared" si="130"/>
        <v>0</v>
      </c>
      <c r="AK178">
        <f t="shared" si="131"/>
        <v>0</v>
      </c>
      <c r="AL178">
        <f t="shared" si="132"/>
        <v>0</v>
      </c>
      <c r="AM178">
        <f t="shared" si="111"/>
        <v>0</v>
      </c>
      <c r="AN178">
        <f>IF($S$2=0,0,(SUMPRODUCT($K$2:$R$2,Assumptions!$B$34:$I$34)/$U$2+$J$2/$U$2*Assumptions!$A$34*G178)*K178*O177)</f>
        <v>0</v>
      </c>
      <c r="AO178">
        <f t="shared" si="133"/>
        <v>0</v>
      </c>
      <c r="AP178">
        <f t="shared" si="134"/>
        <v>0</v>
      </c>
      <c r="AQ178">
        <f>IF(B178&gt;$AJ$2,0,AQ177*(1+Assumptions!$B$43)^(1/12))</f>
        <v>0</v>
      </c>
      <c r="AR178" s="27">
        <f>IF(B178&gt;$AJ$2,0,(O177+R177)*Assumptions!$B$39/12*AQ177+AV178*Assumptions!$B$41/12)</f>
        <v>0</v>
      </c>
      <c r="AS178">
        <f t="shared" si="135"/>
        <v>0</v>
      </c>
      <c r="AT178" s="28">
        <f t="shared" si="136"/>
        <v>0</v>
      </c>
      <c r="AU178">
        <f t="shared" si="137"/>
        <v>0</v>
      </c>
      <c r="AV178" s="28">
        <f t="shared" si="138"/>
        <v>0</v>
      </c>
      <c r="AW178" s="28">
        <f t="shared" si="139"/>
        <v>0</v>
      </c>
      <c r="AX178" s="23">
        <f>HLOOKUP(YEAR(A178),Assumptions!$A$25:$AL$29,2,TRUE)/100</f>
        <v>1.2891999999999999E-2</v>
      </c>
      <c r="AY178" s="29">
        <f>1/(1+HLOOKUP(YEAR(A178),Assumptions!$A$18:$AL$20,3,TRUE))^(1/12)</f>
        <v>0.99893556799642025</v>
      </c>
      <c r="AZ178" s="26">
        <f t="shared" si="140"/>
        <v>0</v>
      </c>
      <c r="BA178">
        <f t="shared" si="141"/>
        <v>0</v>
      </c>
      <c r="BB178">
        <f t="shared" si="142"/>
        <v>0</v>
      </c>
      <c r="BC178">
        <f t="shared" si="143"/>
        <v>0</v>
      </c>
    </row>
    <row r="179" spans="1:55" x14ac:dyDescent="0.2">
      <c r="A179" s="3">
        <f t="shared" si="112"/>
        <v>48213</v>
      </c>
      <c r="B179">
        <f t="shared" si="104"/>
        <v>181</v>
      </c>
      <c r="C179">
        <f t="shared" si="151"/>
        <v>15</v>
      </c>
      <c r="D179">
        <f t="shared" si="152"/>
        <v>1</v>
      </c>
      <c r="E179">
        <f t="shared" si="105"/>
        <v>71</v>
      </c>
      <c r="F179">
        <f>IF(C179&gt;=$T$2,0,VLOOKUP($E179,'Mortality Table'!$A$3:$C$128,2+AF$2,FALSE))</f>
        <v>0</v>
      </c>
      <c r="G179">
        <f>F179*Assumptions!$B$1</f>
        <v>0</v>
      </c>
      <c r="H179">
        <f t="shared" si="113"/>
        <v>0</v>
      </c>
      <c r="I179">
        <f t="shared" si="146"/>
        <v>0</v>
      </c>
      <c r="J179">
        <f>IF(B179&gt;$AJ$2,0,HLOOKUP(C179,Assumptions!$A$6:$J$7,2,TRUE))</f>
        <v>0</v>
      </c>
      <c r="K179" s="4">
        <f t="shared" si="147"/>
        <v>0</v>
      </c>
      <c r="L179" s="4">
        <f t="shared" si="114"/>
        <v>0</v>
      </c>
      <c r="M179" s="4">
        <f t="shared" si="148"/>
        <v>0</v>
      </c>
      <c r="N179">
        <f t="shared" si="115"/>
        <v>0</v>
      </c>
      <c r="O179" s="21">
        <f t="shared" si="149"/>
        <v>0</v>
      </c>
      <c r="P179">
        <f>IF(B179&gt;$AJ$2,0,HLOOKUP(C179,Assumptions!$A$12:$J$13,2,TRUE))</f>
        <v>0</v>
      </c>
      <c r="Q179">
        <f t="shared" si="150"/>
        <v>0</v>
      </c>
      <c r="R179">
        <f t="shared" si="116"/>
        <v>0</v>
      </c>
      <c r="S179">
        <f t="shared" si="144"/>
        <v>0</v>
      </c>
      <c r="T179">
        <f t="shared" si="145"/>
        <v>0</v>
      </c>
      <c r="U179">
        <f t="shared" si="117"/>
        <v>0</v>
      </c>
      <c r="V179">
        <f t="shared" si="118"/>
        <v>0</v>
      </c>
      <c r="W179">
        <f t="shared" si="119"/>
        <v>0</v>
      </c>
      <c r="X179">
        <f t="shared" si="110"/>
        <v>0</v>
      </c>
      <c r="Y179">
        <f t="shared" si="120"/>
        <v>0</v>
      </c>
      <c r="Z179">
        <f t="shared" si="121"/>
        <v>0</v>
      </c>
      <c r="AA179">
        <f t="shared" si="122"/>
        <v>0</v>
      </c>
      <c r="AB179">
        <f t="shared" si="123"/>
        <v>0</v>
      </c>
      <c r="AC179" s="23">
        <f>IF(B179&gt;$AJ$2,0,HLOOKUP(YEAR(A179),Assumptions!$A$25:$AL$29,4,TRUE)/100)</f>
        <v>0</v>
      </c>
      <c r="AD179">
        <f t="shared" si="124"/>
        <v>0</v>
      </c>
      <c r="AE179">
        <f t="shared" si="125"/>
        <v>0</v>
      </c>
      <c r="AF179">
        <f t="shared" si="126"/>
        <v>0</v>
      </c>
      <c r="AG179">
        <f t="shared" si="127"/>
        <v>0</v>
      </c>
      <c r="AH179">
        <f t="shared" si="128"/>
        <v>0</v>
      </c>
      <c r="AI179">
        <f t="shared" si="129"/>
        <v>0</v>
      </c>
      <c r="AJ179">
        <f t="shared" si="130"/>
        <v>0</v>
      </c>
      <c r="AK179">
        <f t="shared" si="131"/>
        <v>0</v>
      </c>
      <c r="AL179">
        <f t="shared" si="132"/>
        <v>0</v>
      </c>
      <c r="AM179">
        <f t="shared" si="111"/>
        <v>0</v>
      </c>
      <c r="AN179">
        <f>IF($S$2=0,0,(SUMPRODUCT($K$2:$R$2,Assumptions!$B$34:$I$34)/$U$2+$J$2/$U$2*Assumptions!$A$34*G179)*K179*O178)</f>
        <v>0</v>
      </c>
      <c r="AO179">
        <f t="shared" si="133"/>
        <v>0</v>
      </c>
      <c r="AP179">
        <f t="shared" si="134"/>
        <v>0</v>
      </c>
      <c r="AQ179">
        <f>IF(B179&gt;$AJ$2,0,AQ178*(1+Assumptions!$B$43)^(1/12))</f>
        <v>0</v>
      </c>
      <c r="AR179" s="27">
        <f>IF(B179&gt;$AJ$2,0,(O178+R178)*Assumptions!$B$39/12*AQ178+AV179*Assumptions!$B$41/12)</f>
        <v>0</v>
      </c>
      <c r="AS179">
        <f t="shared" si="135"/>
        <v>0</v>
      </c>
      <c r="AT179" s="28">
        <f t="shared" si="136"/>
        <v>0</v>
      </c>
      <c r="AU179">
        <f t="shared" si="137"/>
        <v>0</v>
      </c>
      <c r="AV179" s="28">
        <f t="shared" si="138"/>
        <v>0</v>
      </c>
      <c r="AW179" s="28">
        <f t="shared" si="139"/>
        <v>0</v>
      </c>
      <c r="AX179" s="23">
        <f>HLOOKUP(YEAR(A179),Assumptions!$A$25:$AL$29,2,TRUE)/100</f>
        <v>1.2891999999999999E-2</v>
      </c>
      <c r="AY179" s="29">
        <f>1/(1+HLOOKUP(YEAR(A179),Assumptions!$A$18:$AL$20,3,TRUE))^(1/12)</f>
        <v>0.99893556799642025</v>
      </c>
      <c r="AZ179" s="26">
        <f t="shared" si="140"/>
        <v>0</v>
      </c>
      <c r="BA179">
        <f t="shared" si="141"/>
        <v>0</v>
      </c>
      <c r="BB179">
        <f t="shared" si="142"/>
        <v>0</v>
      </c>
      <c r="BC179">
        <f t="shared" si="143"/>
        <v>0</v>
      </c>
    </row>
    <row r="180" spans="1:55" x14ac:dyDescent="0.2">
      <c r="A180" s="3">
        <f t="shared" si="112"/>
        <v>48244</v>
      </c>
      <c r="B180">
        <f t="shared" si="104"/>
        <v>182</v>
      </c>
      <c r="C180">
        <f t="shared" si="151"/>
        <v>15.083333333333332</v>
      </c>
      <c r="D180">
        <f t="shared" si="152"/>
        <v>0</v>
      </c>
      <c r="E180">
        <f t="shared" si="105"/>
        <v>71</v>
      </c>
      <c r="F180">
        <f>IF(C180&gt;=$T$2,0,VLOOKUP($E180,'Mortality Table'!$A$3:$C$128,2+AF$2,FALSE))</f>
        <v>0</v>
      </c>
      <c r="G180">
        <f>F180*Assumptions!$B$1</f>
        <v>0</v>
      </c>
      <c r="H180">
        <f t="shared" si="113"/>
        <v>0</v>
      </c>
      <c r="I180">
        <f t="shared" si="146"/>
        <v>0</v>
      </c>
      <c r="J180">
        <f>IF(B180&gt;$AJ$2,0,HLOOKUP(C180,Assumptions!$A$6:$J$7,2,TRUE))</f>
        <v>0</v>
      </c>
      <c r="K180" s="4">
        <f t="shared" si="147"/>
        <v>0</v>
      </c>
      <c r="L180" s="4">
        <f t="shared" si="114"/>
        <v>0</v>
      </c>
      <c r="M180" s="4">
        <f t="shared" si="148"/>
        <v>0</v>
      </c>
      <c r="N180">
        <f t="shared" si="115"/>
        <v>0</v>
      </c>
      <c r="O180" s="21">
        <f t="shared" si="149"/>
        <v>0</v>
      </c>
      <c r="P180">
        <f>IF(B180&gt;$AJ$2,0,HLOOKUP(C180,Assumptions!$A$12:$J$13,2,TRUE))</f>
        <v>0</v>
      </c>
      <c r="Q180">
        <f t="shared" si="150"/>
        <v>0</v>
      </c>
      <c r="R180">
        <f t="shared" si="116"/>
        <v>0</v>
      </c>
      <c r="S180">
        <f t="shared" si="144"/>
        <v>0</v>
      </c>
      <c r="T180">
        <f t="shared" si="145"/>
        <v>0</v>
      </c>
      <c r="U180">
        <f t="shared" si="117"/>
        <v>0</v>
      </c>
      <c r="V180">
        <f t="shared" si="118"/>
        <v>0</v>
      </c>
      <c r="W180">
        <f t="shared" si="119"/>
        <v>0</v>
      </c>
      <c r="X180">
        <f t="shared" si="110"/>
        <v>0</v>
      </c>
      <c r="Y180">
        <f t="shared" si="120"/>
        <v>0</v>
      </c>
      <c r="Z180">
        <f t="shared" si="121"/>
        <v>0</v>
      </c>
      <c r="AA180">
        <f t="shared" si="122"/>
        <v>0</v>
      </c>
      <c r="AB180">
        <f t="shared" si="123"/>
        <v>0</v>
      </c>
      <c r="AC180" s="23">
        <f>IF(B180&gt;$AJ$2,0,HLOOKUP(YEAR(A180),Assumptions!$A$25:$AL$29,4,TRUE)/100)</f>
        <v>0</v>
      </c>
      <c r="AD180">
        <f t="shared" si="124"/>
        <v>0</v>
      </c>
      <c r="AE180">
        <f t="shared" si="125"/>
        <v>0</v>
      </c>
      <c r="AF180">
        <f t="shared" si="126"/>
        <v>0</v>
      </c>
      <c r="AG180">
        <f t="shared" si="127"/>
        <v>0</v>
      </c>
      <c r="AH180">
        <f t="shared" si="128"/>
        <v>0</v>
      </c>
      <c r="AI180">
        <f t="shared" si="129"/>
        <v>0</v>
      </c>
      <c r="AJ180">
        <f t="shared" si="130"/>
        <v>0</v>
      </c>
      <c r="AK180">
        <f t="shared" si="131"/>
        <v>0</v>
      </c>
      <c r="AL180">
        <f t="shared" si="132"/>
        <v>0</v>
      </c>
      <c r="AM180">
        <f t="shared" si="111"/>
        <v>0</v>
      </c>
      <c r="AN180">
        <f>IF($S$2=0,0,(SUMPRODUCT($K$2:$R$2,Assumptions!$B$34:$I$34)/$U$2+$J$2/$U$2*Assumptions!$A$34*G180)*K180*O179)</f>
        <v>0</v>
      </c>
      <c r="AO180">
        <f t="shared" si="133"/>
        <v>0</v>
      </c>
      <c r="AP180">
        <f t="shared" si="134"/>
        <v>0</v>
      </c>
      <c r="AQ180">
        <f>IF(B180&gt;$AJ$2,0,AQ179*(1+Assumptions!$B$43)^(1/12))</f>
        <v>0</v>
      </c>
      <c r="AR180" s="27">
        <f>IF(B180&gt;$AJ$2,0,(O179+R179)*Assumptions!$B$39/12*AQ179+AV180*Assumptions!$B$41/12)</f>
        <v>0</v>
      </c>
      <c r="AS180">
        <f t="shared" si="135"/>
        <v>0</v>
      </c>
      <c r="AT180" s="28">
        <f t="shared" si="136"/>
        <v>0</v>
      </c>
      <c r="AU180">
        <f t="shared" si="137"/>
        <v>0</v>
      </c>
      <c r="AV180" s="28">
        <f t="shared" si="138"/>
        <v>0</v>
      </c>
      <c r="AW180" s="28">
        <f t="shared" si="139"/>
        <v>0</v>
      </c>
      <c r="AX180" s="23">
        <f>HLOOKUP(YEAR(A180),Assumptions!$A$25:$AL$29,2,TRUE)/100</f>
        <v>1.2053000000000001E-2</v>
      </c>
      <c r="AY180" s="29">
        <f>1/(1+HLOOKUP(YEAR(A180),Assumptions!$A$18:$AL$20,3,TRUE))^(1/12)</f>
        <v>0.99893277367105238</v>
      </c>
      <c r="AZ180" s="26">
        <f t="shared" si="140"/>
        <v>0</v>
      </c>
      <c r="BA180">
        <f t="shared" si="141"/>
        <v>0</v>
      </c>
      <c r="BB180">
        <f t="shared" si="142"/>
        <v>0</v>
      </c>
      <c r="BC180">
        <f t="shared" si="143"/>
        <v>0</v>
      </c>
    </row>
    <row r="181" spans="1:55" x14ac:dyDescent="0.2">
      <c r="A181" s="3">
        <f t="shared" si="112"/>
        <v>48273</v>
      </c>
      <c r="B181">
        <f t="shared" si="104"/>
        <v>183</v>
      </c>
      <c r="C181">
        <f t="shared" si="151"/>
        <v>15.166666666666668</v>
      </c>
      <c r="D181">
        <f t="shared" si="152"/>
        <v>0</v>
      </c>
      <c r="E181">
        <f t="shared" si="105"/>
        <v>71</v>
      </c>
      <c r="F181">
        <f>IF(C181&gt;=$T$2,0,VLOOKUP($E181,'Mortality Table'!$A$3:$C$128,2+AF$2,FALSE))</f>
        <v>0</v>
      </c>
      <c r="G181">
        <f>F181*Assumptions!$B$1</f>
        <v>0</v>
      </c>
      <c r="H181">
        <f t="shared" si="113"/>
        <v>0</v>
      </c>
      <c r="I181">
        <f t="shared" si="146"/>
        <v>0</v>
      </c>
      <c r="J181">
        <f>IF(B181&gt;$AJ$2,0,HLOOKUP(C181,Assumptions!$A$6:$J$7,2,TRUE))</f>
        <v>0</v>
      </c>
      <c r="K181" s="4">
        <f t="shared" si="147"/>
        <v>0</v>
      </c>
      <c r="L181" s="4">
        <f t="shared" si="114"/>
        <v>0</v>
      </c>
      <c r="M181" s="4">
        <f t="shared" si="148"/>
        <v>0</v>
      </c>
      <c r="N181">
        <f t="shared" si="115"/>
        <v>0</v>
      </c>
      <c r="O181" s="21">
        <f t="shared" si="149"/>
        <v>0</v>
      </c>
      <c r="P181">
        <f>IF(B181&gt;$AJ$2,0,HLOOKUP(C181,Assumptions!$A$12:$J$13,2,TRUE))</f>
        <v>0</v>
      </c>
      <c r="Q181">
        <f t="shared" si="150"/>
        <v>0</v>
      </c>
      <c r="R181">
        <f t="shared" si="116"/>
        <v>0</v>
      </c>
      <c r="S181">
        <f t="shared" si="144"/>
        <v>0</v>
      </c>
      <c r="T181">
        <f t="shared" si="145"/>
        <v>0</v>
      </c>
      <c r="U181">
        <f t="shared" si="117"/>
        <v>0</v>
      </c>
      <c r="V181">
        <f t="shared" si="118"/>
        <v>0</v>
      </c>
      <c r="W181">
        <f t="shared" si="119"/>
        <v>0</v>
      </c>
      <c r="X181">
        <f t="shared" si="110"/>
        <v>0</v>
      </c>
      <c r="Y181">
        <f t="shared" si="120"/>
        <v>0</v>
      </c>
      <c r="Z181">
        <f t="shared" si="121"/>
        <v>0</v>
      </c>
      <c r="AA181">
        <f t="shared" si="122"/>
        <v>0</v>
      </c>
      <c r="AB181">
        <f t="shared" si="123"/>
        <v>0</v>
      </c>
      <c r="AC181" s="23">
        <f>IF(B181&gt;$AJ$2,0,HLOOKUP(YEAR(A181),Assumptions!$A$25:$AL$29,4,TRUE)/100)</f>
        <v>0</v>
      </c>
      <c r="AD181">
        <f t="shared" si="124"/>
        <v>0</v>
      </c>
      <c r="AE181">
        <f t="shared" si="125"/>
        <v>0</v>
      </c>
      <c r="AF181">
        <f t="shared" si="126"/>
        <v>0</v>
      </c>
      <c r="AG181">
        <f t="shared" si="127"/>
        <v>0</v>
      </c>
      <c r="AH181">
        <f t="shared" si="128"/>
        <v>0</v>
      </c>
      <c r="AI181">
        <f t="shared" si="129"/>
        <v>0</v>
      </c>
      <c r="AJ181">
        <f t="shared" si="130"/>
        <v>0</v>
      </c>
      <c r="AK181">
        <f t="shared" si="131"/>
        <v>0</v>
      </c>
      <c r="AL181">
        <f t="shared" si="132"/>
        <v>0</v>
      </c>
      <c r="AM181">
        <f t="shared" si="111"/>
        <v>0</v>
      </c>
      <c r="AN181">
        <f>IF($S$2=0,0,(SUMPRODUCT($K$2:$R$2,Assumptions!$B$34:$I$34)/$U$2+$J$2/$U$2*Assumptions!$A$34*G181)*K181*O180)</f>
        <v>0</v>
      </c>
      <c r="AO181">
        <f t="shared" si="133"/>
        <v>0</v>
      </c>
      <c r="AP181">
        <f t="shared" si="134"/>
        <v>0</v>
      </c>
      <c r="AQ181">
        <f>IF(B181&gt;$AJ$2,0,AQ180*(1+Assumptions!$B$43)^(1/12))</f>
        <v>0</v>
      </c>
      <c r="AR181" s="27">
        <f>IF(B181&gt;$AJ$2,0,(O180+R180)*Assumptions!$B$39/12*AQ180+AV181*Assumptions!$B$41/12)</f>
        <v>0</v>
      </c>
      <c r="AS181">
        <f t="shared" si="135"/>
        <v>0</v>
      </c>
      <c r="AT181" s="28">
        <f t="shared" si="136"/>
        <v>0</v>
      </c>
      <c r="AU181">
        <f t="shared" si="137"/>
        <v>0</v>
      </c>
      <c r="AV181" s="28">
        <f t="shared" si="138"/>
        <v>0</v>
      </c>
      <c r="AW181" s="28">
        <f t="shared" si="139"/>
        <v>0</v>
      </c>
      <c r="AX181" s="23">
        <f>HLOOKUP(YEAR(A181),Assumptions!$A$25:$AL$29,2,TRUE)/100</f>
        <v>1.2053000000000001E-2</v>
      </c>
      <c r="AY181" s="29">
        <f>1/(1+HLOOKUP(YEAR(A181),Assumptions!$A$18:$AL$20,3,TRUE))^(1/12)</f>
        <v>0.99893277367105238</v>
      </c>
      <c r="AZ181" s="26">
        <f t="shared" si="140"/>
        <v>0</v>
      </c>
      <c r="BA181">
        <f t="shared" si="141"/>
        <v>0</v>
      </c>
      <c r="BB181">
        <f t="shared" si="142"/>
        <v>0</v>
      </c>
      <c r="BC181">
        <f t="shared" si="143"/>
        <v>0</v>
      </c>
    </row>
    <row r="182" spans="1:55" x14ac:dyDescent="0.2">
      <c r="A182" s="3">
        <f t="shared" si="112"/>
        <v>48304</v>
      </c>
      <c r="B182">
        <f t="shared" si="104"/>
        <v>184</v>
      </c>
      <c r="C182">
        <f t="shared" si="151"/>
        <v>15.25</v>
      </c>
      <c r="D182">
        <f t="shared" si="152"/>
        <v>0</v>
      </c>
      <c r="E182">
        <f t="shared" si="105"/>
        <v>71</v>
      </c>
      <c r="F182">
        <f>IF(C182&gt;=$T$2,0,VLOOKUP($E182,'Mortality Table'!$A$3:$C$128,2+AF$2,FALSE))</f>
        <v>0</v>
      </c>
      <c r="G182">
        <f>F182*Assumptions!$B$1</f>
        <v>0</v>
      </c>
      <c r="H182">
        <f t="shared" si="113"/>
        <v>0</v>
      </c>
      <c r="I182">
        <f t="shared" si="146"/>
        <v>0</v>
      </c>
      <c r="J182">
        <f>IF(B182&gt;$AJ$2,0,HLOOKUP(C182,Assumptions!$A$6:$J$7,2,TRUE))</f>
        <v>0</v>
      </c>
      <c r="K182" s="4">
        <f t="shared" si="147"/>
        <v>0</v>
      </c>
      <c r="L182" s="4">
        <f t="shared" si="114"/>
        <v>0</v>
      </c>
      <c r="M182" s="4">
        <f t="shared" si="148"/>
        <v>0</v>
      </c>
      <c r="N182">
        <f t="shared" si="115"/>
        <v>0</v>
      </c>
      <c r="O182" s="21">
        <f t="shared" si="149"/>
        <v>0</v>
      </c>
      <c r="P182">
        <f>IF(B182&gt;$AJ$2,0,HLOOKUP(C182,Assumptions!$A$12:$J$13,2,TRUE))</f>
        <v>0</v>
      </c>
      <c r="Q182">
        <f t="shared" si="150"/>
        <v>0</v>
      </c>
      <c r="R182">
        <f t="shared" si="116"/>
        <v>0</v>
      </c>
      <c r="S182">
        <f t="shared" si="144"/>
        <v>0</v>
      </c>
      <c r="T182">
        <f t="shared" si="145"/>
        <v>0</v>
      </c>
      <c r="U182">
        <f t="shared" si="117"/>
        <v>0</v>
      </c>
      <c r="V182">
        <f t="shared" si="118"/>
        <v>0</v>
      </c>
      <c r="W182">
        <f t="shared" si="119"/>
        <v>0</v>
      </c>
      <c r="X182">
        <f t="shared" si="110"/>
        <v>0</v>
      </c>
      <c r="Y182">
        <f t="shared" si="120"/>
        <v>0</v>
      </c>
      <c r="Z182">
        <f t="shared" si="121"/>
        <v>0</v>
      </c>
      <c r="AA182">
        <f t="shared" si="122"/>
        <v>0</v>
      </c>
      <c r="AB182">
        <f t="shared" si="123"/>
        <v>0</v>
      </c>
      <c r="AC182" s="23">
        <f>IF(B182&gt;$AJ$2,0,HLOOKUP(YEAR(A182),Assumptions!$A$25:$AL$29,4,TRUE)/100)</f>
        <v>0</v>
      </c>
      <c r="AD182">
        <f t="shared" si="124"/>
        <v>0</v>
      </c>
      <c r="AE182">
        <f t="shared" si="125"/>
        <v>0</v>
      </c>
      <c r="AF182">
        <f t="shared" si="126"/>
        <v>0</v>
      </c>
      <c r="AG182">
        <f t="shared" si="127"/>
        <v>0</v>
      </c>
      <c r="AH182">
        <f t="shared" si="128"/>
        <v>0</v>
      </c>
      <c r="AI182">
        <f t="shared" si="129"/>
        <v>0</v>
      </c>
      <c r="AJ182">
        <f t="shared" si="130"/>
        <v>0</v>
      </c>
      <c r="AK182">
        <f t="shared" si="131"/>
        <v>0</v>
      </c>
      <c r="AL182">
        <f t="shared" si="132"/>
        <v>0</v>
      </c>
      <c r="AM182">
        <f t="shared" si="111"/>
        <v>0</v>
      </c>
      <c r="AN182">
        <f>IF($S$2=0,0,(SUMPRODUCT($K$2:$R$2,Assumptions!$B$34:$I$34)/$U$2+$J$2/$U$2*Assumptions!$A$34*G182)*K182*O181)</f>
        <v>0</v>
      </c>
      <c r="AO182">
        <f t="shared" si="133"/>
        <v>0</v>
      </c>
      <c r="AP182">
        <f t="shared" si="134"/>
        <v>0</v>
      </c>
      <c r="AQ182">
        <f>IF(B182&gt;$AJ$2,0,AQ181*(1+Assumptions!$B$43)^(1/12))</f>
        <v>0</v>
      </c>
      <c r="AR182" s="27">
        <f>IF(B182&gt;$AJ$2,0,(O181+R181)*Assumptions!$B$39/12*AQ181+AV182*Assumptions!$B$41/12)</f>
        <v>0</v>
      </c>
      <c r="AS182">
        <f t="shared" si="135"/>
        <v>0</v>
      </c>
      <c r="AT182" s="28">
        <f t="shared" si="136"/>
        <v>0</v>
      </c>
      <c r="AU182">
        <f t="shared" si="137"/>
        <v>0</v>
      </c>
      <c r="AV182" s="28">
        <f t="shared" si="138"/>
        <v>0</v>
      </c>
      <c r="AW182" s="28">
        <f t="shared" si="139"/>
        <v>0</v>
      </c>
      <c r="AX182" s="23">
        <f>HLOOKUP(YEAR(A182),Assumptions!$A$25:$AL$29,2,TRUE)/100</f>
        <v>1.2053000000000001E-2</v>
      </c>
      <c r="AY182" s="29">
        <f>1/(1+HLOOKUP(YEAR(A182),Assumptions!$A$18:$AL$20,3,TRUE))^(1/12)</f>
        <v>0.99893277367105238</v>
      </c>
      <c r="AZ182" s="26">
        <f t="shared" si="140"/>
        <v>0</v>
      </c>
      <c r="BA182">
        <f t="shared" si="141"/>
        <v>0</v>
      </c>
      <c r="BB182">
        <f t="shared" si="142"/>
        <v>0</v>
      </c>
      <c r="BC182">
        <f t="shared" si="143"/>
        <v>0</v>
      </c>
    </row>
    <row r="183" spans="1:55" x14ac:dyDescent="0.2">
      <c r="A183" s="3">
        <f t="shared" si="112"/>
        <v>48334</v>
      </c>
      <c r="B183">
        <f t="shared" si="104"/>
        <v>185</v>
      </c>
      <c r="C183">
        <f t="shared" si="151"/>
        <v>15.333333333333332</v>
      </c>
      <c r="D183">
        <f t="shared" si="152"/>
        <v>0</v>
      </c>
      <c r="E183">
        <f t="shared" si="105"/>
        <v>71</v>
      </c>
      <c r="F183">
        <f>IF(C183&gt;=$T$2,0,VLOOKUP($E183,'Mortality Table'!$A$3:$C$128,2+AF$2,FALSE))</f>
        <v>0</v>
      </c>
      <c r="G183">
        <f>F183*Assumptions!$B$1</f>
        <v>0</v>
      </c>
      <c r="H183">
        <f t="shared" si="113"/>
        <v>0</v>
      </c>
      <c r="I183">
        <f t="shared" si="146"/>
        <v>0</v>
      </c>
      <c r="J183">
        <f>IF(B183&gt;$AJ$2,0,HLOOKUP(C183,Assumptions!$A$6:$J$7,2,TRUE))</f>
        <v>0</v>
      </c>
      <c r="K183" s="4">
        <f t="shared" si="147"/>
        <v>0</v>
      </c>
      <c r="L183" s="4">
        <f t="shared" si="114"/>
        <v>0</v>
      </c>
      <c r="M183" s="4">
        <f t="shared" si="148"/>
        <v>0</v>
      </c>
      <c r="N183">
        <f t="shared" si="115"/>
        <v>0</v>
      </c>
      <c r="O183" s="21">
        <f t="shared" si="149"/>
        <v>0</v>
      </c>
      <c r="P183">
        <f>IF(B183&gt;$AJ$2,0,HLOOKUP(C183,Assumptions!$A$12:$J$13,2,TRUE))</f>
        <v>0</v>
      </c>
      <c r="Q183">
        <f t="shared" si="150"/>
        <v>0</v>
      </c>
      <c r="R183">
        <f t="shared" si="116"/>
        <v>0</v>
      </c>
      <c r="S183">
        <f t="shared" si="144"/>
        <v>0</v>
      </c>
      <c r="T183">
        <f t="shared" si="145"/>
        <v>0</v>
      </c>
      <c r="U183">
        <f t="shared" si="117"/>
        <v>0</v>
      </c>
      <c r="V183">
        <f t="shared" si="118"/>
        <v>0</v>
      </c>
      <c r="W183">
        <f t="shared" si="119"/>
        <v>0</v>
      </c>
      <c r="X183">
        <f t="shared" si="110"/>
        <v>0</v>
      </c>
      <c r="Y183">
        <f t="shared" si="120"/>
        <v>0</v>
      </c>
      <c r="Z183">
        <f t="shared" si="121"/>
        <v>0</v>
      </c>
      <c r="AA183">
        <f t="shared" si="122"/>
        <v>0</v>
      </c>
      <c r="AB183">
        <f t="shared" si="123"/>
        <v>0</v>
      </c>
      <c r="AC183" s="23">
        <f>IF(B183&gt;$AJ$2,0,HLOOKUP(YEAR(A183),Assumptions!$A$25:$AL$29,4,TRUE)/100)</f>
        <v>0</v>
      </c>
      <c r="AD183">
        <f t="shared" si="124"/>
        <v>0</v>
      </c>
      <c r="AE183">
        <f t="shared" si="125"/>
        <v>0</v>
      </c>
      <c r="AF183">
        <f t="shared" si="126"/>
        <v>0</v>
      </c>
      <c r="AG183">
        <f t="shared" si="127"/>
        <v>0</v>
      </c>
      <c r="AH183">
        <f t="shared" si="128"/>
        <v>0</v>
      </c>
      <c r="AI183">
        <f t="shared" si="129"/>
        <v>0</v>
      </c>
      <c r="AJ183">
        <f t="shared" si="130"/>
        <v>0</v>
      </c>
      <c r="AK183">
        <f t="shared" si="131"/>
        <v>0</v>
      </c>
      <c r="AL183">
        <f t="shared" si="132"/>
        <v>0</v>
      </c>
      <c r="AM183">
        <f t="shared" si="111"/>
        <v>0</v>
      </c>
      <c r="AN183">
        <f>IF($S$2=0,0,(SUMPRODUCT($K$2:$R$2,Assumptions!$B$34:$I$34)/$U$2+$J$2/$U$2*Assumptions!$A$34*G183)*K183*O182)</f>
        <v>0</v>
      </c>
      <c r="AO183">
        <f t="shared" si="133"/>
        <v>0</v>
      </c>
      <c r="AP183">
        <f t="shared" si="134"/>
        <v>0</v>
      </c>
      <c r="AQ183">
        <f>IF(B183&gt;$AJ$2,0,AQ182*(1+Assumptions!$B$43)^(1/12))</f>
        <v>0</v>
      </c>
      <c r="AR183" s="27">
        <f>IF(B183&gt;$AJ$2,0,(O182+R182)*Assumptions!$B$39/12*AQ182+AV183*Assumptions!$B$41/12)</f>
        <v>0</v>
      </c>
      <c r="AS183">
        <f t="shared" si="135"/>
        <v>0</v>
      </c>
      <c r="AT183" s="28">
        <f t="shared" si="136"/>
        <v>0</v>
      </c>
      <c r="AU183">
        <f t="shared" si="137"/>
        <v>0</v>
      </c>
      <c r="AV183" s="28">
        <f t="shared" si="138"/>
        <v>0</v>
      </c>
      <c r="AW183" s="28">
        <f t="shared" si="139"/>
        <v>0</v>
      </c>
      <c r="AX183" s="23">
        <f>HLOOKUP(YEAR(A183),Assumptions!$A$25:$AL$29,2,TRUE)/100</f>
        <v>1.2053000000000001E-2</v>
      </c>
      <c r="AY183" s="29">
        <f>1/(1+HLOOKUP(YEAR(A183),Assumptions!$A$18:$AL$20,3,TRUE))^(1/12)</f>
        <v>0.99893277367105238</v>
      </c>
      <c r="AZ183" s="26">
        <f t="shared" si="140"/>
        <v>0</v>
      </c>
      <c r="BA183">
        <f t="shared" si="141"/>
        <v>0</v>
      </c>
      <c r="BB183">
        <f t="shared" si="142"/>
        <v>0</v>
      </c>
      <c r="BC183">
        <f t="shared" si="143"/>
        <v>0</v>
      </c>
    </row>
    <row r="184" spans="1:55" x14ac:dyDescent="0.2">
      <c r="A184" s="3">
        <f t="shared" si="112"/>
        <v>48365</v>
      </c>
      <c r="B184">
        <f t="shared" si="104"/>
        <v>186</v>
      </c>
      <c r="C184">
        <f t="shared" si="151"/>
        <v>15.416666666666668</v>
      </c>
      <c r="D184">
        <f t="shared" si="152"/>
        <v>0</v>
      </c>
      <c r="E184">
        <f t="shared" si="105"/>
        <v>71</v>
      </c>
      <c r="F184">
        <f>IF(C184&gt;=$T$2,0,VLOOKUP($E184,'Mortality Table'!$A$3:$C$128,2+AF$2,FALSE))</f>
        <v>0</v>
      </c>
      <c r="G184">
        <f>F184*Assumptions!$B$1</f>
        <v>0</v>
      </c>
      <c r="H184">
        <f t="shared" si="113"/>
        <v>0</v>
      </c>
      <c r="I184">
        <f t="shared" si="146"/>
        <v>0</v>
      </c>
      <c r="J184">
        <f>IF(B184&gt;$AJ$2,0,HLOOKUP(C184,Assumptions!$A$6:$J$7,2,TRUE))</f>
        <v>0</v>
      </c>
      <c r="K184" s="4">
        <f t="shared" si="147"/>
        <v>0</v>
      </c>
      <c r="L184" s="4">
        <f t="shared" si="114"/>
        <v>0</v>
      </c>
      <c r="M184" s="4">
        <f t="shared" si="148"/>
        <v>0</v>
      </c>
      <c r="N184">
        <f t="shared" si="115"/>
        <v>0</v>
      </c>
      <c r="O184" s="21">
        <f t="shared" si="149"/>
        <v>0</v>
      </c>
      <c r="P184">
        <f>IF(B184&gt;$AJ$2,0,HLOOKUP(C184,Assumptions!$A$12:$J$13,2,TRUE))</f>
        <v>0</v>
      </c>
      <c r="Q184">
        <f t="shared" si="150"/>
        <v>0</v>
      </c>
      <c r="R184">
        <f t="shared" si="116"/>
        <v>0</v>
      </c>
      <c r="S184">
        <f t="shared" si="144"/>
        <v>0</v>
      </c>
      <c r="T184">
        <f t="shared" si="145"/>
        <v>0</v>
      </c>
      <c r="U184">
        <f t="shared" si="117"/>
        <v>0</v>
      </c>
      <c r="V184">
        <f t="shared" si="118"/>
        <v>0</v>
      </c>
      <c r="W184">
        <f t="shared" si="119"/>
        <v>0</v>
      </c>
      <c r="X184">
        <f t="shared" si="110"/>
        <v>0</v>
      </c>
      <c r="Y184">
        <f t="shared" si="120"/>
        <v>0</v>
      </c>
      <c r="Z184">
        <f t="shared" si="121"/>
        <v>0</v>
      </c>
      <c r="AA184">
        <f t="shared" si="122"/>
        <v>0</v>
      </c>
      <c r="AB184">
        <f t="shared" si="123"/>
        <v>0</v>
      </c>
      <c r="AC184" s="23">
        <f>IF(B184&gt;$AJ$2,0,HLOOKUP(YEAR(A184),Assumptions!$A$25:$AL$29,4,TRUE)/100)</f>
        <v>0</v>
      </c>
      <c r="AD184">
        <f t="shared" si="124"/>
        <v>0</v>
      </c>
      <c r="AE184">
        <f t="shared" si="125"/>
        <v>0</v>
      </c>
      <c r="AF184">
        <f t="shared" si="126"/>
        <v>0</v>
      </c>
      <c r="AG184">
        <f t="shared" si="127"/>
        <v>0</v>
      </c>
      <c r="AH184">
        <f t="shared" si="128"/>
        <v>0</v>
      </c>
      <c r="AI184">
        <f t="shared" si="129"/>
        <v>0</v>
      </c>
      <c r="AJ184">
        <f t="shared" si="130"/>
        <v>0</v>
      </c>
      <c r="AK184">
        <f t="shared" si="131"/>
        <v>0</v>
      </c>
      <c r="AL184">
        <f t="shared" si="132"/>
        <v>0</v>
      </c>
      <c r="AM184">
        <f t="shared" si="111"/>
        <v>0</v>
      </c>
      <c r="AN184">
        <f>IF($S$2=0,0,(SUMPRODUCT($K$2:$R$2,Assumptions!$B$34:$I$34)/$U$2+$J$2/$U$2*Assumptions!$A$34*G184)*K184*O183)</f>
        <v>0</v>
      </c>
      <c r="AO184">
        <f t="shared" si="133"/>
        <v>0</v>
      </c>
      <c r="AP184">
        <f t="shared" si="134"/>
        <v>0</v>
      </c>
      <c r="AQ184">
        <f>IF(B184&gt;$AJ$2,0,AQ183*(1+Assumptions!$B$43)^(1/12))</f>
        <v>0</v>
      </c>
      <c r="AR184" s="27">
        <f>IF(B184&gt;$AJ$2,0,(O183+R183)*Assumptions!$B$39/12*AQ183+AV184*Assumptions!$B$41/12)</f>
        <v>0</v>
      </c>
      <c r="AS184">
        <f t="shared" si="135"/>
        <v>0</v>
      </c>
      <c r="AT184" s="28">
        <f t="shared" si="136"/>
        <v>0</v>
      </c>
      <c r="AU184">
        <f t="shared" si="137"/>
        <v>0</v>
      </c>
      <c r="AV184" s="28">
        <f t="shared" si="138"/>
        <v>0</v>
      </c>
      <c r="AW184" s="28">
        <f t="shared" si="139"/>
        <v>0</v>
      </c>
      <c r="AX184" s="23">
        <f>HLOOKUP(YEAR(A184),Assumptions!$A$25:$AL$29,2,TRUE)/100</f>
        <v>1.2053000000000001E-2</v>
      </c>
      <c r="AY184" s="29">
        <f>1/(1+HLOOKUP(YEAR(A184),Assumptions!$A$18:$AL$20,3,TRUE))^(1/12)</f>
        <v>0.99893277367105238</v>
      </c>
      <c r="AZ184" s="26">
        <f t="shared" si="140"/>
        <v>0</v>
      </c>
      <c r="BA184">
        <f t="shared" si="141"/>
        <v>0</v>
      </c>
      <c r="BB184">
        <f t="shared" si="142"/>
        <v>0</v>
      </c>
      <c r="BC184">
        <f t="shared" si="143"/>
        <v>0</v>
      </c>
    </row>
    <row r="185" spans="1:55" x14ac:dyDescent="0.2">
      <c r="A185" s="3">
        <f t="shared" si="112"/>
        <v>48395</v>
      </c>
      <c r="B185">
        <f t="shared" si="104"/>
        <v>187</v>
      </c>
      <c r="C185">
        <f t="shared" si="151"/>
        <v>15.5</v>
      </c>
      <c r="D185">
        <f t="shared" si="152"/>
        <v>0</v>
      </c>
      <c r="E185">
        <f t="shared" si="105"/>
        <v>71</v>
      </c>
      <c r="F185">
        <f>IF(C185&gt;=$T$2,0,VLOOKUP($E185,'Mortality Table'!$A$3:$C$128,2+AF$2,FALSE))</f>
        <v>0</v>
      </c>
      <c r="G185">
        <f>F185*Assumptions!$B$1</f>
        <v>0</v>
      </c>
      <c r="H185">
        <f t="shared" si="113"/>
        <v>0</v>
      </c>
      <c r="I185">
        <f t="shared" si="146"/>
        <v>0</v>
      </c>
      <c r="J185">
        <f>IF(B185&gt;$AJ$2,0,HLOOKUP(C185,Assumptions!$A$6:$J$7,2,TRUE))</f>
        <v>0</v>
      </c>
      <c r="K185" s="4">
        <f t="shared" si="147"/>
        <v>0</v>
      </c>
      <c r="L185" s="4">
        <f t="shared" si="114"/>
        <v>0</v>
      </c>
      <c r="M185" s="4">
        <f t="shared" si="148"/>
        <v>0</v>
      </c>
      <c r="N185">
        <f t="shared" si="115"/>
        <v>0</v>
      </c>
      <c r="O185" s="21">
        <f t="shared" si="149"/>
        <v>0</v>
      </c>
      <c r="P185">
        <f>IF(B185&gt;$AJ$2,0,HLOOKUP(C185,Assumptions!$A$12:$J$13,2,TRUE))</f>
        <v>0</v>
      </c>
      <c r="Q185">
        <f t="shared" si="150"/>
        <v>0</v>
      </c>
      <c r="R185">
        <f t="shared" si="116"/>
        <v>0</v>
      </c>
      <c r="S185">
        <f t="shared" si="144"/>
        <v>0</v>
      </c>
      <c r="T185">
        <f t="shared" si="145"/>
        <v>0</v>
      </c>
      <c r="U185">
        <f t="shared" si="117"/>
        <v>0</v>
      </c>
      <c r="V185">
        <f t="shared" si="118"/>
        <v>0</v>
      </c>
      <c r="W185">
        <f t="shared" si="119"/>
        <v>0</v>
      </c>
      <c r="X185">
        <f t="shared" si="110"/>
        <v>0</v>
      </c>
      <c r="Y185">
        <f t="shared" si="120"/>
        <v>0</v>
      </c>
      <c r="Z185">
        <f t="shared" si="121"/>
        <v>0</v>
      </c>
      <c r="AA185">
        <f t="shared" si="122"/>
        <v>0</v>
      </c>
      <c r="AB185">
        <f t="shared" si="123"/>
        <v>0</v>
      </c>
      <c r="AC185" s="23">
        <f>IF(B185&gt;$AJ$2,0,HLOOKUP(YEAR(A185),Assumptions!$A$25:$AL$29,4,TRUE)/100)</f>
        <v>0</v>
      </c>
      <c r="AD185">
        <f t="shared" si="124"/>
        <v>0</v>
      </c>
      <c r="AE185">
        <f t="shared" si="125"/>
        <v>0</v>
      </c>
      <c r="AF185">
        <f t="shared" si="126"/>
        <v>0</v>
      </c>
      <c r="AG185">
        <f t="shared" si="127"/>
        <v>0</v>
      </c>
      <c r="AH185">
        <f t="shared" si="128"/>
        <v>0</v>
      </c>
      <c r="AI185">
        <f t="shared" si="129"/>
        <v>0</v>
      </c>
      <c r="AJ185">
        <f t="shared" si="130"/>
        <v>0</v>
      </c>
      <c r="AK185">
        <f t="shared" si="131"/>
        <v>0</v>
      </c>
      <c r="AL185">
        <f t="shared" si="132"/>
        <v>0</v>
      </c>
      <c r="AM185">
        <f t="shared" si="111"/>
        <v>0</v>
      </c>
      <c r="AN185">
        <f>IF($S$2=0,0,(SUMPRODUCT($K$2:$R$2,Assumptions!$B$34:$I$34)/$U$2+$J$2/$U$2*Assumptions!$A$34*G185)*K185*O184)</f>
        <v>0</v>
      </c>
      <c r="AO185">
        <f t="shared" si="133"/>
        <v>0</v>
      </c>
      <c r="AP185">
        <f t="shared" si="134"/>
        <v>0</v>
      </c>
      <c r="AQ185">
        <f>IF(B185&gt;$AJ$2,0,AQ184*(1+Assumptions!$B$43)^(1/12))</f>
        <v>0</v>
      </c>
      <c r="AR185" s="27">
        <f>IF(B185&gt;$AJ$2,0,(O184+R184)*Assumptions!$B$39/12*AQ184+AV185*Assumptions!$B$41/12)</f>
        <v>0</v>
      </c>
      <c r="AS185">
        <f t="shared" si="135"/>
        <v>0</v>
      </c>
      <c r="AT185" s="28">
        <f t="shared" si="136"/>
        <v>0</v>
      </c>
      <c r="AU185">
        <f t="shared" si="137"/>
        <v>0</v>
      </c>
      <c r="AV185" s="28">
        <f t="shared" si="138"/>
        <v>0</v>
      </c>
      <c r="AW185" s="28">
        <f t="shared" si="139"/>
        <v>0</v>
      </c>
      <c r="AX185" s="23">
        <f>HLOOKUP(YEAR(A185),Assumptions!$A$25:$AL$29,2,TRUE)/100</f>
        <v>1.2053000000000001E-2</v>
      </c>
      <c r="AY185" s="29">
        <f>1/(1+HLOOKUP(YEAR(A185),Assumptions!$A$18:$AL$20,3,TRUE))^(1/12)</f>
        <v>0.99893277367105238</v>
      </c>
      <c r="AZ185" s="26">
        <f t="shared" si="140"/>
        <v>0</v>
      </c>
      <c r="BA185">
        <f t="shared" si="141"/>
        <v>0</v>
      </c>
      <c r="BB185">
        <f t="shared" si="142"/>
        <v>0</v>
      </c>
      <c r="BC185">
        <f t="shared" si="143"/>
        <v>0</v>
      </c>
    </row>
    <row r="186" spans="1:55" x14ac:dyDescent="0.2">
      <c r="A186" s="3">
        <f t="shared" si="112"/>
        <v>48426</v>
      </c>
      <c r="B186">
        <f t="shared" si="104"/>
        <v>188</v>
      </c>
      <c r="C186">
        <f t="shared" si="151"/>
        <v>15.583333333333332</v>
      </c>
      <c r="D186">
        <f t="shared" si="152"/>
        <v>0</v>
      </c>
      <c r="E186">
        <f t="shared" si="105"/>
        <v>71</v>
      </c>
      <c r="F186">
        <f>IF(C186&gt;=$T$2,0,VLOOKUP($E186,'Mortality Table'!$A$3:$C$128,2+AF$2,FALSE))</f>
        <v>0</v>
      </c>
      <c r="G186">
        <f>F186*Assumptions!$B$1</f>
        <v>0</v>
      </c>
      <c r="H186">
        <f t="shared" si="113"/>
        <v>0</v>
      </c>
      <c r="I186">
        <f t="shared" si="146"/>
        <v>0</v>
      </c>
      <c r="J186">
        <f>IF(B186&gt;$AJ$2,0,HLOOKUP(C186,Assumptions!$A$6:$J$7,2,TRUE))</f>
        <v>0</v>
      </c>
      <c r="K186" s="4">
        <f t="shared" si="147"/>
        <v>0</v>
      </c>
      <c r="L186" s="4">
        <f t="shared" si="114"/>
        <v>0</v>
      </c>
      <c r="M186" s="4">
        <f t="shared" si="148"/>
        <v>0</v>
      </c>
      <c r="N186">
        <f t="shared" si="115"/>
        <v>0</v>
      </c>
      <c r="O186" s="21">
        <f t="shared" si="149"/>
        <v>0</v>
      </c>
      <c r="P186">
        <f>IF(B186&gt;$AJ$2,0,HLOOKUP(C186,Assumptions!$A$12:$J$13,2,TRUE))</f>
        <v>0</v>
      </c>
      <c r="Q186">
        <f t="shared" si="150"/>
        <v>0</v>
      </c>
      <c r="R186">
        <f t="shared" si="116"/>
        <v>0</v>
      </c>
      <c r="S186">
        <f t="shared" si="144"/>
        <v>0</v>
      </c>
      <c r="T186">
        <f t="shared" si="145"/>
        <v>0</v>
      </c>
      <c r="U186">
        <f t="shared" si="117"/>
        <v>0</v>
      </c>
      <c r="V186">
        <f t="shared" si="118"/>
        <v>0</v>
      </c>
      <c r="W186">
        <f t="shared" si="119"/>
        <v>0</v>
      </c>
      <c r="X186">
        <f t="shared" si="110"/>
        <v>0</v>
      </c>
      <c r="Y186">
        <f t="shared" si="120"/>
        <v>0</v>
      </c>
      <c r="Z186">
        <f t="shared" si="121"/>
        <v>0</v>
      </c>
      <c r="AA186">
        <f t="shared" si="122"/>
        <v>0</v>
      </c>
      <c r="AB186">
        <f t="shared" si="123"/>
        <v>0</v>
      </c>
      <c r="AC186" s="23">
        <f>IF(B186&gt;$AJ$2,0,HLOOKUP(YEAR(A186),Assumptions!$A$25:$AL$29,4,TRUE)/100)</f>
        <v>0</v>
      </c>
      <c r="AD186">
        <f t="shared" si="124"/>
        <v>0</v>
      </c>
      <c r="AE186">
        <f t="shared" si="125"/>
        <v>0</v>
      </c>
      <c r="AF186">
        <f t="shared" si="126"/>
        <v>0</v>
      </c>
      <c r="AG186">
        <f t="shared" si="127"/>
        <v>0</v>
      </c>
      <c r="AH186">
        <f t="shared" si="128"/>
        <v>0</v>
      </c>
      <c r="AI186">
        <f t="shared" si="129"/>
        <v>0</v>
      </c>
      <c r="AJ186">
        <f t="shared" si="130"/>
        <v>0</v>
      </c>
      <c r="AK186">
        <f t="shared" si="131"/>
        <v>0</v>
      </c>
      <c r="AL186">
        <f t="shared" si="132"/>
        <v>0</v>
      </c>
      <c r="AM186">
        <f t="shared" si="111"/>
        <v>0</v>
      </c>
      <c r="AN186">
        <f>IF($S$2=0,0,(SUMPRODUCT($K$2:$R$2,Assumptions!$B$34:$I$34)/$U$2+$J$2/$U$2*Assumptions!$A$34*G186)*K186*O185)</f>
        <v>0</v>
      </c>
      <c r="AO186">
        <f t="shared" si="133"/>
        <v>0</v>
      </c>
      <c r="AP186">
        <f t="shared" si="134"/>
        <v>0</v>
      </c>
      <c r="AQ186">
        <f>IF(B186&gt;$AJ$2,0,AQ185*(1+Assumptions!$B$43)^(1/12))</f>
        <v>0</v>
      </c>
      <c r="AR186" s="27">
        <f>IF(B186&gt;$AJ$2,0,(O185+R185)*Assumptions!$B$39/12*AQ185+AV186*Assumptions!$B$41/12)</f>
        <v>0</v>
      </c>
      <c r="AS186">
        <f t="shared" si="135"/>
        <v>0</v>
      </c>
      <c r="AT186" s="28">
        <f t="shared" si="136"/>
        <v>0</v>
      </c>
      <c r="AU186">
        <f t="shared" si="137"/>
        <v>0</v>
      </c>
      <c r="AV186" s="28">
        <f t="shared" si="138"/>
        <v>0</v>
      </c>
      <c r="AW186" s="28">
        <f t="shared" si="139"/>
        <v>0</v>
      </c>
      <c r="AX186" s="23">
        <f>HLOOKUP(YEAR(A186),Assumptions!$A$25:$AL$29,2,TRUE)/100</f>
        <v>1.2053000000000001E-2</v>
      </c>
      <c r="AY186" s="29">
        <f>1/(1+HLOOKUP(YEAR(A186),Assumptions!$A$18:$AL$20,3,TRUE))^(1/12)</f>
        <v>0.99893277367105238</v>
      </c>
      <c r="AZ186" s="26">
        <f t="shared" si="140"/>
        <v>0</v>
      </c>
      <c r="BA186">
        <f t="shared" si="141"/>
        <v>0</v>
      </c>
      <c r="BB186">
        <f t="shared" si="142"/>
        <v>0</v>
      </c>
      <c r="BC186">
        <f t="shared" si="143"/>
        <v>0</v>
      </c>
    </row>
    <row r="187" spans="1:55" x14ac:dyDescent="0.2">
      <c r="A187" s="3">
        <f t="shared" si="112"/>
        <v>48457</v>
      </c>
      <c r="B187">
        <f t="shared" si="104"/>
        <v>189</v>
      </c>
      <c r="C187">
        <f t="shared" si="151"/>
        <v>15.666666666666668</v>
      </c>
      <c r="D187">
        <f t="shared" si="152"/>
        <v>0</v>
      </c>
      <c r="E187">
        <f t="shared" si="105"/>
        <v>71</v>
      </c>
      <c r="F187">
        <f>IF(C187&gt;=$T$2,0,VLOOKUP($E187,'Mortality Table'!$A$3:$C$128,2+AF$2,FALSE))</f>
        <v>0</v>
      </c>
      <c r="G187">
        <f>F187*Assumptions!$B$1</f>
        <v>0</v>
      </c>
      <c r="H187">
        <f t="shared" si="113"/>
        <v>0</v>
      </c>
      <c r="I187">
        <f t="shared" si="146"/>
        <v>0</v>
      </c>
      <c r="J187">
        <f>IF(B187&gt;$AJ$2,0,HLOOKUP(C187,Assumptions!$A$6:$J$7,2,TRUE))</f>
        <v>0</v>
      </c>
      <c r="K187" s="4">
        <f t="shared" si="147"/>
        <v>0</v>
      </c>
      <c r="L187" s="4">
        <f t="shared" si="114"/>
        <v>0</v>
      </c>
      <c r="M187" s="4">
        <f t="shared" si="148"/>
        <v>0</v>
      </c>
      <c r="N187">
        <f t="shared" si="115"/>
        <v>0</v>
      </c>
      <c r="O187" s="21">
        <f t="shared" si="149"/>
        <v>0</v>
      </c>
      <c r="P187">
        <f>IF(B187&gt;$AJ$2,0,HLOOKUP(C187,Assumptions!$A$12:$J$13,2,TRUE))</f>
        <v>0</v>
      </c>
      <c r="Q187">
        <f t="shared" si="150"/>
        <v>0</v>
      </c>
      <c r="R187">
        <f t="shared" si="116"/>
        <v>0</v>
      </c>
      <c r="S187">
        <f t="shared" si="144"/>
        <v>0</v>
      </c>
      <c r="T187">
        <f t="shared" si="145"/>
        <v>0</v>
      </c>
      <c r="U187">
        <f t="shared" si="117"/>
        <v>0</v>
      </c>
      <c r="V187">
        <f t="shared" si="118"/>
        <v>0</v>
      </c>
      <c r="W187">
        <f t="shared" si="119"/>
        <v>0</v>
      </c>
      <c r="X187">
        <f t="shared" si="110"/>
        <v>0</v>
      </c>
      <c r="Y187">
        <f t="shared" si="120"/>
        <v>0</v>
      </c>
      <c r="Z187">
        <f t="shared" si="121"/>
        <v>0</v>
      </c>
      <c r="AA187">
        <f t="shared" si="122"/>
        <v>0</v>
      </c>
      <c r="AB187">
        <f t="shared" si="123"/>
        <v>0</v>
      </c>
      <c r="AC187" s="23">
        <f>IF(B187&gt;$AJ$2,0,HLOOKUP(YEAR(A187),Assumptions!$A$25:$AL$29,4,TRUE)/100)</f>
        <v>0</v>
      </c>
      <c r="AD187">
        <f t="shared" si="124"/>
        <v>0</v>
      </c>
      <c r="AE187">
        <f t="shared" si="125"/>
        <v>0</v>
      </c>
      <c r="AF187">
        <f t="shared" si="126"/>
        <v>0</v>
      </c>
      <c r="AG187">
        <f t="shared" si="127"/>
        <v>0</v>
      </c>
      <c r="AH187">
        <f t="shared" si="128"/>
        <v>0</v>
      </c>
      <c r="AI187">
        <f t="shared" si="129"/>
        <v>0</v>
      </c>
      <c r="AJ187">
        <f t="shared" si="130"/>
        <v>0</v>
      </c>
      <c r="AK187">
        <f t="shared" si="131"/>
        <v>0</v>
      </c>
      <c r="AL187">
        <f t="shared" si="132"/>
        <v>0</v>
      </c>
      <c r="AM187">
        <f t="shared" si="111"/>
        <v>0</v>
      </c>
      <c r="AN187">
        <f>IF($S$2=0,0,(SUMPRODUCT($K$2:$R$2,Assumptions!$B$34:$I$34)/$U$2+$J$2/$U$2*Assumptions!$A$34*G187)*K187*O186)</f>
        <v>0</v>
      </c>
      <c r="AO187">
        <f t="shared" si="133"/>
        <v>0</v>
      </c>
      <c r="AP187">
        <f t="shared" si="134"/>
        <v>0</v>
      </c>
      <c r="AQ187">
        <f>IF(B187&gt;$AJ$2,0,AQ186*(1+Assumptions!$B$43)^(1/12))</f>
        <v>0</v>
      </c>
      <c r="AR187" s="27">
        <f>IF(B187&gt;$AJ$2,0,(O186+R186)*Assumptions!$B$39/12*AQ186+AV187*Assumptions!$B$41/12)</f>
        <v>0</v>
      </c>
      <c r="AS187">
        <f t="shared" si="135"/>
        <v>0</v>
      </c>
      <c r="AT187" s="28">
        <f t="shared" si="136"/>
        <v>0</v>
      </c>
      <c r="AU187">
        <f t="shared" si="137"/>
        <v>0</v>
      </c>
      <c r="AV187" s="28">
        <f t="shared" si="138"/>
        <v>0</v>
      </c>
      <c r="AW187" s="28">
        <f t="shared" si="139"/>
        <v>0</v>
      </c>
      <c r="AX187" s="23">
        <f>HLOOKUP(YEAR(A187),Assumptions!$A$25:$AL$29,2,TRUE)/100</f>
        <v>1.2053000000000001E-2</v>
      </c>
      <c r="AY187" s="29">
        <f>1/(1+HLOOKUP(YEAR(A187),Assumptions!$A$18:$AL$20,3,TRUE))^(1/12)</f>
        <v>0.99893277367105238</v>
      </c>
      <c r="AZ187" s="26">
        <f t="shared" si="140"/>
        <v>0</v>
      </c>
      <c r="BA187">
        <f t="shared" si="141"/>
        <v>0</v>
      </c>
      <c r="BB187">
        <f t="shared" si="142"/>
        <v>0</v>
      </c>
      <c r="BC187">
        <f t="shared" si="143"/>
        <v>0</v>
      </c>
    </row>
    <row r="188" spans="1:55" x14ac:dyDescent="0.2">
      <c r="A188" s="3">
        <f t="shared" si="112"/>
        <v>48487</v>
      </c>
      <c r="B188">
        <f t="shared" si="104"/>
        <v>190</v>
      </c>
      <c r="C188">
        <f t="shared" si="151"/>
        <v>15.75</v>
      </c>
      <c r="D188">
        <f t="shared" si="152"/>
        <v>0</v>
      </c>
      <c r="E188">
        <f t="shared" si="105"/>
        <v>71</v>
      </c>
      <c r="F188">
        <f>IF(C188&gt;=$T$2,0,VLOOKUP($E188,'Mortality Table'!$A$3:$C$128,2+AF$2,FALSE))</f>
        <v>0</v>
      </c>
      <c r="G188">
        <f>F188*Assumptions!$B$1</f>
        <v>0</v>
      </c>
      <c r="H188">
        <f t="shared" si="113"/>
        <v>0</v>
      </c>
      <c r="I188">
        <f t="shared" si="146"/>
        <v>0</v>
      </c>
      <c r="J188">
        <f>IF(B188&gt;$AJ$2,0,HLOOKUP(C188,Assumptions!$A$6:$J$7,2,TRUE))</f>
        <v>0</v>
      </c>
      <c r="K188" s="4">
        <f t="shared" si="147"/>
        <v>0</v>
      </c>
      <c r="L188" s="4">
        <f t="shared" si="114"/>
        <v>0</v>
      </c>
      <c r="M188" s="4">
        <f t="shared" si="148"/>
        <v>0</v>
      </c>
      <c r="N188">
        <f t="shared" si="115"/>
        <v>0</v>
      </c>
      <c r="O188" s="21">
        <f t="shared" si="149"/>
        <v>0</v>
      </c>
      <c r="P188">
        <f>IF(B188&gt;$AJ$2,0,HLOOKUP(C188,Assumptions!$A$12:$J$13,2,TRUE))</f>
        <v>0</v>
      </c>
      <c r="Q188">
        <f t="shared" si="150"/>
        <v>0</v>
      </c>
      <c r="R188">
        <f t="shared" si="116"/>
        <v>0</v>
      </c>
      <c r="S188">
        <f t="shared" si="144"/>
        <v>0</v>
      </c>
      <c r="T188">
        <f t="shared" si="145"/>
        <v>0</v>
      </c>
      <c r="U188">
        <f t="shared" si="117"/>
        <v>0</v>
      </c>
      <c r="V188">
        <f t="shared" si="118"/>
        <v>0</v>
      </c>
      <c r="W188">
        <f t="shared" si="119"/>
        <v>0</v>
      </c>
      <c r="X188">
        <f t="shared" si="110"/>
        <v>0</v>
      </c>
      <c r="Y188">
        <f t="shared" si="120"/>
        <v>0</v>
      </c>
      <c r="Z188">
        <f t="shared" si="121"/>
        <v>0</v>
      </c>
      <c r="AA188">
        <f t="shared" si="122"/>
        <v>0</v>
      </c>
      <c r="AB188">
        <f t="shared" si="123"/>
        <v>0</v>
      </c>
      <c r="AC188" s="23">
        <f>IF(B188&gt;$AJ$2,0,HLOOKUP(YEAR(A188),Assumptions!$A$25:$AL$29,4,TRUE)/100)</f>
        <v>0</v>
      </c>
      <c r="AD188">
        <f t="shared" si="124"/>
        <v>0</v>
      </c>
      <c r="AE188">
        <f t="shared" si="125"/>
        <v>0</v>
      </c>
      <c r="AF188">
        <f t="shared" si="126"/>
        <v>0</v>
      </c>
      <c r="AG188">
        <f t="shared" si="127"/>
        <v>0</v>
      </c>
      <c r="AH188">
        <f t="shared" si="128"/>
        <v>0</v>
      </c>
      <c r="AI188">
        <f t="shared" si="129"/>
        <v>0</v>
      </c>
      <c r="AJ188">
        <f t="shared" si="130"/>
        <v>0</v>
      </c>
      <c r="AK188">
        <f t="shared" si="131"/>
        <v>0</v>
      </c>
      <c r="AL188">
        <f t="shared" si="132"/>
        <v>0</v>
      </c>
      <c r="AM188">
        <f t="shared" si="111"/>
        <v>0</v>
      </c>
      <c r="AN188">
        <f>IF($S$2=0,0,(SUMPRODUCT($K$2:$R$2,Assumptions!$B$34:$I$34)/$U$2+$J$2/$U$2*Assumptions!$A$34*G188)*K188*O187)</f>
        <v>0</v>
      </c>
      <c r="AO188">
        <f t="shared" si="133"/>
        <v>0</v>
      </c>
      <c r="AP188">
        <f t="shared" si="134"/>
        <v>0</v>
      </c>
      <c r="AQ188">
        <f>IF(B188&gt;$AJ$2,0,AQ187*(1+Assumptions!$B$43)^(1/12))</f>
        <v>0</v>
      </c>
      <c r="AR188" s="27">
        <f>IF(B188&gt;$AJ$2,0,(O187+R187)*Assumptions!$B$39/12*AQ187+AV188*Assumptions!$B$41/12)</f>
        <v>0</v>
      </c>
      <c r="AS188">
        <f t="shared" si="135"/>
        <v>0</v>
      </c>
      <c r="AT188" s="28">
        <f t="shared" si="136"/>
        <v>0</v>
      </c>
      <c r="AU188">
        <f t="shared" si="137"/>
        <v>0</v>
      </c>
      <c r="AV188" s="28">
        <f t="shared" si="138"/>
        <v>0</v>
      </c>
      <c r="AW188" s="28">
        <f t="shared" si="139"/>
        <v>0</v>
      </c>
      <c r="AX188" s="23">
        <f>HLOOKUP(YEAR(A188),Assumptions!$A$25:$AL$29,2,TRUE)/100</f>
        <v>1.2053000000000001E-2</v>
      </c>
      <c r="AY188" s="29">
        <f>1/(1+HLOOKUP(YEAR(A188),Assumptions!$A$18:$AL$20,3,TRUE))^(1/12)</f>
        <v>0.99893277367105238</v>
      </c>
      <c r="AZ188" s="26">
        <f t="shared" si="140"/>
        <v>0</v>
      </c>
      <c r="BA188">
        <f t="shared" si="141"/>
        <v>0</v>
      </c>
      <c r="BB188">
        <f t="shared" si="142"/>
        <v>0</v>
      </c>
      <c r="BC188">
        <f t="shared" si="143"/>
        <v>0</v>
      </c>
    </row>
    <row r="189" spans="1:55" x14ac:dyDescent="0.2">
      <c r="A189" s="3">
        <f t="shared" si="112"/>
        <v>48518</v>
      </c>
      <c r="B189">
        <f t="shared" si="104"/>
        <v>191</v>
      </c>
      <c r="C189">
        <f t="shared" si="151"/>
        <v>15.833333333333332</v>
      </c>
      <c r="D189">
        <f t="shared" si="152"/>
        <v>0</v>
      </c>
      <c r="E189">
        <f t="shared" si="105"/>
        <v>71</v>
      </c>
      <c r="F189">
        <f>IF(C189&gt;=$T$2,0,VLOOKUP($E189,'Mortality Table'!$A$3:$C$128,2+AF$2,FALSE))</f>
        <v>0</v>
      </c>
      <c r="G189">
        <f>F189*Assumptions!$B$1</f>
        <v>0</v>
      </c>
      <c r="H189">
        <f t="shared" si="113"/>
        <v>0</v>
      </c>
      <c r="I189">
        <f t="shared" si="146"/>
        <v>0</v>
      </c>
      <c r="J189">
        <f>IF(B189&gt;$AJ$2,0,HLOOKUP(C189,Assumptions!$A$6:$J$7,2,TRUE))</f>
        <v>0</v>
      </c>
      <c r="K189" s="4">
        <f t="shared" si="147"/>
        <v>0</v>
      </c>
      <c r="L189" s="4">
        <f t="shared" si="114"/>
        <v>0</v>
      </c>
      <c r="M189" s="4">
        <f t="shared" si="148"/>
        <v>0</v>
      </c>
      <c r="N189">
        <f t="shared" si="115"/>
        <v>0</v>
      </c>
      <c r="O189" s="21">
        <f t="shared" si="149"/>
        <v>0</v>
      </c>
      <c r="P189">
        <f>IF(B189&gt;$AJ$2,0,HLOOKUP(C189,Assumptions!$A$12:$J$13,2,TRUE))</f>
        <v>0</v>
      </c>
      <c r="Q189">
        <f t="shared" si="150"/>
        <v>0</v>
      </c>
      <c r="R189">
        <f t="shared" si="116"/>
        <v>0</v>
      </c>
      <c r="S189">
        <f t="shared" si="144"/>
        <v>0</v>
      </c>
      <c r="T189">
        <f t="shared" si="145"/>
        <v>0</v>
      </c>
      <c r="U189">
        <f t="shared" si="117"/>
        <v>0</v>
      </c>
      <c r="V189">
        <f t="shared" si="118"/>
        <v>0</v>
      </c>
      <c r="W189">
        <f t="shared" si="119"/>
        <v>0</v>
      </c>
      <c r="X189">
        <f t="shared" si="110"/>
        <v>0</v>
      </c>
      <c r="Y189">
        <f t="shared" si="120"/>
        <v>0</v>
      </c>
      <c r="Z189">
        <f t="shared" si="121"/>
        <v>0</v>
      </c>
      <c r="AA189">
        <f t="shared" si="122"/>
        <v>0</v>
      </c>
      <c r="AB189">
        <f t="shared" si="123"/>
        <v>0</v>
      </c>
      <c r="AC189" s="23">
        <f>IF(B189&gt;$AJ$2,0,HLOOKUP(YEAR(A189),Assumptions!$A$25:$AL$29,4,TRUE)/100)</f>
        <v>0</v>
      </c>
      <c r="AD189">
        <f t="shared" si="124"/>
        <v>0</v>
      </c>
      <c r="AE189">
        <f t="shared" si="125"/>
        <v>0</v>
      </c>
      <c r="AF189">
        <f t="shared" si="126"/>
        <v>0</v>
      </c>
      <c r="AG189">
        <f t="shared" si="127"/>
        <v>0</v>
      </c>
      <c r="AH189">
        <f t="shared" si="128"/>
        <v>0</v>
      </c>
      <c r="AI189">
        <f t="shared" si="129"/>
        <v>0</v>
      </c>
      <c r="AJ189">
        <f t="shared" si="130"/>
        <v>0</v>
      </c>
      <c r="AK189">
        <f t="shared" si="131"/>
        <v>0</v>
      </c>
      <c r="AL189">
        <f t="shared" si="132"/>
        <v>0</v>
      </c>
      <c r="AM189">
        <f t="shared" si="111"/>
        <v>0</v>
      </c>
      <c r="AN189">
        <f>IF($S$2=0,0,(SUMPRODUCT($K$2:$R$2,Assumptions!$B$34:$I$34)/$U$2+$J$2/$U$2*Assumptions!$A$34*G189)*K189*O188)</f>
        <v>0</v>
      </c>
      <c r="AO189">
        <f t="shared" si="133"/>
        <v>0</v>
      </c>
      <c r="AP189">
        <f t="shared" si="134"/>
        <v>0</v>
      </c>
      <c r="AQ189">
        <f>IF(B189&gt;$AJ$2,0,AQ188*(1+Assumptions!$B$43)^(1/12))</f>
        <v>0</v>
      </c>
      <c r="AR189" s="27">
        <f>IF(B189&gt;$AJ$2,0,(O188+R188)*Assumptions!$B$39/12*AQ188+AV189*Assumptions!$B$41/12)</f>
        <v>0</v>
      </c>
      <c r="AS189">
        <f t="shared" si="135"/>
        <v>0</v>
      </c>
      <c r="AT189" s="28">
        <f t="shared" si="136"/>
        <v>0</v>
      </c>
      <c r="AU189">
        <f t="shared" si="137"/>
        <v>0</v>
      </c>
      <c r="AV189" s="28">
        <f t="shared" si="138"/>
        <v>0</v>
      </c>
      <c r="AW189" s="28">
        <f t="shared" si="139"/>
        <v>0</v>
      </c>
      <c r="AX189" s="23">
        <f>HLOOKUP(YEAR(A189),Assumptions!$A$25:$AL$29,2,TRUE)/100</f>
        <v>1.2053000000000001E-2</v>
      </c>
      <c r="AY189" s="29">
        <f>1/(1+HLOOKUP(YEAR(A189),Assumptions!$A$18:$AL$20,3,TRUE))^(1/12)</f>
        <v>0.99893277367105238</v>
      </c>
      <c r="AZ189" s="26">
        <f t="shared" si="140"/>
        <v>0</v>
      </c>
      <c r="BA189">
        <f t="shared" si="141"/>
        <v>0</v>
      </c>
      <c r="BB189">
        <f t="shared" si="142"/>
        <v>0</v>
      </c>
      <c r="BC189">
        <f t="shared" si="143"/>
        <v>0</v>
      </c>
    </row>
    <row r="190" spans="1:55" x14ac:dyDescent="0.2">
      <c r="A190" s="3">
        <f t="shared" si="112"/>
        <v>48548</v>
      </c>
      <c r="B190">
        <f t="shared" si="104"/>
        <v>192</v>
      </c>
      <c r="C190">
        <f t="shared" si="151"/>
        <v>15.916666666666668</v>
      </c>
      <c r="D190">
        <f t="shared" si="152"/>
        <v>0</v>
      </c>
      <c r="E190">
        <f t="shared" si="105"/>
        <v>71</v>
      </c>
      <c r="F190">
        <f>IF(C190&gt;=$T$2,0,VLOOKUP($E190,'Mortality Table'!$A$3:$C$128,2+AF$2,FALSE))</f>
        <v>0</v>
      </c>
      <c r="G190">
        <f>F190*Assumptions!$B$1</f>
        <v>0</v>
      </c>
      <c r="H190">
        <f t="shared" si="113"/>
        <v>0</v>
      </c>
      <c r="I190">
        <f t="shared" si="146"/>
        <v>0</v>
      </c>
      <c r="J190">
        <f>IF(B190&gt;$AJ$2,0,HLOOKUP(C190,Assumptions!$A$6:$J$7,2,TRUE))</f>
        <v>0</v>
      </c>
      <c r="K190" s="4">
        <f t="shared" si="147"/>
        <v>0</v>
      </c>
      <c r="L190" s="4">
        <f t="shared" si="114"/>
        <v>0</v>
      </c>
      <c r="M190" s="4">
        <f t="shared" si="148"/>
        <v>0</v>
      </c>
      <c r="N190">
        <f t="shared" si="115"/>
        <v>0</v>
      </c>
      <c r="O190" s="21">
        <f t="shared" si="149"/>
        <v>0</v>
      </c>
      <c r="P190">
        <f>IF(B190&gt;$AJ$2,0,HLOOKUP(C190,Assumptions!$A$12:$J$13,2,TRUE))</f>
        <v>0</v>
      </c>
      <c r="Q190">
        <f t="shared" si="150"/>
        <v>0</v>
      </c>
      <c r="R190">
        <f t="shared" si="116"/>
        <v>0</v>
      </c>
      <c r="S190">
        <f t="shared" si="144"/>
        <v>0</v>
      </c>
      <c r="T190">
        <f t="shared" si="145"/>
        <v>0</v>
      </c>
      <c r="U190">
        <f t="shared" si="117"/>
        <v>0</v>
      </c>
      <c r="V190">
        <f t="shared" si="118"/>
        <v>0</v>
      </c>
      <c r="W190">
        <f t="shared" si="119"/>
        <v>0</v>
      </c>
      <c r="X190">
        <f t="shared" si="110"/>
        <v>0</v>
      </c>
      <c r="Y190">
        <f t="shared" si="120"/>
        <v>0</v>
      </c>
      <c r="Z190">
        <f t="shared" si="121"/>
        <v>0</v>
      </c>
      <c r="AA190">
        <f t="shared" si="122"/>
        <v>0</v>
      </c>
      <c r="AB190">
        <f t="shared" si="123"/>
        <v>0</v>
      </c>
      <c r="AC190" s="23">
        <f>IF(B190&gt;$AJ$2,0,HLOOKUP(YEAR(A190),Assumptions!$A$25:$AL$29,4,TRUE)/100)</f>
        <v>0</v>
      </c>
      <c r="AD190">
        <f t="shared" si="124"/>
        <v>0</v>
      </c>
      <c r="AE190">
        <f t="shared" si="125"/>
        <v>0</v>
      </c>
      <c r="AF190">
        <f t="shared" si="126"/>
        <v>0</v>
      </c>
      <c r="AG190">
        <f t="shared" si="127"/>
        <v>0</v>
      </c>
      <c r="AH190">
        <f t="shared" si="128"/>
        <v>0</v>
      </c>
      <c r="AI190">
        <f t="shared" si="129"/>
        <v>0</v>
      </c>
      <c r="AJ190">
        <f t="shared" si="130"/>
        <v>0</v>
      </c>
      <c r="AK190">
        <f t="shared" si="131"/>
        <v>0</v>
      </c>
      <c r="AL190">
        <f t="shared" si="132"/>
        <v>0</v>
      </c>
      <c r="AM190">
        <f t="shared" si="111"/>
        <v>0</v>
      </c>
      <c r="AN190">
        <f>IF($S$2=0,0,(SUMPRODUCT($K$2:$R$2,Assumptions!$B$34:$I$34)/$U$2+$J$2/$U$2*Assumptions!$A$34*G190)*K190*O189)</f>
        <v>0</v>
      </c>
      <c r="AO190">
        <f t="shared" si="133"/>
        <v>0</v>
      </c>
      <c r="AP190">
        <f t="shared" si="134"/>
        <v>0</v>
      </c>
      <c r="AQ190">
        <f>IF(B190&gt;$AJ$2,0,AQ189*(1+Assumptions!$B$43)^(1/12))</f>
        <v>0</v>
      </c>
      <c r="AR190" s="27">
        <f>IF(B190&gt;$AJ$2,0,(O189+R189)*Assumptions!$B$39/12*AQ189+AV190*Assumptions!$B$41/12)</f>
        <v>0</v>
      </c>
      <c r="AS190">
        <f t="shared" si="135"/>
        <v>0</v>
      </c>
      <c r="AT190" s="28">
        <f t="shared" si="136"/>
        <v>0</v>
      </c>
      <c r="AU190">
        <f t="shared" si="137"/>
        <v>0</v>
      </c>
      <c r="AV190" s="28">
        <f t="shared" si="138"/>
        <v>0</v>
      </c>
      <c r="AW190" s="28">
        <f t="shared" si="139"/>
        <v>0</v>
      </c>
      <c r="AX190" s="23">
        <f>HLOOKUP(YEAR(A190),Assumptions!$A$25:$AL$29,2,TRUE)/100</f>
        <v>1.2053000000000001E-2</v>
      </c>
      <c r="AY190" s="29">
        <f>1/(1+HLOOKUP(YEAR(A190),Assumptions!$A$18:$AL$20,3,TRUE))^(1/12)</f>
        <v>0.99893277367105238</v>
      </c>
      <c r="AZ190" s="26">
        <f t="shared" si="140"/>
        <v>0</v>
      </c>
      <c r="BA190">
        <f t="shared" si="141"/>
        <v>0</v>
      </c>
      <c r="BB190">
        <f t="shared" si="142"/>
        <v>0</v>
      </c>
      <c r="BC190">
        <f t="shared" si="143"/>
        <v>0</v>
      </c>
    </row>
    <row r="191" spans="1:55" x14ac:dyDescent="0.2">
      <c r="A191" s="3">
        <f t="shared" si="112"/>
        <v>48579</v>
      </c>
      <c r="B191">
        <f t="shared" si="104"/>
        <v>193</v>
      </c>
      <c r="C191">
        <f t="shared" si="151"/>
        <v>16</v>
      </c>
      <c r="D191">
        <f t="shared" si="152"/>
        <v>1</v>
      </c>
      <c r="E191">
        <f t="shared" si="105"/>
        <v>72</v>
      </c>
      <c r="F191">
        <f>IF(C191&gt;=$T$2,0,VLOOKUP($E191,'Mortality Table'!$A$3:$C$128,2+AF$2,FALSE))</f>
        <v>0</v>
      </c>
      <c r="G191">
        <f>F191*Assumptions!$B$1</f>
        <v>0</v>
      </c>
      <c r="H191">
        <f t="shared" si="113"/>
        <v>0</v>
      </c>
      <c r="I191">
        <f t="shared" si="146"/>
        <v>0</v>
      </c>
      <c r="J191">
        <f>IF(B191&gt;$AJ$2,0,HLOOKUP(C191,Assumptions!$A$6:$J$7,2,TRUE))</f>
        <v>0</v>
      </c>
      <c r="K191" s="4">
        <f t="shared" si="147"/>
        <v>0</v>
      </c>
      <c r="L191" s="4">
        <f t="shared" si="114"/>
        <v>0</v>
      </c>
      <c r="M191" s="4">
        <f t="shared" si="148"/>
        <v>0</v>
      </c>
      <c r="N191">
        <f t="shared" si="115"/>
        <v>0</v>
      </c>
      <c r="O191" s="21">
        <f t="shared" si="149"/>
        <v>0</v>
      </c>
      <c r="P191">
        <f>IF(B191&gt;$AJ$2,0,HLOOKUP(C191,Assumptions!$A$12:$J$13,2,TRUE))</f>
        <v>0</v>
      </c>
      <c r="Q191">
        <f t="shared" si="150"/>
        <v>0</v>
      </c>
      <c r="R191">
        <f t="shared" si="116"/>
        <v>0</v>
      </c>
      <c r="S191">
        <f t="shared" si="144"/>
        <v>0</v>
      </c>
      <c r="T191">
        <f t="shared" si="145"/>
        <v>0</v>
      </c>
      <c r="U191">
        <f t="shared" si="117"/>
        <v>0</v>
      </c>
      <c r="V191">
        <f t="shared" si="118"/>
        <v>0</v>
      </c>
      <c r="W191">
        <f t="shared" si="119"/>
        <v>0</v>
      </c>
      <c r="X191">
        <f t="shared" si="110"/>
        <v>0</v>
      </c>
      <c r="Y191">
        <f t="shared" si="120"/>
        <v>0</v>
      </c>
      <c r="Z191">
        <f t="shared" si="121"/>
        <v>0</v>
      </c>
      <c r="AA191">
        <f t="shared" si="122"/>
        <v>0</v>
      </c>
      <c r="AB191">
        <f t="shared" si="123"/>
        <v>0</v>
      </c>
      <c r="AC191" s="23">
        <f>IF(B191&gt;$AJ$2,0,HLOOKUP(YEAR(A191),Assumptions!$A$25:$AL$29,4,TRUE)/100)</f>
        <v>0</v>
      </c>
      <c r="AD191">
        <f t="shared" si="124"/>
        <v>0</v>
      </c>
      <c r="AE191">
        <f t="shared" si="125"/>
        <v>0</v>
      </c>
      <c r="AF191">
        <f t="shared" si="126"/>
        <v>0</v>
      </c>
      <c r="AG191">
        <f t="shared" si="127"/>
        <v>0</v>
      </c>
      <c r="AH191">
        <f t="shared" si="128"/>
        <v>0</v>
      </c>
      <c r="AI191">
        <f t="shared" si="129"/>
        <v>0</v>
      </c>
      <c r="AJ191">
        <f t="shared" si="130"/>
        <v>0</v>
      </c>
      <c r="AK191">
        <f t="shared" si="131"/>
        <v>0</v>
      </c>
      <c r="AL191">
        <f t="shared" si="132"/>
        <v>0</v>
      </c>
      <c r="AM191">
        <f t="shared" si="111"/>
        <v>0</v>
      </c>
      <c r="AN191">
        <f>IF($S$2=0,0,(SUMPRODUCT($K$2:$R$2,Assumptions!$B$34:$I$34)/$U$2+$J$2/$U$2*Assumptions!$A$34*G191)*K191*O190)</f>
        <v>0</v>
      </c>
      <c r="AO191">
        <f t="shared" si="133"/>
        <v>0</v>
      </c>
      <c r="AP191">
        <f t="shared" si="134"/>
        <v>0</v>
      </c>
      <c r="AQ191">
        <f>IF(B191&gt;$AJ$2,0,AQ190*(1+Assumptions!$B$43)^(1/12))</f>
        <v>0</v>
      </c>
      <c r="AR191" s="27">
        <f>IF(B191&gt;$AJ$2,0,(O190+R190)*Assumptions!$B$39/12*AQ190+AV191*Assumptions!$B$41/12)</f>
        <v>0</v>
      </c>
      <c r="AS191">
        <f t="shared" si="135"/>
        <v>0</v>
      </c>
      <c r="AT191" s="28">
        <f t="shared" si="136"/>
        <v>0</v>
      </c>
      <c r="AU191">
        <f t="shared" si="137"/>
        <v>0</v>
      </c>
      <c r="AV191" s="28">
        <f t="shared" si="138"/>
        <v>0</v>
      </c>
      <c r="AW191" s="28">
        <f t="shared" si="139"/>
        <v>0</v>
      </c>
      <c r="AX191" s="23">
        <f>HLOOKUP(YEAR(A191),Assumptions!$A$25:$AL$29,2,TRUE)/100</f>
        <v>1.2053000000000001E-2</v>
      </c>
      <c r="AY191" s="29">
        <f>1/(1+HLOOKUP(YEAR(A191),Assumptions!$A$18:$AL$20,3,TRUE))^(1/12)</f>
        <v>0.99893277367105238</v>
      </c>
      <c r="AZ191" s="26">
        <f t="shared" si="140"/>
        <v>0</v>
      </c>
      <c r="BA191">
        <f t="shared" si="141"/>
        <v>0</v>
      </c>
      <c r="BB191">
        <f t="shared" si="142"/>
        <v>0</v>
      </c>
      <c r="BC191">
        <f t="shared" si="143"/>
        <v>0</v>
      </c>
    </row>
    <row r="192" spans="1:55" x14ac:dyDescent="0.2">
      <c r="A192" s="3">
        <f t="shared" si="112"/>
        <v>48610</v>
      </c>
      <c r="B192">
        <f t="shared" si="104"/>
        <v>194</v>
      </c>
      <c r="C192">
        <f t="shared" si="151"/>
        <v>16.083333333333332</v>
      </c>
      <c r="D192">
        <f t="shared" si="152"/>
        <v>0</v>
      </c>
      <c r="E192">
        <f t="shared" si="105"/>
        <v>72</v>
      </c>
      <c r="F192">
        <f>IF(C192&gt;=$T$2,0,VLOOKUP($E192,'Mortality Table'!$A$3:$C$128,2+AF$2,FALSE))</f>
        <v>0</v>
      </c>
      <c r="G192">
        <f>F192*Assumptions!$B$1</f>
        <v>0</v>
      </c>
      <c r="H192">
        <f t="shared" si="113"/>
        <v>0</v>
      </c>
      <c r="I192">
        <f t="shared" si="146"/>
        <v>0</v>
      </c>
      <c r="J192">
        <f>IF(B192&gt;$AJ$2,0,HLOOKUP(C192,Assumptions!$A$6:$J$7,2,TRUE))</f>
        <v>0</v>
      </c>
      <c r="K192" s="4">
        <f t="shared" si="147"/>
        <v>0</v>
      </c>
      <c r="L192" s="4">
        <f t="shared" si="114"/>
        <v>0</v>
      </c>
      <c r="M192" s="4">
        <f t="shared" si="148"/>
        <v>0</v>
      </c>
      <c r="N192">
        <f t="shared" si="115"/>
        <v>0</v>
      </c>
      <c r="O192" s="21">
        <f t="shared" si="149"/>
        <v>0</v>
      </c>
      <c r="P192">
        <f>IF(B192&gt;$AJ$2,0,HLOOKUP(C192,Assumptions!$A$12:$J$13,2,TRUE))</f>
        <v>0</v>
      </c>
      <c r="Q192">
        <f t="shared" si="150"/>
        <v>0</v>
      </c>
      <c r="R192">
        <f t="shared" si="116"/>
        <v>0</v>
      </c>
      <c r="S192">
        <f t="shared" si="144"/>
        <v>0</v>
      </c>
      <c r="T192">
        <f t="shared" si="145"/>
        <v>0</v>
      </c>
      <c r="U192">
        <f t="shared" si="117"/>
        <v>0</v>
      </c>
      <c r="V192">
        <f t="shared" si="118"/>
        <v>0</v>
      </c>
      <c r="W192">
        <f t="shared" si="119"/>
        <v>0</v>
      </c>
      <c r="X192">
        <f t="shared" si="110"/>
        <v>0</v>
      </c>
      <c r="Y192">
        <f t="shared" si="120"/>
        <v>0</v>
      </c>
      <c r="Z192">
        <f t="shared" si="121"/>
        <v>0</v>
      </c>
      <c r="AA192">
        <f t="shared" si="122"/>
        <v>0</v>
      </c>
      <c r="AB192">
        <f t="shared" si="123"/>
        <v>0</v>
      </c>
      <c r="AC192" s="23">
        <f>IF(B192&gt;$AJ$2,0,HLOOKUP(YEAR(A192),Assumptions!$A$25:$AL$29,4,TRUE)/100)</f>
        <v>0</v>
      </c>
      <c r="AD192">
        <f t="shared" si="124"/>
        <v>0</v>
      </c>
      <c r="AE192">
        <f t="shared" si="125"/>
        <v>0</v>
      </c>
      <c r="AF192">
        <f t="shared" si="126"/>
        <v>0</v>
      </c>
      <c r="AG192">
        <f t="shared" si="127"/>
        <v>0</v>
      </c>
      <c r="AH192">
        <f t="shared" si="128"/>
        <v>0</v>
      </c>
      <c r="AI192">
        <f t="shared" si="129"/>
        <v>0</v>
      </c>
      <c r="AJ192">
        <f t="shared" si="130"/>
        <v>0</v>
      </c>
      <c r="AK192">
        <f t="shared" si="131"/>
        <v>0</v>
      </c>
      <c r="AL192">
        <f t="shared" si="132"/>
        <v>0</v>
      </c>
      <c r="AM192">
        <f t="shared" si="111"/>
        <v>0</v>
      </c>
      <c r="AN192">
        <f>IF($S$2=0,0,(SUMPRODUCT($K$2:$R$2,Assumptions!$B$34:$I$34)/$U$2+$J$2/$U$2*Assumptions!$A$34*G192)*K192*O191)</f>
        <v>0</v>
      </c>
      <c r="AO192">
        <f t="shared" si="133"/>
        <v>0</v>
      </c>
      <c r="AP192">
        <f t="shared" si="134"/>
        <v>0</v>
      </c>
      <c r="AQ192">
        <f>IF(B192&gt;$AJ$2,0,AQ191*(1+Assumptions!$B$43)^(1/12))</f>
        <v>0</v>
      </c>
      <c r="AR192" s="27">
        <f>IF(B192&gt;$AJ$2,0,(O191+R191)*Assumptions!$B$39/12*AQ191+AV192*Assumptions!$B$41/12)</f>
        <v>0</v>
      </c>
      <c r="AS192">
        <f t="shared" si="135"/>
        <v>0</v>
      </c>
      <c r="AT192" s="28">
        <f t="shared" si="136"/>
        <v>0</v>
      </c>
      <c r="AU192">
        <f t="shared" si="137"/>
        <v>0</v>
      </c>
      <c r="AV192" s="28">
        <f t="shared" si="138"/>
        <v>0</v>
      </c>
      <c r="AW192" s="28">
        <f t="shared" si="139"/>
        <v>0</v>
      </c>
      <c r="AX192" s="23">
        <f>HLOOKUP(YEAR(A192),Assumptions!$A$25:$AL$29,2,TRUE)/100</f>
        <v>1.1739999999999999E-2</v>
      </c>
      <c r="AY192" s="29">
        <f>1/(1+HLOOKUP(YEAR(A192),Assumptions!$A$18:$AL$20,3,TRUE))^(1/12)</f>
        <v>0.9990016752017814</v>
      </c>
      <c r="AZ192" s="26">
        <f t="shared" si="140"/>
        <v>0</v>
      </c>
      <c r="BA192">
        <f t="shared" si="141"/>
        <v>0</v>
      </c>
      <c r="BB192">
        <f t="shared" si="142"/>
        <v>0</v>
      </c>
      <c r="BC192">
        <f t="shared" si="143"/>
        <v>0</v>
      </c>
    </row>
    <row r="193" spans="1:55" x14ac:dyDescent="0.2">
      <c r="A193" s="3">
        <f t="shared" si="112"/>
        <v>48638</v>
      </c>
      <c r="B193">
        <f t="shared" si="104"/>
        <v>195</v>
      </c>
      <c r="C193">
        <f t="shared" si="151"/>
        <v>16.166666666666668</v>
      </c>
      <c r="D193">
        <f t="shared" si="152"/>
        <v>0</v>
      </c>
      <c r="E193">
        <f t="shared" si="105"/>
        <v>72</v>
      </c>
      <c r="F193">
        <f>IF(C193&gt;=$T$2,0,VLOOKUP($E193,'Mortality Table'!$A$3:$C$128,2+AF$2,FALSE))</f>
        <v>0</v>
      </c>
      <c r="G193">
        <f>F193*Assumptions!$B$1</f>
        <v>0</v>
      </c>
      <c r="H193">
        <f t="shared" si="113"/>
        <v>0</v>
      </c>
      <c r="I193">
        <f t="shared" si="146"/>
        <v>0</v>
      </c>
      <c r="J193">
        <f>IF(B193&gt;$AJ$2,0,HLOOKUP(C193,Assumptions!$A$6:$J$7,2,TRUE))</f>
        <v>0</v>
      </c>
      <c r="K193" s="4">
        <f t="shared" si="147"/>
        <v>0</v>
      </c>
      <c r="L193" s="4">
        <f t="shared" si="114"/>
        <v>0</v>
      </c>
      <c r="M193" s="4">
        <f t="shared" si="148"/>
        <v>0</v>
      </c>
      <c r="N193">
        <f t="shared" si="115"/>
        <v>0</v>
      </c>
      <c r="O193" s="21">
        <f t="shared" si="149"/>
        <v>0</v>
      </c>
      <c r="P193">
        <f>IF(B193&gt;$AJ$2,0,HLOOKUP(C193,Assumptions!$A$12:$J$13,2,TRUE))</f>
        <v>0</v>
      </c>
      <c r="Q193">
        <f t="shared" si="150"/>
        <v>0</v>
      </c>
      <c r="R193">
        <f t="shared" si="116"/>
        <v>0</v>
      </c>
      <c r="S193">
        <f t="shared" si="144"/>
        <v>0</v>
      </c>
      <c r="T193">
        <f t="shared" si="145"/>
        <v>0</v>
      </c>
      <c r="U193">
        <f t="shared" si="117"/>
        <v>0</v>
      </c>
      <c r="V193">
        <f t="shared" si="118"/>
        <v>0</v>
      </c>
      <c r="W193">
        <f t="shared" si="119"/>
        <v>0</v>
      </c>
      <c r="X193">
        <f t="shared" si="110"/>
        <v>0</v>
      </c>
      <c r="Y193">
        <f t="shared" si="120"/>
        <v>0</v>
      </c>
      <c r="Z193">
        <f t="shared" si="121"/>
        <v>0</v>
      </c>
      <c r="AA193">
        <f t="shared" si="122"/>
        <v>0</v>
      </c>
      <c r="AB193">
        <f t="shared" si="123"/>
        <v>0</v>
      </c>
      <c r="AC193" s="23">
        <f>IF(B193&gt;$AJ$2,0,HLOOKUP(YEAR(A193),Assumptions!$A$25:$AL$29,4,TRUE)/100)</f>
        <v>0</v>
      </c>
      <c r="AD193">
        <f t="shared" si="124"/>
        <v>0</v>
      </c>
      <c r="AE193">
        <f t="shared" si="125"/>
        <v>0</v>
      </c>
      <c r="AF193">
        <f t="shared" si="126"/>
        <v>0</v>
      </c>
      <c r="AG193">
        <f t="shared" si="127"/>
        <v>0</v>
      </c>
      <c r="AH193">
        <f t="shared" si="128"/>
        <v>0</v>
      </c>
      <c r="AI193">
        <f t="shared" si="129"/>
        <v>0</v>
      </c>
      <c r="AJ193">
        <f t="shared" si="130"/>
        <v>0</v>
      </c>
      <c r="AK193">
        <f t="shared" si="131"/>
        <v>0</v>
      </c>
      <c r="AL193">
        <f t="shared" si="132"/>
        <v>0</v>
      </c>
      <c r="AM193">
        <f t="shared" si="111"/>
        <v>0</v>
      </c>
      <c r="AN193">
        <f>IF($S$2=0,0,(SUMPRODUCT($K$2:$R$2,Assumptions!$B$34:$I$34)/$U$2+$J$2/$U$2*Assumptions!$A$34*G193)*K193*O192)</f>
        <v>0</v>
      </c>
      <c r="AO193">
        <f t="shared" si="133"/>
        <v>0</v>
      </c>
      <c r="AP193">
        <f t="shared" si="134"/>
        <v>0</v>
      </c>
      <c r="AQ193">
        <f>IF(B193&gt;$AJ$2,0,AQ192*(1+Assumptions!$B$43)^(1/12))</f>
        <v>0</v>
      </c>
      <c r="AR193" s="27">
        <f>IF(B193&gt;$AJ$2,0,(O192+R192)*Assumptions!$B$39/12*AQ192+AV193*Assumptions!$B$41/12)</f>
        <v>0</v>
      </c>
      <c r="AS193">
        <f t="shared" si="135"/>
        <v>0</v>
      </c>
      <c r="AT193" s="28">
        <f t="shared" si="136"/>
        <v>0</v>
      </c>
      <c r="AU193">
        <f t="shared" si="137"/>
        <v>0</v>
      </c>
      <c r="AV193" s="28">
        <f t="shared" si="138"/>
        <v>0</v>
      </c>
      <c r="AW193" s="28">
        <f t="shared" si="139"/>
        <v>0</v>
      </c>
      <c r="AX193" s="23">
        <f>HLOOKUP(YEAR(A193),Assumptions!$A$25:$AL$29,2,TRUE)/100</f>
        <v>1.1739999999999999E-2</v>
      </c>
      <c r="AY193" s="29">
        <f>1/(1+HLOOKUP(YEAR(A193),Assumptions!$A$18:$AL$20,3,TRUE))^(1/12)</f>
        <v>0.9990016752017814</v>
      </c>
      <c r="AZ193" s="26">
        <f t="shared" si="140"/>
        <v>0</v>
      </c>
      <c r="BA193">
        <f t="shared" si="141"/>
        <v>0</v>
      </c>
      <c r="BB193">
        <f t="shared" si="142"/>
        <v>0</v>
      </c>
      <c r="BC193">
        <f t="shared" si="143"/>
        <v>0</v>
      </c>
    </row>
    <row r="194" spans="1:55" x14ac:dyDescent="0.2">
      <c r="A194" s="3">
        <f t="shared" si="112"/>
        <v>48669</v>
      </c>
      <c r="B194">
        <f t="shared" si="104"/>
        <v>196</v>
      </c>
      <c r="C194">
        <f t="shared" si="151"/>
        <v>16.25</v>
      </c>
      <c r="D194">
        <f t="shared" si="152"/>
        <v>0</v>
      </c>
      <c r="E194">
        <f t="shared" si="105"/>
        <v>72</v>
      </c>
      <c r="F194">
        <f>IF(C194&gt;=$T$2,0,VLOOKUP($E194,'Mortality Table'!$A$3:$C$128,2+AF$2,FALSE))</f>
        <v>0</v>
      </c>
      <c r="G194">
        <f>F194*Assumptions!$B$1</f>
        <v>0</v>
      </c>
      <c r="H194">
        <f t="shared" si="113"/>
        <v>0</v>
      </c>
      <c r="I194">
        <f t="shared" si="146"/>
        <v>0</v>
      </c>
      <c r="J194">
        <f>IF(B194&gt;$AJ$2,0,HLOOKUP(C194,Assumptions!$A$6:$J$7,2,TRUE))</f>
        <v>0</v>
      </c>
      <c r="K194" s="4">
        <f t="shared" si="147"/>
        <v>0</v>
      </c>
      <c r="L194" s="4">
        <f t="shared" si="114"/>
        <v>0</v>
      </c>
      <c r="M194" s="4">
        <f t="shared" si="148"/>
        <v>0</v>
      </c>
      <c r="N194">
        <f t="shared" si="115"/>
        <v>0</v>
      </c>
      <c r="O194" s="21">
        <f t="shared" si="149"/>
        <v>0</v>
      </c>
      <c r="P194">
        <f>IF(B194&gt;$AJ$2,0,HLOOKUP(C194,Assumptions!$A$12:$J$13,2,TRUE))</f>
        <v>0</v>
      </c>
      <c r="Q194">
        <f t="shared" si="150"/>
        <v>0</v>
      </c>
      <c r="R194">
        <f t="shared" si="116"/>
        <v>0</v>
      </c>
      <c r="S194">
        <f t="shared" si="144"/>
        <v>0</v>
      </c>
      <c r="T194">
        <f t="shared" si="145"/>
        <v>0</v>
      </c>
      <c r="U194">
        <f t="shared" si="117"/>
        <v>0</v>
      </c>
      <c r="V194">
        <f t="shared" si="118"/>
        <v>0</v>
      </c>
      <c r="W194">
        <f t="shared" si="119"/>
        <v>0</v>
      </c>
      <c r="X194">
        <f t="shared" si="110"/>
        <v>0</v>
      </c>
      <c r="Y194">
        <f t="shared" si="120"/>
        <v>0</v>
      </c>
      <c r="Z194">
        <f t="shared" si="121"/>
        <v>0</v>
      </c>
      <c r="AA194">
        <f t="shared" si="122"/>
        <v>0</v>
      </c>
      <c r="AB194">
        <f t="shared" si="123"/>
        <v>0</v>
      </c>
      <c r="AC194" s="23">
        <f>IF(B194&gt;$AJ$2,0,HLOOKUP(YEAR(A194),Assumptions!$A$25:$AL$29,4,TRUE)/100)</f>
        <v>0</v>
      </c>
      <c r="AD194">
        <f t="shared" si="124"/>
        <v>0</v>
      </c>
      <c r="AE194">
        <f t="shared" si="125"/>
        <v>0</v>
      </c>
      <c r="AF194">
        <f t="shared" si="126"/>
        <v>0</v>
      </c>
      <c r="AG194">
        <f t="shared" si="127"/>
        <v>0</v>
      </c>
      <c r="AH194">
        <f t="shared" si="128"/>
        <v>0</v>
      </c>
      <c r="AI194">
        <f t="shared" si="129"/>
        <v>0</v>
      </c>
      <c r="AJ194">
        <f t="shared" si="130"/>
        <v>0</v>
      </c>
      <c r="AK194">
        <f t="shared" si="131"/>
        <v>0</v>
      </c>
      <c r="AL194">
        <f t="shared" si="132"/>
        <v>0</v>
      </c>
      <c r="AM194">
        <f t="shared" si="111"/>
        <v>0</v>
      </c>
      <c r="AN194">
        <f>IF($S$2=0,0,(SUMPRODUCT($K$2:$R$2,Assumptions!$B$34:$I$34)/$U$2+$J$2/$U$2*Assumptions!$A$34*G194)*K194*O193)</f>
        <v>0</v>
      </c>
      <c r="AO194">
        <f t="shared" si="133"/>
        <v>0</v>
      </c>
      <c r="AP194">
        <f t="shared" si="134"/>
        <v>0</v>
      </c>
      <c r="AQ194">
        <f>IF(B194&gt;$AJ$2,0,AQ193*(1+Assumptions!$B$43)^(1/12))</f>
        <v>0</v>
      </c>
      <c r="AR194" s="27">
        <f>IF(B194&gt;$AJ$2,0,(O193+R193)*Assumptions!$B$39/12*AQ193+AV194*Assumptions!$B$41/12)</f>
        <v>0</v>
      </c>
      <c r="AS194">
        <f t="shared" si="135"/>
        <v>0</v>
      </c>
      <c r="AT194" s="28">
        <f t="shared" si="136"/>
        <v>0</v>
      </c>
      <c r="AU194">
        <f t="shared" si="137"/>
        <v>0</v>
      </c>
      <c r="AV194" s="28">
        <f t="shared" si="138"/>
        <v>0</v>
      </c>
      <c r="AW194" s="28">
        <f t="shared" si="139"/>
        <v>0</v>
      </c>
      <c r="AX194" s="23">
        <f>HLOOKUP(YEAR(A194),Assumptions!$A$25:$AL$29,2,TRUE)/100</f>
        <v>1.1739999999999999E-2</v>
      </c>
      <c r="AY194" s="29">
        <f>1/(1+HLOOKUP(YEAR(A194),Assumptions!$A$18:$AL$20,3,TRUE))^(1/12)</f>
        <v>0.9990016752017814</v>
      </c>
      <c r="AZ194" s="26">
        <f t="shared" si="140"/>
        <v>0</v>
      </c>
      <c r="BA194">
        <f t="shared" si="141"/>
        <v>0</v>
      </c>
      <c r="BB194">
        <f t="shared" si="142"/>
        <v>0</v>
      </c>
      <c r="BC194">
        <f t="shared" si="143"/>
        <v>0</v>
      </c>
    </row>
    <row r="195" spans="1:55" x14ac:dyDescent="0.2">
      <c r="A195" s="3">
        <f t="shared" si="112"/>
        <v>48699</v>
      </c>
      <c r="B195">
        <f t="shared" si="104"/>
        <v>197</v>
      </c>
      <c r="C195">
        <f t="shared" si="151"/>
        <v>16.333333333333332</v>
      </c>
      <c r="D195">
        <f t="shared" si="152"/>
        <v>0</v>
      </c>
      <c r="E195">
        <f t="shared" si="105"/>
        <v>72</v>
      </c>
      <c r="F195">
        <f>IF(C195&gt;=$T$2,0,VLOOKUP($E195,'Mortality Table'!$A$3:$C$128,2+AF$2,FALSE))</f>
        <v>0</v>
      </c>
      <c r="G195">
        <f>F195*Assumptions!$B$1</f>
        <v>0</v>
      </c>
      <c r="H195">
        <f t="shared" si="113"/>
        <v>0</v>
      </c>
      <c r="I195">
        <f t="shared" si="146"/>
        <v>0</v>
      </c>
      <c r="J195">
        <f>IF(B195&gt;$AJ$2,0,HLOOKUP(C195,Assumptions!$A$6:$J$7,2,TRUE))</f>
        <v>0</v>
      </c>
      <c r="K195" s="4">
        <f t="shared" si="147"/>
        <v>0</v>
      </c>
      <c r="L195" s="4">
        <f t="shared" si="114"/>
        <v>0</v>
      </c>
      <c r="M195" s="4">
        <f t="shared" si="148"/>
        <v>0</v>
      </c>
      <c r="N195">
        <f t="shared" si="115"/>
        <v>0</v>
      </c>
      <c r="O195" s="21">
        <f t="shared" si="149"/>
        <v>0</v>
      </c>
      <c r="P195">
        <f>IF(B195&gt;$AJ$2,0,HLOOKUP(C195,Assumptions!$A$12:$J$13,2,TRUE))</f>
        <v>0</v>
      </c>
      <c r="Q195">
        <f t="shared" si="150"/>
        <v>0</v>
      </c>
      <c r="R195">
        <f t="shared" si="116"/>
        <v>0</v>
      </c>
      <c r="S195">
        <f t="shared" si="144"/>
        <v>0</v>
      </c>
      <c r="T195">
        <f t="shared" si="145"/>
        <v>0</v>
      </c>
      <c r="U195">
        <f t="shared" si="117"/>
        <v>0</v>
      </c>
      <c r="V195">
        <f t="shared" si="118"/>
        <v>0</v>
      </c>
      <c r="W195">
        <f t="shared" si="119"/>
        <v>0</v>
      </c>
      <c r="X195">
        <f t="shared" si="110"/>
        <v>0</v>
      </c>
      <c r="Y195">
        <f t="shared" si="120"/>
        <v>0</v>
      </c>
      <c r="Z195">
        <f t="shared" si="121"/>
        <v>0</v>
      </c>
      <c r="AA195">
        <f t="shared" si="122"/>
        <v>0</v>
      </c>
      <c r="AB195">
        <f t="shared" si="123"/>
        <v>0</v>
      </c>
      <c r="AC195" s="23">
        <f>IF(B195&gt;$AJ$2,0,HLOOKUP(YEAR(A195),Assumptions!$A$25:$AL$29,4,TRUE)/100)</f>
        <v>0</v>
      </c>
      <c r="AD195">
        <f t="shared" si="124"/>
        <v>0</v>
      </c>
      <c r="AE195">
        <f t="shared" si="125"/>
        <v>0</v>
      </c>
      <c r="AF195">
        <f t="shared" si="126"/>
        <v>0</v>
      </c>
      <c r="AG195">
        <f t="shared" si="127"/>
        <v>0</v>
      </c>
      <c r="AH195">
        <f t="shared" si="128"/>
        <v>0</v>
      </c>
      <c r="AI195">
        <f t="shared" si="129"/>
        <v>0</v>
      </c>
      <c r="AJ195">
        <f t="shared" si="130"/>
        <v>0</v>
      </c>
      <c r="AK195">
        <f t="shared" si="131"/>
        <v>0</v>
      </c>
      <c r="AL195">
        <f t="shared" si="132"/>
        <v>0</v>
      </c>
      <c r="AM195">
        <f t="shared" si="111"/>
        <v>0</v>
      </c>
      <c r="AN195">
        <f>IF($S$2=0,0,(SUMPRODUCT($K$2:$R$2,Assumptions!$B$34:$I$34)/$U$2+$J$2/$U$2*Assumptions!$A$34*G195)*K195*O194)</f>
        <v>0</v>
      </c>
      <c r="AO195">
        <f t="shared" si="133"/>
        <v>0</v>
      </c>
      <c r="AP195">
        <f t="shared" si="134"/>
        <v>0</v>
      </c>
      <c r="AQ195">
        <f>IF(B195&gt;$AJ$2,0,AQ194*(1+Assumptions!$B$43)^(1/12))</f>
        <v>0</v>
      </c>
      <c r="AR195" s="27">
        <f>IF(B195&gt;$AJ$2,0,(O194+R194)*Assumptions!$B$39/12*AQ194+AV195*Assumptions!$B$41/12)</f>
        <v>0</v>
      </c>
      <c r="AS195">
        <f t="shared" si="135"/>
        <v>0</v>
      </c>
      <c r="AT195" s="28">
        <f t="shared" si="136"/>
        <v>0</v>
      </c>
      <c r="AU195">
        <f t="shared" si="137"/>
        <v>0</v>
      </c>
      <c r="AV195" s="28">
        <f t="shared" si="138"/>
        <v>0</v>
      </c>
      <c r="AW195" s="28">
        <f t="shared" si="139"/>
        <v>0</v>
      </c>
      <c r="AX195" s="23">
        <f>HLOOKUP(YEAR(A195),Assumptions!$A$25:$AL$29,2,TRUE)/100</f>
        <v>1.1739999999999999E-2</v>
      </c>
      <c r="AY195" s="29">
        <f>1/(1+HLOOKUP(YEAR(A195),Assumptions!$A$18:$AL$20,3,TRUE))^(1/12)</f>
        <v>0.9990016752017814</v>
      </c>
      <c r="AZ195" s="26">
        <f t="shared" si="140"/>
        <v>0</v>
      </c>
      <c r="BA195">
        <f t="shared" si="141"/>
        <v>0</v>
      </c>
      <c r="BB195">
        <f t="shared" si="142"/>
        <v>0</v>
      </c>
      <c r="BC195">
        <f t="shared" si="143"/>
        <v>0</v>
      </c>
    </row>
    <row r="196" spans="1:55" x14ac:dyDescent="0.2">
      <c r="A196" s="3">
        <f t="shared" si="112"/>
        <v>48730</v>
      </c>
      <c r="B196">
        <f t="shared" si="104"/>
        <v>198</v>
      </c>
      <c r="C196">
        <f t="shared" si="151"/>
        <v>16.416666666666668</v>
      </c>
      <c r="D196">
        <f t="shared" si="152"/>
        <v>0</v>
      </c>
      <c r="E196">
        <f t="shared" si="105"/>
        <v>72</v>
      </c>
      <c r="F196">
        <f>IF(C196&gt;=$T$2,0,VLOOKUP($E196,'Mortality Table'!$A$3:$C$128,2+AF$2,FALSE))</f>
        <v>0</v>
      </c>
      <c r="G196">
        <f>F196*Assumptions!$B$1</f>
        <v>0</v>
      </c>
      <c r="H196">
        <f t="shared" si="113"/>
        <v>0</v>
      </c>
      <c r="I196">
        <f t="shared" si="146"/>
        <v>0</v>
      </c>
      <c r="J196">
        <f>IF(B196&gt;$AJ$2,0,HLOOKUP(C196,Assumptions!$A$6:$J$7,2,TRUE))</f>
        <v>0</v>
      </c>
      <c r="K196" s="4">
        <f t="shared" si="147"/>
        <v>0</v>
      </c>
      <c r="L196" s="4">
        <f t="shared" si="114"/>
        <v>0</v>
      </c>
      <c r="M196" s="4">
        <f t="shared" si="148"/>
        <v>0</v>
      </c>
      <c r="N196">
        <f t="shared" si="115"/>
        <v>0</v>
      </c>
      <c r="O196" s="21">
        <f t="shared" si="149"/>
        <v>0</v>
      </c>
      <c r="P196">
        <f>IF(B196&gt;$AJ$2,0,HLOOKUP(C196,Assumptions!$A$12:$J$13,2,TRUE))</f>
        <v>0</v>
      </c>
      <c r="Q196">
        <f t="shared" si="150"/>
        <v>0</v>
      </c>
      <c r="R196">
        <f t="shared" si="116"/>
        <v>0</v>
      </c>
      <c r="S196">
        <f t="shared" si="144"/>
        <v>0</v>
      </c>
      <c r="T196">
        <f t="shared" si="145"/>
        <v>0</v>
      </c>
      <c r="U196">
        <f t="shared" si="117"/>
        <v>0</v>
      </c>
      <c r="V196">
        <f t="shared" si="118"/>
        <v>0</v>
      </c>
      <c r="W196">
        <f t="shared" si="119"/>
        <v>0</v>
      </c>
      <c r="X196">
        <f t="shared" si="110"/>
        <v>0</v>
      </c>
      <c r="Y196">
        <f t="shared" si="120"/>
        <v>0</v>
      </c>
      <c r="Z196">
        <f t="shared" si="121"/>
        <v>0</v>
      </c>
      <c r="AA196">
        <f t="shared" si="122"/>
        <v>0</v>
      </c>
      <c r="AB196">
        <f t="shared" si="123"/>
        <v>0</v>
      </c>
      <c r="AC196" s="23">
        <f>IF(B196&gt;$AJ$2,0,HLOOKUP(YEAR(A196),Assumptions!$A$25:$AL$29,4,TRUE)/100)</f>
        <v>0</v>
      </c>
      <c r="AD196">
        <f t="shared" si="124"/>
        <v>0</v>
      </c>
      <c r="AE196">
        <f t="shared" si="125"/>
        <v>0</v>
      </c>
      <c r="AF196">
        <f t="shared" si="126"/>
        <v>0</v>
      </c>
      <c r="AG196">
        <f t="shared" si="127"/>
        <v>0</v>
      </c>
      <c r="AH196">
        <f t="shared" si="128"/>
        <v>0</v>
      </c>
      <c r="AI196">
        <f t="shared" si="129"/>
        <v>0</v>
      </c>
      <c r="AJ196">
        <f t="shared" si="130"/>
        <v>0</v>
      </c>
      <c r="AK196">
        <f t="shared" si="131"/>
        <v>0</v>
      </c>
      <c r="AL196">
        <f t="shared" si="132"/>
        <v>0</v>
      </c>
      <c r="AM196">
        <f t="shared" si="111"/>
        <v>0</v>
      </c>
      <c r="AN196">
        <f>IF($S$2=0,0,(SUMPRODUCT($K$2:$R$2,Assumptions!$B$34:$I$34)/$U$2+$J$2/$U$2*Assumptions!$A$34*G196)*K196*O195)</f>
        <v>0</v>
      </c>
      <c r="AO196">
        <f t="shared" si="133"/>
        <v>0</v>
      </c>
      <c r="AP196">
        <f t="shared" si="134"/>
        <v>0</v>
      </c>
      <c r="AQ196">
        <f>IF(B196&gt;$AJ$2,0,AQ195*(1+Assumptions!$B$43)^(1/12))</f>
        <v>0</v>
      </c>
      <c r="AR196" s="27">
        <f>IF(B196&gt;$AJ$2,0,(O195+R195)*Assumptions!$B$39/12*AQ195+AV196*Assumptions!$B$41/12)</f>
        <v>0</v>
      </c>
      <c r="AS196">
        <f t="shared" si="135"/>
        <v>0</v>
      </c>
      <c r="AT196" s="28">
        <f t="shared" si="136"/>
        <v>0</v>
      </c>
      <c r="AU196">
        <f t="shared" si="137"/>
        <v>0</v>
      </c>
      <c r="AV196" s="28">
        <f t="shared" si="138"/>
        <v>0</v>
      </c>
      <c r="AW196" s="28">
        <f t="shared" si="139"/>
        <v>0</v>
      </c>
      <c r="AX196" s="23">
        <f>HLOOKUP(YEAR(A196),Assumptions!$A$25:$AL$29,2,TRUE)/100</f>
        <v>1.1739999999999999E-2</v>
      </c>
      <c r="AY196" s="29">
        <f>1/(1+HLOOKUP(YEAR(A196),Assumptions!$A$18:$AL$20,3,TRUE))^(1/12)</f>
        <v>0.9990016752017814</v>
      </c>
      <c r="AZ196" s="26">
        <f t="shared" si="140"/>
        <v>0</v>
      </c>
      <c r="BA196">
        <f t="shared" si="141"/>
        <v>0</v>
      </c>
      <c r="BB196">
        <f t="shared" si="142"/>
        <v>0</v>
      </c>
      <c r="BC196">
        <f t="shared" si="143"/>
        <v>0</v>
      </c>
    </row>
    <row r="197" spans="1:55" x14ac:dyDescent="0.2">
      <c r="A197" s="3">
        <f t="shared" si="112"/>
        <v>48760</v>
      </c>
      <c r="B197">
        <f t="shared" si="104"/>
        <v>199</v>
      </c>
      <c r="C197">
        <f t="shared" si="151"/>
        <v>16.5</v>
      </c>
      <c r="D197">
        <f t="shared" si="152"/>
        <v>0</v>
      </c>
      <c r="E197">
        <f t="shared" si="105"/>
        <v>72</v>
      </c>
      <c r="F197">
        <f>IF(C197&gt;=$T$2,0,VLOOKUP($E197,'Mortality Table'!$A$3:$C$128,2+AF$2,FALSE))</f>
        <v>0</v>
      </c>
      <c r="G197">
        <f>F197*Assumptions!$B$1</f>
        <v>0</v>
      </c>
      <c r="H197">
        <f t="shared" si="113"/>
        <v>0</v>
      </c>
      <c r="I197">
        <f t="shared" si="146"/>
        <v>0</v>
      </c>
      <c r="J197">
        <f>IF(B197&gt;$AJ$2,0,HLOOKUP(C197,Assumptions!$A$6:$J$7,2,TRUE))</f>
        <v>0</v>
      </c>
      <c r="K197" s="4">
        <f t="shared" si="147"/>
        <v>0</v>
      </c>
      <c r="L197" s="4">
        <f t="shared" si="114"/>
        <v>0</v>
      </c>
      <c r="M197" s="4">
        <f t="shared" si="148"/>
        <v>0</v>
      </c>
      <c r="N197">
        <f t="shared" si="115"/>
        <v>0</v>
      </c>
      <c r="O197" s="21">
        <f t="shared" si="149"/>
        <v>0</v>
      </c>
      <c r="P197">
        <f>IF(B197&gt;$AJ$2,0,HLOOKUP(C197,Assumptions!$A$12:$J$13,2,TRUE))</f>
        <v>0</v>
      </c>
      <c r="Q197">
        <f t="shared" si="150"/>
        <v>0</v>
      </c>
      <c r="R197">
        <f t="shared" si="116"/>
        <v>0</v>
      </c>
      <c r="S197">
        <f t="shared" si="144"/>
        <v>0</v>
      </c>
      <c r="T197">
        <f t="shared" si="145"/>
        <v>0</v>
      </c>
      <c r="U197">
        <f t="shared" si="117"/>
        <v>0</v>
      </c>
      <c r="V197">
        <f t="shared" si="118"/>
        <v>0</v>
      </c>
      <c r="W197">
        <f t="shared" si="119"/>
        <v>0</v>
      </c>
      <c r="X197">
        <f t="shared" si="110"/>
        <v>0</v>
      </c>
      <c r="Y197">
        <f t="shared" si="120"/>
        <v>0</v>
      </c>
      <c r="Z197">
        <f t="shared" si="121"/>
        <v>0</v>
      </c>
      <c r="AA197">
        <f t="shared" si="122"/>
        <v>0</v>
      </c>
      <c r="AB197">
        <f t="shared" si="123"/>
        <v>0</v>
      </c>
      <c r="AC197" s="23">
        <f>IF(B197&gt;$AJ$2,0,HLOOKUP(YEAR(A197),Assumptions!$A$25:$AL$29,4,TRUE)/100)</f>
        <v>0</v>
      </c>
      <c r="AD197">
        <f t="shared" si="124"/>
        <v>0</v>
      </c>
      <c r="AE197">
        <f t="shared" si="125"/>
        <v>0</v>
      </c>
      <c r="AF197">
        <f t="shared" si="126"/>
        <v>0</v>
      </c>
      <c r="AG197">
        <f t="shared" si="127"/>
        <v>0</v>
      </c>
      <c r="AH197">
        <f t="shared" si="128"/>
        <v>0</v>
      </c>
      <c r="AI197">
        <f t="shared" si="129"/>
        <v>0</v>
      </c>
      <c r="AJ197">
        <f t="shared" si="130"/>
        <v>0</v>
      </c>
      <c r="AK197">
        <f t="shared" si="131"/>
        <v>0</v>
      </c>
      <c r="AL197">
        <f t="shared" si="132"/>
        <v>0</v>
      </c>
      <c r="AM197">
        <f t="shared" si="111"/>
        <v>0</v>
      </c>
      <c r="AN197">
        <f>IF($S$2=0,0,(SUMPRODUCT($K$2:$R$2,Assumptions!$B$34:$I$34)/$U$2+$J$2/$U$2*Assumptions!$A$34*G197)*K197*O196)</f>
        <v>0</v>
      </c>
      <c r="AO197">
        <f t="shared" si="133"/>
        <v>0</v>
      </c>
      <c r="AP197">
        <f t="shared" si="134"/>
        <v>0</v>
      </c>
      <c r="AQ197">
        <f>IF(B197&gt;$AJ$2,0,AQ196*(1+Assumptions!$B$43)^(1/12))</f>
        <v>0</v>
      </c>
      <c r="AR197" s="27">
        <f>IF(B197&gt;$AJ$2,0,(O196+R196)*Assumptions!$B$39/12*AQ196+AV197*Assumptions!$B$41/12)</f>
        <v>0</v>
      </c>
      <c r="AS197">
        <f t="shared" si="135"/>
        <v>0</v>
      </c>
      <c r="AT197" s="28">
        <f t="shared" si="136"/>
        <v>0</v>
      </c>
      <c r="AU197">
        <f t="shared" si="137"/>
        <v>0</v>
      </c>
      <c r="AV197" s="28">
        <f t="shared" si="138"/>
        <v>0</v>
      </c>
      <c r="AW197" s="28">
        <f t="shared" si="139"/>
        <v>0</v>
      </c>
      <c r="AX197" s="23">
        <f>HLOOKUP(YEAR(A197),Assumptions!$A$25:$AL$29,2,TRUE)/100</f>
        <v>1.1739999999999999E-2</v>
      </c>
      <c r="AY197" s="29">
        <f>1/(1+HLOOKUP(YEAR(A197),Assumptions!$A$18:$AL$20,3,TRUE))^(1/12)</f>
        <v>0.9990016752017814</v>
      </c>
      <c r="AZ197" s="26">
        <f t="shared" si="140"/>
        <v>0</v>
      </c>
      <c r="BA197">
        <f t="shared" si="141"/>
        <v>0</v>
      </c>
      <c r="BB197">
        <f t="shared" si="142"/>
        <v>0</v>
      </c>
      <c r="BC197">
        <f t="shared" si="143"/>
        <v>0</v>
      </c>
    </row>
    <row r="198" spans="1:55" x14ac:dyDescent="0.2">
      <c r="A198" s="3">
        <f t="shared" si="112"/>
        <v>48791</v>
      </c>
      <c r="B198">
        <f t="shared" si="104"/>
        <v>200</v>
      </c>
      <c r="C198">
        <f t="shared" si="151"/>
        <v>16.583333333333332</v>
      </c>
      <c r="D198">
        <f t="shared" si="152"/>
        <v>0</v>
      </c>
      <c r="E198">
        <f t="shared" si="105"/>
        <v>72</v>
      </c>
      <c r="F198">
        <f>IF(C198&gt;=$T$2,0,VLOOKUP($E198,'Mortality Table'!$A$3:$C$128,2+AF$2,FALSE))</f>
        <v>0</v>
      </c>
      <c r="G198">
        <f>F198*Assumptions!$B$1</f>
        <v>0</v>
      </c>
      <c r="H198">
        <f t="shared" si="113"/>
        <v>0</v>
      </c>
      <c r="I198">
        <f t="shared" si="146"/>
        <v>0</v>
      </c>
      <c r="J198">
        <f>IF(B198&gt;$AJ$2,0,HLOOKUP(C198,Assumptions!$A$6:$J$7,2,TRUE))</f>
        <v>0</v>
      </c>
      <c r="K198" s="4">
        <f t="shared" si="147"/>
        <v>0</v>
      </c>
      <c r="L198" s="4">
        <f t="shared" si="114"/>
        <v>0</v>
      </c>
      <c r="M198" s="4">
        <f t="shared" si="148"/>
        <v>0</v>
      </c>
      <c r="N198">
        <f t="shared" si="115"/>
        <v>0</v>
      </c>
      <c r="O198" s="21">
        <f t="shared" si="149"/>
        <v>0</v>
      </c>
      <c r="P198">
        <f>IF(B198&gt;$AJ$2,0,HLOOKUP(C198,Assumptions!$A$12:$J$13,2,TRUE))</f>
        <v>0</v>
      </c>
      <c r="Q198">
        <f t="shared" si="150"/>
        <v>0</v>
      </c>
      <c r="R198">
        <f t="shared" si="116"/>
        <v>0</v>
      </c>
      <c r="S198">
        <f t="shared" si="144"/>
        <v>0</v>
      </c>
      <c r="T198">
        <f t="shared" si="145"/>
        <v>0</v>
      </c>
      <c r="U198">
        <f t="shared" si="117"/>
        <v>0</v>
      </c>
      <c r="V198">
        <f t="shared" si="118"/>
        <v>0</v>
      </c>
      <c r="W198">
        <f t="shared" si="119"/>
        <v>0</v>
      </c>
      <c r="X198">
        <f t="shared" si="110"/>
        <v>0</v>
      </c>
      <c r="Y198">
        <f t="shared" si="120"/>
        <v>0</v>
      </c>
      <c r="Z198">
        <f t="shared" si="121"/>
        <v>0</v>
      </c>
      <c r="AA198">
        <f t="shared" si="122"/>
        <v>0</v>
      </c>
      <c r="AB198">
        <f t="shared" si="123"/>
        <v>0</v>
      </c>
      <c r="AC198" s="23">
        <f>IF(B198&gt;$AJ$2,0,HLOOKUP(YEAR(A198),Assumptions!$A$25:$AL$29,4,TRUE)/100)</f>
        <v>0</v>
      </c>
      <c r="AD198">
        <f t="shared" si="124"/>
        <v>0</v>
      </c>
      <c r="AE198">
        <f t="shared" si="125"/>
        <v>0</v>
      </c>
      <c r="AF198">
        <f t="shared" si="126"/>
        <v>0</v>
      </c>
      <c r="AG198">
        <f t="shared" si="127"/>
        <v>0</v>
      </c>
      <c r="AH198">
        <f t="shared" si="128"/>
        <v>0</v>
      </c>
      <c r="AI198">
        <f t="shared" si="129"/>
        <v>0</v>
      </c>
      <c r="AJ198">
        <f t="shared" si="130"/>
        <v>0</v>
      </c>
      <c r="AK198">
        <f t="shared" si="131"/>
        <v>0</v>
      </c>
      <c r="AL198">
        <f t="shared" si="132"/>
        <v>0</v>
      </c>
      <c r="AM198">
        <f t="shared" si="111"/>
        <v>0</v>
      </c>
      <c r="AN198">
        <f>IF($S$2=0,0,(SUMPRODUCT($K$2:$R$2,Assumptions!$B$34:$I$34)/$U$2+$J$2/$U$2*Assumptions!$A$34*G198)*K198*O197)</f>
        <v>0</v>
      </c>
      <c r="AO198">
        <f t="shared" si="133"/>
        <v>0</v>
      </c>
      <c r="AP198">
        <f t="shared" si="134"/>
        <v>0</v>
      </c>
      <c r="AQ198">
        <f>IF(B198&gt;$AJ$2,0,AQ197*(1+Assumptions!$B$43)^(1/12))</f>
        <v>0</v>
      </c>
      <c r="AR198" s="27">
        <f>IF(B198&gt;$AJ$2,0,(O197+R197)*Assumptions!$B$39/12*AQ197+AV198*Assumptions!$B$41/12)</f>
        <v>0</v>
      </c>
      <c r="AS198">
        <f t="shared" si="135"/>
        <v>0</v>
      </c>
      <c r="AT198" s="28">
        <f t="shared" si="136"/>
        <v>0</v>
      </c>
      <c r="AU198">
        <f t="shared" si="137"/>
        <v>0</v>
      </c>
      <c r="AV198" s="28">
        <f t="shared" si="138"/>
        <v>0</v>
      </c>
      <c r="AW198" s="28">
        <f t="shared" si="139"/>
        <v>0</v>
      </c>
      <c r="AX198" s="23">
        <f>HLOOKUP(YEAR(A198),Assumptions!$A$25:$AL$29,2,TRUE)/100</f>
        <v>1.1739999999999999E-2</v>
      </c>
      <c r="AY198" s="29">
        <f>1/(1+HLOOKUP(YEAR(A198),Assumptions!$A$18:$AL$20,3,TRUE))^(1/12)</f>
        <v>0.9990016752017814</v>
      </c>
      <c r="AZ198" s="26">
        <f t="shared" si="140"/>
        <v>0</v>
      </c>
      <c r="BA198">
        <f t="shared" si="141"/>
        <v>0</v>
      </c>
      <c r="BB198">
        <f t="shared" si="142"/>
        <v>0</v>
      </c>
      <c r="BC198">
        <f t="shared" si="143"/>
        <v>0</v>
      </c>
    </row>
    <row r="199" spans="1:55" x14ac:dyDescent="0.2">
      <c r="A199" s="3">
        <f t="shared" si="112"/>
        <v>48822</v>
      </c>
      <c r="B199">
        <f t="shared" si="104"/>
        <v>201</v>
      </c>
      <c r="C199">
        <f t="shared" si="151"/>
        <v>16.666666666666668</v>
      </c>
      <c r="D199">
        <f t="shared" si="152"/>
        <v>0</v>
      </c>
      <c r="E199">
        <f t="shared" si="105"/>
        <v>72</v>
      </c>
      <c r="F199">
        <f>IF(C199&gt;=$T$2,0,VLOOKUP($E199,'Mortality Table'!$A$3:$C$128,2+AF$2,FALSE))</f>
        <v>0</v>
      </c>
      <c r="G199">
        <f>F199*Assumptions!$B$1</f>
        <v>0</v>
      </c>
      <c r="H199">
        <f t="shared" si="113"/>
        <v>0</v>
      </c>
      <c r="I199">
        <f t="shared" si="146"/>
        <v>0</v>
      </c>
      <c r="J199">
        <f>IF(B199&gt;$AJ$2,0,HLOOKUP(C199,Assumptions!$A$6:$J$7,2,TRUE))</f>
        <v>0</v>
      </c>
      <c r="K199" s="4">
        <f t="shared" si="147"/>
        <v>0</v>
      </c>
      <c r="L199" s="4">
        <f t="shared" si="114"/>
        <v>0</v>
      </c>
      <c r="M199" s="4">
        <f t="shared" si="148"/>
        <v>0</v>
      </c>
      <c r="N199">
        <f t="shared" si="115"/>
        <v>0</v>
      </c>
      <c r="O199" s="21">
        <f t="shared" si="149"/>
        <v>0</v>
      </c>
      <c r="P199">
        <f>IF(B199&gt;$AJ$2,0,HLOOKUP(C199,Assumptions!$A$12:$J$13,2,TRUE))</f>
        <v>0</v>
      </c>
      <c r="Q199">
        <f t="shared" si="150"/>
        <v>0</v>
      </c>
      <c r="R199">
        <f t="shared" si="116"/>
        <v>0</v>
      </c>
      <c r="S199">
        <f t="shared" si="144"/>
        <v>0</v>
      </c>
      <c r="T199">
        <f t="shared" si="145"/>
        <v>0</v>
      </c>
      <c r="U199">
        <f t="shared" si="117"/>
        <v>0</v>
      </c>
      <c r="V199">
        <f t="shared" si="118"/>
        <v>0</v>
      </c>
      <c r="W199">
        <f t="shared" si="119"/>
        <v>0</v>
      </c>
      <c r="X199">
        <f t="shared" si="110"/>
        <v>0</v>
      </c>
      <c r="Y199">
        <f t="shared" si="120"/>
        <v>0</v>
      </c>
      <c r="Z199">
        <f t="shared" si="121"/>
        <v>0</v>
      </c>
      <c r="AA199">
        <f t="shared" si="122"/>
        <v>0</v>
      </c>
      <c r="AB199">
        <f t="shared" si="123"/>
        <v>0</v>
      </c>
      <c r="AC199" s="23">
        <f>IF(B199&gt;$AJ$2,0,HLOOKUP(YEAR(A199),Assumptions!$A$25:$AL$29,4,TRUE)/100)</f>
        <v>0</v>
      </c>
      <c r="AD199">
        <f t="shared" si="124"/>
        <v>0</v>
      </c>
      <c r="AE199">
        <f t="shared" si="125"/>
        <v>0</v>
      </c>
      <c r="AF199">
        <f t="shared" si="126"/>
        <v>0</v>
      </c>
      <c r="AG199">
        <f t="shared" si="127"/>
        <v>0</v>
      </c>
      <c r="AH199">
        <f t="shared" si="128"/>
        <v>0</v>
      </c>
      <c r="AI199">
        <f t="shared" si="129"/>
        <v>0</v>
      </c>
      <c r="AJ199">
        <f t="shared" si="130"/>
        <v>0</v>
      </c>
      <c r="AK199">
        <f t="shared" si="131"/>
        <v>0</v>
      </c>
      <c r="AL199">
        <f t="shared" si="132"/>
        <v>0</v>
      </c>
      <c r="AM199">
        <f t="shared" si="111"/>
        <v>0</v>
      </c>
      <c r="AN199">
        <f>IF($S$2=0,0,(SUMPRODUCT($K$2:$R$2,Assumptions!$B$34:$I$34)/$U$2+$J$2/$U$2*Assumptions!$A$34*G199)*K199*O198)</f>
        <v>0</v>
      </c>
      <c r="AO199">
        <f t="shared" si="133"/>
        <v>0</v>
      </c>
      <c r="AP199">
        <f t="shared" si="134"/>
        <v>0</v>
      </c>
      <c r="AQ199">
        <f>IF(B199&gt;$AJ$2,0,AQ198*(1+Assumptions!$B$43)^(1/12))</f>
        <v>0</v>
      </c>
      <c r="AR199" s="27">
        <f>IF(B199&gt;$AJ$2,0,(O198+R198)*Assumptions!$B$39/12*AQ198+AV199*Assumptions!$B$41/12)</f>
        <v>0</v>
      </c>
      <c r="AS199">
        <f t="shared" si="135"/>
        <v>0</v>
      </c>
      <c r="AT199" s="28">
        <f t="shared" si="136"/>
        <v>0</v>
      </c>
      <c r="AU199">
        <f t="shared" si="137"/>
        <v>0</v>
      </c>
      <c r="AV199" s="28">
        <f t="shared" si="138"/>
        <v>0</v>
      </c>
      <c r="AW199" s="28">
        <f t="shared" si="139"/>
        <v>0</v>
      </c>
      <c r="AX199" s="23">
        <f>HLOOKUP(YEAR(A199),Assumptions!$A$25:$AL$29,2,TRUE)/100</f>
        <v>1.1739999999999999E-2</v>
      </c>
      <c r="AY199" s="29">
        <f>1/(1+HLOOKUP(YEAR(A199),Assumptions!$A$18:$AL$20,3,TRUE))^(1/12)</f>
        <v>0.9990016752017814</v>
      </c>
      <c r="AZ199" s="26">
        <f t="shared" si="140"/>
        <v>0</v>
      </c>
      <c r="BA199">
        <f t="shared" si="141"/>
        <v>0</v>
      </c>
      <c r="BB199">
        <f t="shared" si="142"/>
        <v>0</v>
      </c>
      <c r="BC199">
        <f t="shared" si="143"/>
        <v>0</v>
      </c>
    </row>
    <row r="200" spans="1:55" x14ac:dyDescent="0.2">
      <c r="A200" s="3">
        <f t="shared" si="112"/>
        <v>48852</v>
      </c>
      <c r="B200">
        <f t="shared" si="104"/>
        <v>202</v>
      </c>
      <c r="C200">
        <f t="shared" si="151"/>
        <v>16.75</v>
      </c>
      <c r="D200">
        <f t="shared" si="152"/>
        <v>0</v>
      </c>
      <c r="E200">
        <f t="shared" si="105"/>
        <v>72</v>
      </c>
      <c r="F200">
        <f>IF(C200&gt;=$T$2,0,VLOOKUP($E200,'Mortality Table'!$A$3:$C$128,2+AF$2,FALSE))</f>
        <v>0</v>
      </c>
      <c r="G200">
        <f>F200*Assumptions!$B$1</f>
        <v>0</v>
      </c>
      <c r="H200">
        <f t="shared" si="113"/>
        <v>0</v>
      </c>
      <c r="I200">
        <f t="shared" si="146"/>
        <v>0</v>
      </c>
      <c r="J200">
        <f>IF(B200&gt;$AJ$2,0,HLOOKUP(C200,Assumptions!$A$6:$J$7,2,TRUE))</f>
        <v>0</v>
      </c>
      <c r="K200" s="4">
        <f t="shared" si="147"/>
        <v>0</v>
      </c>
      <c r="L200" s="4">
        <f t="shared" si="114"/>
        <v>0</v>
      </c>
      <c r="M200" s="4">
        <f t="shared" si="148"/>
        <v>0</v>
      </c>
      <c r="N200">
        <f t="shared" si="115"/>
        <v>0</v>
      </c>
      <c r="O200" s="21">
        <f t="shared" si="149"/>
        <v>0</v>
      </c>
      <c r="P200">
        <f>IF(B200&gt;$AJ$2,0,HLOOKUP(C200,Assumptions!$A$12:$J$13,2,TRUE))</f>
        <v>0</v>
      </c>
      <c r="Q200">
        <f t="shared" si="150"/>
        <v>0</v>
      </c>
      <c r="R200">
        <f t="shared" si="116"/>
        <v>0</v>
      </c>
      <c r="S200">
        <f t="shared" si="144"/>
        <v>0</v>
      </c>
      <c r="T200">
        <f t="shared" si="145"/>
        <v>0</v>
      </c>
      <c r="U200">
        <f t="shared" si="117"/>
        <v>0</v>
      </c>
      <c r="V200">
        <f t="shared" si="118"/>
        <v>0</v>
      </c>
      <c r="W200">
        <f t="shared" si="119"/>
        <v>0</v>
      </c>
      <c r="X200">
        <f t="shared" si="110"/>
        <v>0</v>
      </c>
      <c r="Y200">
        <f t="shared" si="120"/>
        <v>0</v>
      </c>
      <c r="Z200">
        <f t="shared" si="121"/>
        <v>0</v>
      </c>
      <c r="AA200">
        <f t="shared" si="122"/>
        <v>0</v>
      </c>
      <c r="AB200">
        <f t="shared" si="123"/>
        <v>0</v>
      </c>
      <c r="AC200" s="23">
        <f>IF(B200&gt;$AJ$2,0,HLOOKUP(YEAR(A200),Assumptions!$A$25:$AL$29,4,TRUE)/100)</f>
        <v>0</v>
      </c>
      <c r="AD200">
        <f t="shared" si="124"/>
        <v>0</v>
      </c>
      <c r="AE200">
        <f t="shared" si="125"/>
        <v>0</v>
      </c>
      <c r="AF200">
        <f t="shared" si="126"/>
        <v>0</v>
      </c>
      <c r="AG200">
        <f t="shared" si="127"/>
        <v>0</v>
      </c>
      <c r="AH200">
        <f t="shared" si="128"/>
        <v>0</v>
      </c>
      <c r="AI200">
        <f t="shared" si="129"/>
        <v>0</v>
      </c>
      <c r="AJ200">
        <f t="shared" si="130"/>
        <v>0</v>
      </c>
      <c r="AK200">
        <f t="shared" si="131"/>
        <v>0</v>
      </c>
      <c r="AL200">
        <f t="shared" si="132"/>
        <v>0</v>
      </c>
      <c r="AM200">
        <f t="shared" si="111"/>
        <v>0</v>
      </c>
      <c r="AN200">
        <f>IF($S$2=0,0,(SUMPRODUCT($K$2:$R$2,Assumptions!$B$34:$I$34)/$U$2+$J$2/$U$2*Assumptions!$A$34*G200)*K200*O199)</f>
        <v>0</v>
      </c>
      <c r="AO200">
        <f t="shared" si="133"/>
        <v>0</v>
      </c>
      <c r="AP200">
        <f t="shared" si="134"/>
        <v>0</v>
      </c>
      <c r="AQ200">
        <f>IF(B200&gt;$AJ$2,0,AQ199*(1+Assumptions!$B$43)^(1/12))</f>
        <v>0</v>
      </c>
      <c r="AR200" s="27">
        <f>IF(B200&gt;$AJ$2,0,(O199+R199)*Assumptions!$B$39/12*AQ199+AV200*Assumptions!$B$41/12)</f>
        <v>0</v>
      </c>
      <c r="AS200">
        <f t="shared" si="135"/>
        <v>0</v>
      </c>
      <c r="AT200" s="28">
        <f t="shared" si="136"/>
        <v>0</v>
      </c>
      <c r="AU200">
        <f t="shared" si="137"/>
        <v>0</v>
      </c>
      <c r="AV200" s="28">
        <f t="shared" si="138"/>
        <v>0</v>
      </c>
      <c r="AW200" s="28">
        <f t="shared" si="139"/>
        <v>0</v>
      </c>
      <c r="AX200" s="23">
        <f>HLOOKUP(YEAR(A200),Assumptions!$A$25:$AL$29,2,TRUE)/100</f>
        <v>1.1739999999999999E-2</v>
      </c>
      <c r="AY200" s="29">
        <f>1/(1+HLOOKUP(YEAR(A200),Assumptions!$A$18:$AL$20,3,TRUE))^(1/12)</f>
        <v>0.9990016752017814</v>
      </c>
      <c r="AZ200" s="26">
        <f t="shared" si="140"/>
        <v>0</v>
      </c>
      <c r="BA200">
        <f t="shared" si="141"/>
        <v>0</v>
      </c>
      <c r="BB200">
        <f t="shared" si="142"/>
        <v>0</v>
      </c>
      <c r="BC200">
        <f t="shared" si="143"/>
        <v>0</v>
      </c>
    </row>
    <row r="201" spans="1:55" x14ac:dyDescent="0.2">
      <c r="A201" s="3">
        <f t="shared" si="112"/>
        <v>48883</v>
      </c>
      <c r="B201">
        <f t="shared" si="104"/>
        <v>203</v>
      </c>
      <c r="C201">
        <f t="shared" si="151"/>
        <v>16.833333333333332</v>
      </c>
      <c r="D201">
        <f t="shared" si="152"/>
        <v>0</v>
      </c>
      <c r="E201">
        <f t="shared" si="105"/>
        <v>72</v>
      </c>
      <c r="F201">
        <f>IF(C201&gt;=$T$2,0,VLOOKUP($E201,'Mortality Table'!$A$3:$C$128,2+AF$2,FALSE))</f>
        <v>0</v>
      </c>
      <c r="G201">
        <f>F201*Assumptions!$B$1</f>
        <v>0</v>
      </c>
      <c r="H201">
        <f t="shared" si="113"/>
        <v>0</v>
      </c>
      <c r="I201">
        <f t="shared" si="146"/>
        <v>0</v>
      </c>
      <c r="J201">
        <f>IF(B201&gt;$AJ$2,0,HLOOKUP(C201,Assumptions!$A$6:$J$7,2,TRUE))</f>
        <v>0</v>
      </c>
      <c r="K201" s="4">
        <f t="shared" si="147"/>
        <v>0</v>
      </c>
      <c r="L201" s="4">
        <f t="shared" si="114"/>
        <v>0</v>
      </c>
      <c r="M201" s="4">
        <f t="shared" si="148"/>
        <v>0</v>
      </c>
      <c r="N201">
        <f t="shared" si="115"/>
        <v>0</v>
      </c>
      <c r="O201" s="21">
        <f t="shared" si="149"/>
        <v>0</v>
      </c>
      <c r="P201">
        <f>IF(B201&gt;$AJ$2,0,HLOOKUP(C201,Assumptions!$A$12:$J$13,2,TRUE))</f>
        <v>0</v>
      </c>
      <c r="Q201">
        <f t="shared" si="150"/>
        <v>0</v>
      </c>
      <c r="R201">
        <f t="shared" si="116"/>
        <v>0</v>
      </c>
      <c r="S201">
        <f t="shared" si="144"/>
        <v>0</v>
      </c>
      <c r="T201">
        <f t="shared" si="145"/>
        <v>0</v>
      </c>
      <c r="U201">
        <f t="shared" si="117"/>
        <v>0</v>
      </c>
      <c r="V201">
        <f t="shared" si="118"/>
        <v>0</v>
      </c>
      <c r="W201">
        <f t="shared" si="119"/>
        <v>0</v>
      </c>
      <c r="X201">
        <f t="shared" si="110"/>
        <v>0</v>
      </c>
      <c r="Y201">
        <f t="shared" si="120"/>
        <v>0</v>
      </c>
      <c r="Z201">
        <f t="shared" si="121"/>
        <v>0</v>
      </c>
      <c r="AA201">
        <f t="shared" si="122"/>
        <v>0</v>
      </c>
      <c r="AB201">
        <f t="shared" si="123"/>
        <v>0</v>
      </c>
      <c r="AC201" s="23">
        <f>IF(B201&gt;$AJ$2,0,HLOOKUP(YEAR(A201),Assumptions!$A$25:$AL$29,4,TRUE)/100)</f>
        <v>0</v>
      </c>
      <c r="AD201">
        <f t="shared" si="124"/>
        <v>0</v>
      </c>
      <c r="AE201">
        <f t="shared" si="125"/>
        <v>0</v>
      </c>
      <c r="AF201">
        <f t="shared" si="126"/>
        <v>0</v>
      </c>
      <c r="AG201">
        <f t="shared" si="127"/>
        <v>0</v>
      </c>
      <c r="AH201">
        <f t="shared" si="128"/>
        <v>0</v>
      </c>
      <c r="AI201">
        <f t="shared" si="129"/>
        <v>0</v>
      </c>
      <c r="AJ201">
        <f t="shared" si="130"/>
        <v>0</v>
      </c>
      <c r="AK201">
        <f t="shared" si="131"/>
        <v>0</v>
      </c>
      <c r="AL201">
        <f t="shared" si="132"/>
        <v>0</v>
      </c>
      <c r="AM201">
        <f t="shared" si="111"/>
        <v>0</v>
      </c>
      <c r="AN201">
        <f>IF($S$2=0,0,(SUMPRODUCT($K$2:$R$2,Assumptions!$B$34:$I$34)/$U$2+$J$2/$U$2*Assumptions!$A$34*G201)*K201*O200)</f>
        <v>0</v>
      </c>
      <c r="AO201">
        <f t="shared" si="133"/>
        <v>0</v>
      </c>
      <c r="AP201">
        <f t="shared" si="134"/>
        <v>0</v>
      </c>
      <c r="AQ201">
        <f>IF(B201&gt;$AJ$2,0,AQ200*(1+Assumptions!$B$43)^(1/12))</f>
        <v>0</v>
      </c>
      <c r="AR201" s="27">
        <f>IF(B201&gt;$AJ$2,0,(O200+R200)*Assumptions!$B$39/12*AQ200+AV201*Assumptions!$B$41/12)</f>
        <v>0</v>
      </c>
      <c r="AS201">
        <f t="shared" si="135"/>
        <v>0</v>
      </c>
      <c r="AT201" s="28">
        <f t="shared" si="136"/>
        <v>0</v>
      </c>
      <c r="AU201">
        <f t="shared" si="137"/>
        <v>0</v>
      </c>
      <c r="AV201" s="28">
        <f t="shared" si="138"/>
        <v>0</v>
      </c>
      <c r="AW201" s="28">
        <f t="shared" si="139"/>
        <v>0</v>
      </c>
      <c r="AX201" s="23">
        <f>HLOOKUP(YEAR(A201),Assumptions!$A$25:$AL$29,2,TRUE)/100</f>
        <v>1.1739999999999999E-2</v>
      </c>
      <c r="AY201" s="29">
        <f>1/(1+HLOOKUP(YEAR(A201),Assumptions!$A$18:$AL$20,3,TRUE))^(1/12)</f>
        <v>0.9990016752017814</v>
      </c>
      <c r="AZ201" s="26">
        <f t="shared" si="140"/>
        <v>0</v>
      </c>
      <c r="BA201">
        <f t="shared" si="141"/>
        <v>0</v>
      </c>
      <c r="BB201">
        <f t="shared" si="142"/>
        <v>0</v>
      </c>
      <c r="BC201">
        <f t="shared" si="143"/>
        <v>0</v>
      </c>
    </row>
    <row r="202" spans="1:55" x14ac:dyDescent="0.2">
      <c r="A202" s="3">
        <f t="shared" si="112"/>
        <v>48913</v>
      </c>
      <c r="B202">
        <f t="shared" si="104"/>
        <v>204</v>
      </c>
      <c r="C202">
        <f t="shared" si="151"/>
        <v>16.916666666666668</v>
      </c>
      <c r="D202">
        <f t="shared" si="152"/>
        <v>0</v>
      </c>
      <c r="E202">
        <f t="shared" si="105"/>
        <v>72</v>
      </c>
      <c r="F202">
        <f>IF(C202&gt;=$T$2,0,VLOOKUP($E202,'Mortality Table'!$A$3:$C$128,2+AF$2,FALSE))</f>
        <v>0</v>
      </c>
      <c r="G202">
        <f>F202*Assumptions!$B$1</f>
        <v>0</v>
      </c>
      <c r="H202">
        <f t="shared" si="113"/>
        <v>0</v>
      </c>
      <c r="I202">
        <f t="shared" si="146"/>
        <v>0</v>
      </c>
      <c r="J202">
        <f>IF(B202&gt;$AJ$2,0,HLOOKUP(C202,Assumptions!$A$6:$J$7,2,TRUE))</f>
        <v>0</v>
      </c>
      <c r="K202" s="4">
        <f t="shared" si="147"/>
        <v>0</v>
      </c>
      <c r="L202" s="4">
        <f t="shared" si="114"/>
        <v>0</v>
      </c>
      <c r="M202" s="4">
        <f t="shared" si="148"/>
        <v>0</v>
      </c>
      <c r="N202">
        <f t="shared" si="115"/>
        <v>0</v>
      </c>
      <c r="O202" s="21">
        <f t="shared" si="149"/>
        <v>0</v>
      </c>
      <c r="P202">
        <f>IF(B202&gt;$AJ$2,0,HLOOKUP(C202,Assumptions!$A$12:$J$13,2,TRUE))</f>
        <v>0</v>
      </c>
      <c r="Q202">
        <f t="shared" si="150"/>
        <v>0</v>
      </c>
      <c r="R202">
        <f t="shared" si="116"/>
        <v>0</v>
      </c>
      <c r="S202">
        <f t="shared" si="144"/>
        <v>0</v>
      </c>
      <c r="T202">
        <f t="shared" si="145"/>
        <v>0</v>
      </c>
      <c r="U202">
        <f t="shared" si="117"/>
        <v>0</v>
      </c>
      <c r="V202">
        <f t="shared" si="118"/>
        <v>0</v>
      </c>
      <c r="W202">
        <f t="shared" si="119"/>
        <v>0</v>
      </c>
      <c r="X202">
        <f t="shared" si="110"/>
        <v>0</v>
      </c>
      <c r="Y202">
        <f t="shared" si="120"/>
        <v>0</v>
      </c>
      <c r="Z202">
        <f t="shared" si="121"/>
        <v>0</v>
      </c>
      <c r="AA202">
        <f t="shared" si="122"/>
        <v>0</v>
      </c>
      <c r="AB202">
        <f t="shared" si="123"/>
        <v>0</v>
      </c>
      <c r="AC202" s="23">
        <f>IF(B202&gt;$AJ$2,0,HLOOKUP(YEAR(A202),Assumptions!$A$25:$AL$29,4,TRUE)/100)</f>
        <v>0</v>
      </c>
      <c r="AD202">
        <f t="shared" si="124"/>
        <v>0</v>
      </c>
      <c r="AE202">
        <f t="shared" si="125"/>
        <v>0</v>
      </c>
      <c r="AF202">
        <f t="shared" si="126"/>
        <v>0</v>
      </c>
      <c r="AG202">
        <f t="shared" si="127"/>
        <v>0</v>
      </c>
      <c r="AH202">
        <f t="shared" si="128"/>
        <v>0</v>
      </c>
      <c r="AI202">
        <f t="shared" si="129"/>
        <v>0</v>
      </c>
      <c r="AJ202">
        <f t="shared" si="130"/>
        <v>0</v>
      </c>
      <c r="AK202">
        <f t="shared" si="131"/>
        <v>0</v>
      </c>
      <c r="AL202">
        <f t="shared" si="132"/>
        <v>0</v>
      </c>
      <c r="AM202">
        <f t="shared" si="111"/>
        <v>0</v>
      </c>
      <c r="AN202">
        <f>IF($S$2=0,0,(SUMPRODUCT($K$2:$R$2,Assumptions!$B$34:$I$34)/$U$2+$J$2/$U$2*Assumptions!$A$34*G202)*K202*O201)</f>
        <v>0</v>
      </c>
      <c r="AO202">
        <f t="shared" si="133"/>
        <v>0</v>
      </c>
      <c r="AP202">
        <f t="shared" si="134"/>
        <v>0</v>
      </c>
      <c r="AQ202">
        <f>IF(B202&gt;$AJ$2,0,AQ201*(1+Assumptions!$B$43)^(1/12))</f>
        <v>0</v>
      </c>
      <c r="AR202" s="27">
        <f>IF(B202&gt;$AJ$2,0,(O201+R201)*Assumptions!$B$39/12*AQ201+AV202*Assumptions!$B$41/12)</f>
        <v>0</v>
      </c>
      <c r="AS202">
        <f t="shared" si="135"/>
        <v>0</v>
      </c>
      <c r="AT202" s="28">
        <f t="shared" si="136"/>
        <v>0</v>
      </c>
      <c r="AU202">
        <f t="shared" si="137"/>
        <v>0</v>
      </c>
      <c r="AV202" s="28">
        <f t="shared" si="138"/>
        <v>0</v>
      </c>
      <c r="AW202" s="28">
        <f t="shared" si="139"/>
        <v>0</v>
      </c>
      <c r="AX202" s="23">
        <f>HLOOKUP(YEAR(A202),Assumptions!$A$25:$AL$29,2,TRUE)/100</f>
        <v>1.1739999999999999E-2</v>
      </c>
      <c r="AY202" s="29">
        <f>1/(1+HLOOKUP(YEAR(A202),Assumptions!$A$18:$AL$20,3,TRUE))^(1/12)</f>
        <v>0.9990016752017814</v>
      </c>
      <c r="AZ202" s="26">
        <f t="shared" si="140"/>
        <v>0</v>
      </c>
      <c r="BA202">
        <f t="shared" si="141"/>
        <v>0</v>
      </c>
      <c r="BB202">
        <f t="shared" si="142"/>
        <v>0</v>
      </c>
      <c r="BC202">
        <f t="shared" si="143"/>
        <v>0</v>
      </c>
    </row>
    <row r="203" spans="1:55" x14ac:dyDescent="0.2">
      <c r="A203" s="3">
        <f t="shared" si="112"/>
        <v>48944</v>
      </c>
      <c r="B203">
        <f t="shared" si="104"/>
        <v>205</v>
      </c>
      <c r="C203">
        <f t="shared" si="151"/>
        <v>17</v>
      </c>
      <c r="D203">
        <f t="shared" si="152"/>
        <v>1</v>
      </c>
      <c r="E203">
        <f t="shared" si="105"/>
        <v>73</v>
      </c>
      <c r="F203">
        <f>IF(C203&gt;=$T$2,0,VLOOKUP($E203,'Mortality Table'!$A$3:$C$128,2+AF$2,FALSE))</f>
        <v>0</v>
      </c>
      <c r="G203">
        <f>F203*Assumptions!$B$1</f>
        <v>0</v>
      </c>
      <c r="H203">
        <f t="shared" si="113"/>
        <v>0</v>
      </c>
      <c r="I203">
        <f t="shared" si="146"/>
        <v>0</v>
      </c>
      <c r="J203">
        <f>IF(B203&gt;$AJ$2,0,HLOOKUP(C203,Assumptions!$A$6:$J$7,2,TRUE))</f>
        <v>0</v>
      </c>
      <c r="K203" s="4">
        <f t="shared" si="147"/>
        <v>0</v>
      </c>
      <c r="L203" s="4">
        <f t="shared" si="114"/>
        <v>0</v>
      </c>
      <c r="M203" s="4">
        <f t="shared" si="148"/>
        <v>0</v>
      </c>
      <c r="N203">
        <f t="shared" si="115"/>
        <v>0</v>
      </c>
      <c r="O203" s="21">
        <f t="shared" si="149"/>
        <v>0</v>
      </c>
      <c r="P203">
        <f>IF(B203&gt;$AJ$2,0,HLOOKUP(C203,Assumptions!$A$12:$J$13,2,TRUE))</f>
        <v>0</v>
      </c>
      <c r="Q203">
        <f t="shared" si="150"/>
        <v>0</v>
      </c>
      <c r="R203">
        <f t="shared" si="116"/>
        <v>0</v>
      </c>
      <c r="S203">
        <f t="shared" si="144"/>
        <v>0</v>
      </c>
      <c r="T203">
        <f t="shared" si="145"/>
        <v>0</v>
      </c>
      <c r="U203">
        <f t="shared" si="117"/>
        <v>0</v>
      </c>
      <c r="V203">
        <f t="shared" si="118"/>
        <v>0</v>
      </c>
      <c r="W203">
        <f t="shared" si="119"/>
        <v>0</v>
      </c>
      <c r="X203">
        <f t="shared" si="110"/>
        <v>0</v>
      </c>
      <c r="Y203">
        <f t="shared" si="120"/>
        <v>0</v>
      </c>
      <c r="Z203">
        <f t="shared" si="121"/>
        <v>0</v>
      </c>
      <c r="AA203">
        <f t="shared" si="122"/>
        <v>0</v>
      </c>
      <c r="AB203">
        <f t="shared" si="123"/>
        <v>0</v>
      </c>
      <c r="AC203" s="23">
        <f>IF(B203&gt;$AJ$2,0,HLOOKUP(YEAR(A203),Assumptions!$A$25:$AL$29,4,TRUE)/100)</f>
        <v>0</v>
      </c>
      <c r="AD203">
        <f t="shared" si="124"/>
        <v>0</v>
      </c>
      <c r="AE203">
        <f t="shared" si="125"/>
        <v>0</v>
      </c>
      <c r="AF203">
        <f t="shared" si="126"/>
        <v>0</v>
      </c>
      <c r="AG203">
        <f t="shared" si="127"/>
        <v>0</v>
      </c>
      <c r="AH203">
        <f t="shared" si="128"/>
        <v>0</v>
      </c>
      <c r="AI203">
        <f t="shared" si="129"/>
        <v>0</v>
      </c>
      <c r="AJ203">
        <f t="shared" si="130"/>
        <v>0</v>
      </c>
      <c r="AK203">
        <f t="shared" si="131"/>
        <v>0</v>
      </c>
      <c r="AL203">
        <f t="shared" si="132"/>
        <v>0</v>
      </c>
      <c r="AM203">
        <f t="shared" si="111"/>
        <v>0</v>
      </c>
      <c r="AN203">
        <f>IF($S$2=0,0,(SUMPRODUCT($K$2:$R$2,Assumptions!$B$34:$I$34)/$U$2+$J$2/$U$2*Assumptions!$A$34*G203)*K203*O202)</f>
        <v>0</v>
      </c>
      <c r="AO203">
        <f t="shared" si="133"/>
        <v>0</v>
      </c>
      <c r="AP203">
        <f t="shared" si="134"/>
        <v>0</v>
      </c>
      <c r="AQ203">
        <f>IF(B203&gt;$AJ$2,0,AQ202*(1+Assumptions!$B$43)^(1/12))</f>
        <v>0</v>
      </c>
      <c r="AR203" s="27">
        <f>IF(B203&gt;$AJ$2,0,(O202+R202)*Assumptions!$B$39/12*AQ202+AV203*Assumptions!$B$41/12)</f>
        <v>0</v>
      </c>
      <c r="AS203">
        <f t="shared" si="135"/>
        <v>0</v>
      </c>
      <c r="AT203" s="28">
        <f t="shared" si="136"/>
        <v>0</v>
      </c>
      <c r="AU203">
        <f t="shared" si="137"/>
        <v>0</v>
      </c>
      <c r="AV203" s="28">
        <f t="shared" si="138"/>
        <v>0</v>
      </c>
      <c r="AW203" s="28">
        <f t="shared" si="139"/>
        <v>0</v>
      </c>
      <c r="AX203" s="23">
        <f>HLOOKUP(YEAR(A203),Assumptions!$A$25:$AL$29,2,TRUE)/100</f>
        <v>1.1739999999999999E-2</v>
      </c>
      <c r="AY203" s="29">
        <f>1/(1+HLOOKUP(YEAR(A203),Assumptions!$A$18:$AL$20,3,TRUE))^(1/12)</f>
        <v>0.9990016752017814</v>
      </c>
      <c r="AZ203" s="26">
        <f t="shared" si="140"/>
        <v>0</v>
      </c>
      <c r="BA203">
        <f t="shared" si="141"/>
        <v>0</v>
      </c>
      <c r="BB203">
        <f t="shared" si="142"/>
        <v>0</v>
      </c>
      <c r="BC203">
        <f t="shared" si="143"/>
        <v>0</v>
      </c>
    </row>
    <row r="204" spans="1:55" x14ac:dyDescent="0.2">
      <c r="A204" s="3">
        <f t="shared" si="112"/>
        <v>48975</v>
      </c>
      <c r="B204">
        <f t="shared" ref="B204:B267" si="153">B203+1</f>
        <v>206</v>
      </c>
      <c r="C204">
        <f t="shared" si="151"/>
        <v>17.083333333333332</v>
      </c>
      <c r="D204">
        <f t="shared" si="152"/>
        <v>0</v>
      </c>
      <c r="E204">
        <f t="shared" ref="E204:E267" si="154">$C$2+INT($C204)</f>
        <v>73</v>
      </c>
      <c r="F204">
        <f>IF(C204&gt;=$T$2,0,VLOOKUP($E204,'Mortality Table'!$A$3:$C$128,2+AF$2,FALSE))</f>
        <v>0</v>
      </c>
      <c r="G204">
        <f>F204*Assumptions!$B$1</f>
        <v>0</v>
      </c>
      <c r="H204">
        <f t="shared" si="113"/>
        <v>0</v>
      </c>
      <c r="I204">
        <f t="shared" si="146"/>
        <v>0</v>
      </c>
      <c r="J204">
        <f>IF(B204&gt;$AJ$2,0,HLOOKUP(C204,Assumptions!$A$6:$J$7,2,TRUE))</f>
        <v>0</v>
      </c>
      <c r="K204" s="4">
        <f t="shared" si="147"/>
        <v>0</v>
      </c>
      <c r="L204" s="4">
        <f t="shared" si="114"/>
        <v>0</v>
      </c>
      <c r="M204" s="4">
        <f t="shared" si="148"/>
        <v>0</v>
      </c>
      <c r="N204">
        <f t="shared" si="115"/>
        <v>0</v>
      </c>
      <c r="O204" s="21">
        <f t="shared" si="149"/>
        <v>0</v>
      </c>
      <c r="P204">
        <f>IF(B204&gt;$AJ$2,0,HLOOKUP(C204,Assumptions!$A$12:$J$13,2,TRUE))</f>
        <v>0</v>
      </c>
      <c r="Q204">
        <f t="shared" si="150"/>
        <v>0</v>
      </c>
      <c r="R204">
        <f t="shared" si="116"/>
        <v>0</v>
      </c>
      <c r="S204">
        <f t="shared" si="144"/>
        <v>0</v>
      </c>
      <c r="T204">
        <f t="shared" si="145"/>
        <v>0</v>
      </c>
      <c r="U204">
        <f t="shared" si="117"/>
        <v>0</v>
      </c>
      <c r="V204">
        <f t="shared" si="118"/>
        <v>0</v>
      </c>
      <c r="W204">
        <f t="shared" si="119"/>
        <v>0</v>
      </c>
      <c r="X204">
        <f t="shared" ref="X204:X267" si="155">U204/$U$2*K204*O203</f>
        <v>0</v>
      </c>
      <c r="Y204">
        <f t="shared" si="120"/>
        <v>0</v>
      </c>
      <c r="Z204">
        <f t="shared" si="121"/>
        <v>0</v>
      </c>
      <c r="AA204">
        <f t="shared" si="122"/>
        <v>0</v>
      </c>
      <c r="AB204">
        <f t="shared" si="123"/>
        <v>0</v>
      </c>
      <c r="AC204" s="23">
        <f>IF(B204&gt;$AJ$2,0,HLOOKUP(YEAR(A204),Assumptions!$A$25:$AL$29,4,TRUE)/100)</f>
        <v>0</v>
      </c>
      <c r="AD204">
        <f t="shared" si="124"/>
        <v>0</v>
      </c>
      <c r="AE204">
        <f t="shared" si="125"/>
        <v>0</v>
      </c>
      <c r="AF204">
        <f t="shared" si="126"/>
        <v>0</v>
      </c>
      <c r="AG204">
        <f t="shared" si="127"/>
        <v>0</v>
      </c>
      <c r="AH204">
        <f t="shared" si="128"/>
        <v>0</v>
      </c>
      <c r="AI204">
        <f t="shared" si="129"/>
        <v>0</v>
      </c>
      <c r="AJ204">
        <f t="shared" si="130"/>
        <v>0</v>
      </c>
      <c r="AK204">
        <f t="shared" si="131"/>
        <v>0</v>
      </c>
      <c r="AL204">
        <f t="shared" si="132"/>
        <v>0</v>
      </c>
      <c r="AM204">
        <f t="shared" ref="AM204:AM267" si="156">IF($AJ$2+1=B204,O203*(Z203+AD203+MAX(0,IF(MONTH(A204)=1,AB203-AD203-Z203,0)))+R203*(AF203+AH203),0)</f>
        <v>0</v>
      </c>
      <c r="AN204">
        <f>IF($S$2=0,0,(SUMPRODUCT($K$2:$R$2,Assumptions!$B$34:$I$34)/$U$2+$J$2/$U$2*Assumptions!$A$34*G204)*K204*O203)</f>
        <v>0</v>
      </c>
      <c r="AO204">
        <f t="shared" si="133"/>
        <v>0</v>
      </c>
      <c r="AP204">
        <f t="shared" si="134"/>
        <v>0</v>
      </c>
      <c r="AQ204">
        <f>IF(B204&gt;$AJ$2,0,AQ203*(1+Assumptions!$B$43)^(1/12))</f>
        <v>0</v>
      </c>
      <c r="AR204" s="27">
        <f>IF(B204&gt;$AJ$2,0,(O203+R203)*Assumptions!$B$39/12*AQ203+AV204*Assumptions!$B$41/12)</f>
        <v>0</v>
      </c>
      <c r="AS204">
        <f t="shared" si="135"/>
        <v>0</v>
      </c>
      <c r="AT204" s="28">
        <f t="shared" si="136"/>
        <v>0</v>
      </c>
      <c r="AU204">
        <f t="shared" si="137"/>
        <v>0</v>
      </c>
      <c r="AV204" s="28">
        <f t="shared" si="138"/>
        <v>0</v>
      </c>
      <c r="AW204" s="28">
        <f t="shared" si="139"/>
        <v>0</v>
      </c>
      <c r="AX204" s="23">
        <f>HLOOKUP(YEAR(A204),Assumptions!$A$25:$AL$29,2,TRUE)/100</f>
        <v>1.1739999999999999E-2</v>
      </c>
      <c r="AY204" s="29">
        <f>1/(1+HLOOKUP(YEAR(A204),Assumptions!$A$18:$AL$20,3,TRUE))^(1/12)</f>
        <v>0.99902750864006262</v>
      </c>
      <c r="AZ204" s="26">
        <f t="shared" si="140"/>
        <v>0</v>
      </c>
      <c r="BA204">
        <f t="shared" si="141"/>
        <v>0</v>
      </c>
      <c r="BB204">
        <f t="shared" si="142"/>
        <v>0</v>
      </c>
      <c r="BC204">
        <f t="shared" si="143"/>
        <v>0</v>
      </c>
    </row>
    <row r="205" spans="1:55" x14ac:dyDescent="0.2">
      <c r="A205" s="3">
        <f t="shared" ref="A205:A268" si="157">DATE(YEAR(A204),MONTH(A204)+2,1)-1</f>
        <v>49003</v>
      </c>
      <c r="B205">
        <f t="shared" si="153"/>
        <v>207</v>
      </c>
      <c r="C205">
        <f t="shared" si="151"/>
        <v>17.166666666666668</v>
      </c>
      <c r="D205">
        <f t="shared" si="152"/>
        <v>0</v>
      </c>
      <c r="E205">
        <f t="shared" si="154"/>
        <v>73</v>
      </c>
      <c r="F205">
        <f>IF(C205&gt;=$T$2,0,VLOOKUP($E205,'Mortality Table'!$A$3:$C$128,2+AF$2,FALSE))</f>
        <v>0</v>
      </c>
      <c r="G205">
        <f>F205*Assumptions!$B$1</f>
        <v>0</v>
      </c>
      <c r="H205">
        <f t="shared" ref="H205:H268" si="158">(1-(1-G205)^(1/12))</f>
        <v>0</v>
      </c>
      <c r="I205">
        <f t="shared" si="146"/>
        <v>0</v>
      </c>
      <c r="J205">
        <f>IF(B205&gt;$AJ$2,0,HLOOKUP(C205,Assumptions!$A$6:$J$7,2,TRUE))</f>
        <v>0</v>
      </c>
      <c r="K205" s="4">
        <f t="shared" si="147"/>
        <v>0</v>
      </c>
      <c r="L205" s="4">
        <f t="shared" ref="L205:L268" si="159">IF(B205&gt;$AJ$2,0,IF(B205=$AJ$2,1/$U$2,IF(K206=0,0,1/$U$2)))</f>
        <v>0</v>
      </c>
      <c r="M205" s="4">
        <f t="shared" si="148"/>
        <v>0</v>
      </c>
      <c r="N205">
        <f t="shared" ref="N205:N268" si="160">M205*O204*(1-H205/2)</f>
        <v>0</v>
      </c>
      <c r="O205" s="21">
        <f t="shared" si="149"/>
        <v>0</v>
      </c>
      <c r="P205">
        <f>IF(B205&gt;$AJ$2,0,HLOOKUP(C205,Assumptions!$A$12:$J$13,2,TRUE))</f>
        <v>0</v>
      </c>
      <c r="Q205">
        <f t="shared" si="150"/>
        <v>0</v>
      </c>
      <c r="R205">
        <f t="shared" ref="R205:R268" si="161">IF(B205&gt;$AJ$2,0,Q205+R204-S205-T205)</f>
        <v>0</v>
      </c>
      <c r="S205">
        <f t="shared" si="144"/>
        <v>0</v>
      </c>
      <c r="T205">
        <f t="shared" si="145"/>
        <v>0</v>
      </c>
      <c r="U205">
        <f t="shared" ref="U205:U268" si="162">IF(B205&gt;$AJ$2,0,U204*(1+$I$2/100)^D205)</f>
        <v>0</v>
      </c>
      <c r="V205">
        <f t="shared" ref="V205:V268" si="163">IF(B205&gt;$AJ$2,0,IF(E205&lt;=75,SUM($J$2:$R$2),0))</f>
        <v>0</v>
      </c>
      <c r="W205">
        <f t="shared" ref="W205:W268" si="164">IF(B205&gt;$AJ$2,0,($G$2+IF(B205&lt;13,$D$2,IF(B205&lt;25,$E$2,IF(B205&lt;37,$F$2,0))))/100)</f>
        <v>0</v>
      </c>
      <c r="X205">
        <f t="shared" si="155"/>
        <v>0</v>
      </c>
      <c r="Y205">
        <f t="shared" ref="Y205:Y268" si="165">IF($W$2=0,0,(U205-V205)*(1-W205)/$U$2*K205)</f>
        <v>0</v>
      </c>
      <c r="Z205">
        <f t="shared" ref="Z205:Z268" si="166">IF(B205&gt;$AJ$2,0,(Z204+Y205)*(1+$V$2/100)^(1/12))</f>
        <v>0</v>
      </c>
      <c r="AA205">
        <f t="shared" ref="AA205:AA268" si="167">IF(B205&gt;$AJ$2,0,MAX(0,IF(MONTH(A205)=1,AB204-AD204-Z204,0)))</f>
        <v>0</v>
      </c>
      <c r="AB205">
        <f t="shared" ref="AB205:AB268" si="168">IF(B205&gt;$AJ$2,0,(AB204+Y205)*(1+MAX(AC205,$V$2/100))^(1/12))</f>
        <v>0</v>
      </c>
      <c r="AC205" s="23">
        <f>IF(B205&gt;$AJ$2,0,HLOOKUP(YEAR(A205),Assumptions!$A$25:$AL$29,4,TRUE)/100)</f>
        <v>0</v>
      </c>
      <c r="AD205">
        <f t="shared" ref="AD205:AD268" si="169">IF(B205&gt;$AJ$2,0,AD204+AA205)*(1+$V$2/100)^(1/12)</f>
        <v>0</v>
      </c>
      <c r="AE205">
        <f t="shared" ref="AE205:AE268" si="170">IF(B205&gt;$AJ$2,0,IF(R205=0,0,(AF205*(R205-Q205)+Q205*Z205)/R205))</f>
        <v>0</v>
      </c>
      <c r="AF205">
        <f t="shared" ref="AF205:AF268" si="171">IF(B205&gt;$AJ$2,0,AE204*(1+$V$2/100)^(1/12))</f>
        <v>0</v>
      </c>
      <c r="AG205">
        <f t="shared" ref="AG205:AG268" si="172">IF(B205&gt;$AJ$2,0,IF(R205=0,0,(AG204*(R205-Q205)*(1+MAX(AC205,$V$2/100))^(1/12)+Q205*AB205)/R205))</f>
        <v>0</v>
      </c>
      <c r="AH205">
        <f t="shared" ref="AH205:AH268" si="173">IF(B205&gt;$AJ$2,0,IF(R205=0,0,(AI205*(R205-Q205)+Q205*AD205)/R205))</f>
        <v>0</v>
      </c>
      <c r="AI205">
        <f t="shared" ref="AI205:AI268" si="174">IF(B205&gt;$AJ$2,0,(AH204+AJ205)*(1+$V$2/100)^(1/12))</f>
        <v>0</v>
      </c>
      <c r="AJ205">
        <f t="shared" ref="AJ205:AJ268" si="175">IF(B205&gt;$AJ$2,0,MAX(0,IF(MONTH(A205)=1,AG204-AE204-AH204)))</f>
        <v>0</v>
      </c>
      <c r="AK205">
        <f t="shared" ref="AK205:AK268" si="176">I205*(Z205+AD205)+S205*(AF205+AI205)</f>
        <v>0</v>
      </c>
      <c r="AL205">
        <f t="shared" ref="AL205:AL268" si="177">N205*(Z205+AD205+BC205)+T205*(AE205+AH205)</f>
        <v>0</v>
      </c>
      <c r="AM205">
        <f t="shared" si="156"/>
        <v>0</v>
      </c>
      <c r="AN205">
        <f>IF($S$2=0,0,(SUMPRODUCT($K$2:$R$2,Assumptions!$B$34:$I$34)/$U$2+$J$2/$U$2*Assumptions!$A$34*G205)*K205*O204)</f>
        <v>0</v>
      </c>
      <c r="AO205">
        <f t="shared" ref="AO205:AO268" si="178">($P$2+$R$2)/$U$2*K205*O204</f>
        <v>0</v>
      </c>
      <c r="AP205">
        <f t="shared" ref="AP205:AP268" si="179">IF(B205&lt;=12,(X205-AO205)*$AB$2+AO205*0.06,IF(B205&lt;=24,(X205-AO205)*$AC$2+AO205*0.06,IF(B205&lt;=36,(X205-AO205)*$AD$2+AO205*0.06,0)))</f>
        <v>0</v>
      </c>
      <c r="AQ205">
        <f>IF(B205&gt;$AJ$2,0,AQ204*(1+Assumptions!$B$43)^(1/12))</f>
        <v>0</v>
      </c>
      <c r="AR205" s="27">
        <f>IF(B205&gt;$AJ$2,0,(O204+R204)*Assumptions!$B$39/12*AQ204+AV205*Assumptions!$B$41/12)</f>
        <v>0</v>
      </c>
      <c r="AS205">
        <f t="shared" ref="AS205:AS268" si="180">IF(B205&gt;$AJ$2,0,Y205*K205*O204)</f>
        <v>0</v>
      </c>
      <c r="AT205" s="28">
        <f t="shared" ref="AT205:AT268" si="181">IF(B205&gt;$AJ$2,0,O205*(Z205+AD205+AA206+BC205)+R205*(AE205+AH205+AJ206))</f>
        <v>0</v>
      </c>
      <c r="AU205">
        <f t="shared" ref="AU205:AU268" si="182">IF(B205&gt;$AJ$2,0,IF(MONTH(A205)=12,0,AU204+AW205*((1+AX205)^(1/12)-1)-BB205*((1+$V$2/100)^(1/12)-1)))</f>
        <v>0</v>
      </c>
      <c r="AV205" s="28">
        <f t="shared" ref="AV205:AV268" si="183">IF(B205&gt;$AJ$2,0,AT204+AS205-AN205+AU204)</f>
        <v>0</v>
      </c>
      <c r="AW205" s="28">
        <f t="shared" ref="AW205:AW268" si="184">IF(B205&gt;$AJ$2,0,AT204+X205+AU204-AN205-AP205-AR205)</f>
        <v>0</v>
      </c>
      <c r="AX205" s="23">
        <f>HLOOKUP(YEAR(A205),Assumptions!$A$25:$AL$29,2,TRUE)/100</f>
        <v>1.1739999999999999E-2</v>
      </c>
      <c r="AY205" s="29">
        <f>1/(1+HLOOKUP(YEAR(A205),Assumptions!$A$18:$AL$20,3,TRUE))^(1/12)</f>
        <v>0.99902750864006262</v>
      </c>
      <c r="AZ205" s="26">
        <f t="shared" ref="AZ205:AZ268" si="185">(AZ206+BA206+AR206+AP206-X206)*AY206</f>
        <v>0</v>
      </c>
      <c r="BA205">
        <f t="shared" ref="BA205:BA268" si="186">AK205+AL205+AM205+AN205</f>
        <v>0</v>
      </c>
      <c r="BB205">
        <f t="shared" ref="BB205:BB268" si="187">IF(B205&gt;$AJ$2,0,AT204-BC204*O204+AS205-AN205)</f>
        <v>0</v>
      </c>
      <c r="BC205">
        <f t="shared" ref="BC205:BC268" si="188">IF($W$2=0,0,IF(B205&gt;$AJ$2,0,BC204+V205/$U$2*K205-$U$2/12*V205/$U$2))</f>
        <v>0</v>
      </c>
    </row>
    <row r="206" spans="1:55" x14ac:dyDescent="0.2">
      <c r="A206" s="3">
        <f t="shared" si="157"/>
        <v>49034</v>
      </c>
      <c r="B206">
        <f t="shared" si="153"/>
        <v>208</v>
      </c>
      <c r="C206">
        <f t="shared" si="151"/>
        <v>17.25</v>
      </c>
      <c r="D206">
        <f t="shared" si="152"/>
        <v>0</v>
      </c>
      <c r="E206">
        <f t="shared" si="154"/>
        <v>73</v>
      </c>
      <c r="F206">
        <f>IF(C206&gt;=$T$2,0,VLOOKUP($E206,'Mortality Table'!$A$3:$C$128,2+AF$2,FALSE))</f>
        <v>0</v>
      </c>
      <c r="G206">
        <f>F206*Assumptions!$B$1</f>
        <v>0</v>
      </c>
      <c r="H206">
        <f t="shared" si="158"/>
        <v>0</v>
      </c>
      <c r="I206">
        <f t="shared" si="146"/>
        <v>0</v>
      </c>
      <c r="J206">
        <f>IF(B206&gt;$AJ$2,0,HLOOKUP(C206,Assumptions!$A$6:$J$7,2,TRUE))</f>
        <v>0</v>
      </c>
      <c r="K206" s="4">
        <f t="shared" si="147"/>
        <v>0</v>
      </c>
      <c r="L206" s="4">
        <f t="shared" si="159"/>
        <v>0</v>
      </c>
      <c r="M206" s="4">
        <f t="shared" si="148"/>
        <v>0</v>
      </c>
      <c r="N206">
        <f t="shared" si="160"/>
        <v>0</v>
      </c>
      <c r="O206" s="21">
        <f t="shared" si="149"/>
        <v>0</v>
      </c>
      <c r="P206">
        <f>IF(B206&gt;$AJ$2,0,HLOOKUP(C206,Assumptions!$A$12:$J$13,2,TRUE))</f>
        <v>0</v>
      </c>
      <c r="Q206">
        <f t="shared" si="150"/>
        <v>0</v>
      </c>
      <c r="R206">
        <f t="shared" si="161"/>
        <v>0</v>
      </c>
      <c r="S206">
        <f t="shared" ref="S206:S269" si="189">H206*R205*(1-M206/2)</f>
        <v>0</v>
      </c>
      <c r="T206">
        <f t="shared" ref="T206:T269" si="190">M206*R205*(1-H206/2)</f>
        <v>0</v>
      </c>
      <c r="U206">
        <f t="shared" si="162"/>
        <v>0</v>
      </c>
      <c r="V206">
        <f t="shared" si="163"/>
        <v>0</v>
      </c>
      <c r="W206">
        <f t="shared" si="164"/>
        <v>0</v>
      </c>
      <c r="X206">
        <f t="shared" si="155"/>
        <v>0</v>
      </c>
      <c r="Y206">
        <f t="shared" si="165"/>
        <v>0</v>
      </c>
      <c r="Z206">
        <f t="shared" si="166"/>
        <v>0</v>
      </c>
      <c r="AA206">
        <f t="shared" si="167"/>
        <v>0</v>
      </c>
      <c r="AB206">
        <f t="shared" si="168"/>
        <v>0</v>
      </c>
      <c r="AC206" s="23">
        <f>IF(B206&gt;$AJ$2,0,HLOOKUP(YEAR(A206),Assumptions!$A$25:$AL$29,4,TRUE)/100)</f>
        <v>0</v>
      </c>
      <c r="AD206">
        <f t="shared" si="169"/>
        <v>0</v>
      </c>
      <c r="AE206">
        <f t="shared" si="170"/>
        <v>0</v>
      </c>
      <c r="AF206">
        <f t="shared" si="171"/>
        <v>0</v>
      </c>
      <c r="AG206">
        <f t="shared" si="172"/>
        <v>0</v>
      </c>
      <c r="AH206">
        <f t="shared" si="173"/>
        <v>0</v>
      </c>
      <c r="AI206">
        <f t="shared" si="174"/>
        <v>0</v>
      </c>
      <c r="AJ206">
        <f t="shared" si="175"/>
        <v>0</v>
      </c>
      <c r="AK206">
        <f t="shared" si="176"/>
        <v>0</v>
      </c>
      <c r="AL206">
        <f t="shared" si="177"/>
        <v>0</v>
      </c>
      <c r="AM206">
        <f t="shared" si="156"/>
        <v>0</v>
      </c>
      <c r="AN206">
        <f>IF($S$2=0,0,(SUMPRODUCT($K$2:$R$2,Assumptions!$B$34:$I$34)/$U$2+$J$2/$U$2*Assumptions!$A$34*G206)*K206*O205)</f>
        <v>0</v>
      </c>
      <c r="AO206">
        <f t="shared" si="178"/>
        <v>0</v>
      </c>
      <c r="AP206">
        <f t="shared" si="179"/>
        <v>0</v>
      </c>
      <c r="AQ206">
        <f>IF(B206&gt;$AJ$2,0,AQ205*(1+Assumptions!$B$43)^(1/12))</f>
        <v>0</v>
      </c>
      <c r="AR206" s="27">
        <f>IF(B206&gt;$AJ$2,0,(O205+R205)*Assumptions!$B$39/12*AQ205+AV206*Assumptions!$B$41/12)</f>
        <v>0</v>
      </c>
      <c r="AS206">
        <f t="shared" si="180"/>
        <v>0</v>
      </c>
      <c r="AT206" s="28">
        <f t="shared" si="181"/>
        <v>0</v>
      </c>
      <c r="AU206">
        <f t="shared" si="182"/>
        <v>0</v>
      </c>
      <c r="AV206" s="28">
        <f t="shared" si="183"/>
        <v>0</v>
      </c>
      <c r="AW206" s="28">
        <f t="shared" si="184"/>
        <v>0</v>
      </c>
      <c r="AX206" s="23">
        <f>HLOOKUP(YEAR(A206),Assumptions!$A$25:$AL$29,2,TRUE)/100</f>
        <v>1.1739999999999999E-2</v>
      </c>
      <c r="AY206" s="29">
        <f>1/(1+HLOOKUP(YEAR(A206),Assumptions!$A$18:$AL$20,3,TRUE))^(1/12)</f>
        <v>0.99902750864006262</v>
      </c>
      <c r="AZ206" s="26">
        <f t="shared" si="185"/>
        <v>0</v>
      </c>
      <c r="BA206">
        <f t="shared" si="186"/>
        <v>0</v>
      </c>
      <c r="BB206">
        <f t="shared" si="187"/>
        <v>0</v>
      </c>
      <c r="BC206">
        <f t="shared" si="188"/>
        <v>0</v>
      </c>
    </row>
    <row r="207" spans="1:55" x14ac:dyDescent="0.2">
      <c r="A207" s="3">
        <f t="shared" si="157"/>
        <v>49064</v>
      </c>
      <c r="B207">
        <f t="shared" si="153"/>
        <v>209</v>
      </c>
      <c r="C207">
        <f t="shared" si="151"/>
        <v>17.333333333333332</v>
      </c>
      <c r="D207">
        <f t="shared" si="152"/>
        <v>0</v>
      </c>
      <c r="E207">
        <f t="shared" si="154"/>
        <v>73</v>
      </c>
      <c r="F207">
        <f>IF(C207&gt;=$T$2,0,VLOOKUP($E207,'Mortality Table'!$A$3:$C$128,2+AF$2,FALSE))</f>
        <v>0</v>
      </c>
      <c r="G207">
        <f>F207*Assumptions!$B$1</f>
        <v>0</v>
      </c>
      <c r="H207">
        <f t="shared" si="158"/>
        <v>0</v>
      </c>
      <c r="I207">
        <f t="shared" si="146"/>
        <v>0</v>
      </c>
      <c r="J207">
        <f>IF(B207&gt;$AJ$2,0,HLOOKUP(C207,Assumptions!$A$6:$J$7,2,TRUE))</f>
        <v>0</v>
      </c>
      <c r="K207" s="4">
        <f t="shared" si="147"/>
        <v>0</v>
      </c>
      <c r="L207" s="4">
        <f t="shared" si="159"/>
        <v>0</v>
      </c>
      <c r="M207" s="4">
        <f t="shared" si="148"/>
        <v>0</v>
      </c>
      <c r="N207">
        <f t="shared" si="160"/>
        <v>0</v>
      </c>
      <c r="O207" s="21">
        <f t="shared" si="149"/>
        <v>0</v>
      </c>
      <c r="P207">
        <f>IF(B207&gt;$AJ$2,0,HLOOKUP(C207,Assumptions!$A$12:$J$13,2,TRUE))</f>
        <v>0</v>
      </c>
      <c r="Q207">
        <f t="shared" si="150"/>
        <v>0</v>
      </c>
      <c r="R207">
        <f t="shared" si="161"/>
        <v>0</v>
      </c>
      <c r="S207">
        <f t="shared" si="189"/>
        <v>0</v>
      </c>
      <c r="T207">
        <f t="shared" si="190"/>
        <v>0</v>
      </c>
      <c r="U207">
        <f t="shared" si="162"/>
        <v>0</v>
      </c>
      <c r="V207">
        <f t="shared" si="163"/>
        <v>0</v>
      </c>
      <c r="W207">
        <f t="shared" si="164"/>
        <v>0</v>
      </c>
      <c r="X207">
        <f t="shared" si="155"/>
        <v>0</v>
      </c>
      <c r="Y207">
        <f t="shared" si="165"/>
        <v>0</v>
      </c>
      <c r="Z207">
        <f t="shared" si="166"/>
        <v>0</v>
      </c>
      <c r="AA207">
        <f t="shared" si="167"/>
        <v>0</v>
      </c>
      <c r="AB207">
        <f t="shared" si="168"/>
        <v>0</v>
      </c>
      <c r="AC207" s="23">
        <f>IF(B207&gt;$AJ$2,0,HLOOKUP(YEAR(A207),Assumptions!$A$25:$AL$29,4,TRUE)/100)</f>
        <v>0</v>
      </c>
      <c r="AD207">
        <f t="shared" si="169"/>
        <v>0</v>
      </c>
      <c r="AE207">
        <f t="shared" si="170"/>
        <v>0</v>
      </c>
      <c r="AF207">
        <f t="shared" si="171"/>
        <v>0</v>
      </c>
      <c r="AG207">
        <f t="shared" si="172"/>
        <v>0</v>
      </c>
      <c r="AH207">
        <f t="shared" si="173"/>
        <v>0</v>
      </c>
      <c r="AI207">
        <f t="shared" si="174"/>
        <v>0</v>
      </c>
      <c r="AJ207">
        <f t="shared" si="175"/>
        <v>0</v>
      </c>
      <c r="AK207">
        <f t="shared" si="176"/>
        <v>0</v>
      </c>
      <c r="AL207">
        <f t="shared" si="177"/>
        <v>0</v>
      </c>
      <c r="AM207">
        <f t="shared" si="156"/>
        <v>0</v>
      </c>
      <c r="AN207">
        <f>IF($S$2=0,0,(SUMPRODUCT($K$2:$R$2,Assumptions!$B$34:$I$34)/$U$2+$J$2/$U$2*Assumptions!$A$34*G207)*K207*O206)</f>
        <v>0</v>
      </c>
      <c r="AO207">
        <f t="shared" si="178"/>
        <v>0</v>
      </c>
      <c r="AP207">
        <f t="shared" si="179"/>
        <v>0</v>
      </c>
      <c r="AQ207">
        <f>IF(B207&gt;$AJ$2,0,AQ206*(1+Assumptions!$B$43)^(1/12))</f>
        <v>0</v>
      </c>
      <c r="AR207" s="27">
        <f>IF(B207&gt;$AJ$2,0,(O206+R206)*Assumptions!$B$39/12*AQ206+AV207*Assumptions!$B$41/12)</f>
        <v>0</v>
      </c>
      <c r="AS207">
        <f t="shared" si="180"/>
        <v>0</v>
      </c>
      <c r="AT207" s="28">
        <f t="shared" si="181"/>
        <v>0</v>
      </c>
      <c r="AU207">
        <f t="shared" si="182"/>
        <v>0</v>
      </c>
      <c r="AV207" s="28">
        <f t="shared" si="183"/>
        <v>0</v>
      </c>
      <c r="AW207" s="28">
        <f t="shared" si="184"/>
        <v>0</v>
      </c>
      <c r="AX207" s="23">
        <f>HLOOKUP(YEAR(A207),Assumptions!$A$25:$AL$29,2,TRUE)/100</f>
        <v>1.1739999999999999E-2</v>
      </c>
      <c r="AY207" s="29">
        <f>1/(1+HLOOKUP(YEAR(A207),Assumptions!$A$18:$AL$20,3,TRUE))^(1/12)</f>
        <v>0.99902750864006262</v>
      </c>
      <c r="AZ207" s="26">
        <f t="shared" si="185"/>
        <v>0</v>
      </c>
      <c r="BA207">
        <f t="shared" si="186"/>
        <v>0</v>
      </c>
      <c r="BB207">
        <f t="shared" si="187"/>
        <v>0</v>
      </c>
      <c r="BC207">
        <f t="shared" si="188"/>
        <v>0</v>
      </c>
    </row>
    <row r="208" spans="1:55" x14ac:dyDescent="0.2">
      <c r="A208" s="3">
        <f t="shared" si="157"/>
        <v>49095</v>
      </c>
      <c r="B208">
        <f t="shared" si="153"/>
        <v>210</v>
      </c>
      <c r="C208">
        <f t="shared" si="151"/>
        <v>17.416666666666668</v>
      </c>
      <c r="D208">
        <f t="shared" si="152"/>
        <v>0</v>
      </c>
      <c r="E208">
        <f t="shared" si="154"/>
        <v>73</v>
      </c>
      <c r="F208">
        <f>IF(C208&gt;=$T$2,0,VLOOKUP($E208,'Mortality Table'!$A$3:$C$128,2+AF$2,FALSE))</f>
        <v>0</v>
      </c>
      <c r="G208">
        <f>F208*Assumptions!$B$1</f>
        <v>0</v>
      </c>
      <c r="H208">
        <f t="shared" si="158"/>
        <v>0</v>
      </c>
      <c r="I208">
        <f t="shared" si="146"/>
        <v>0</v>
      </c>
      <c r="J208">
        <f>IF(B208&gt;$AJ$2,0,HLOOKUP(C208,Assumptions!$A$6:$J$7,2,TRUE))</f>
        <v>0</v>
      </c>
      <c r="K208" s="4">
        <f t="shared" si="147"/>
        <v>0</v>
      </c>
      <c r="L208" s="4">
        <f t="shared" si="159"/>
        <v>0</v>
      </c>
      <c r="M208" s="4">
        <f t="shared" si="148"/>
        <v>0</v>
      </c>
      <c r="N208">
        <f t="shared" si="160"/>
        <v>0</v>
      </c>
      <c r="O208" s="21">
        <f t="shared" si="149"/>
        <v>0</v>
      </c>
      <c r="P208">
        <f>IF(B208&gt;$AJ$2,0,HLOOKUP(C208,Assumptions!$A$12:$J$13,2,TRUE))</f>
        <v>0</v>
      </c>
      <c r="Q208">
        <f t="shared" si="150"/>
        <v>0</v>
      </c>
      <c r="R208">
        <f t="shared" si="161"/>
        <v>0</v>
      </c>
      <c r="S208">
        <f t="shared" si="189"/>
        <v>0</v>
      </c>
      <c r="T208">
        <f t="shared" si="190"/>
        <v>0</v>
      </c>
      <c r="U208">
        <f t="shared" si="162"/>
        <v>0</v>
      </c>
      <c r="V208">
        <f t="shared" si="163"/>
        <v>0</v>
      </c>
      <c r="W208">
        <f t="shared" si="164"/>
        <v>0</v>
      </c>
      <c r="X208">
        <f t="shared" si="155"/>
        <v>0</v>
      </c>
      <c r="Y208">
        <f t="shared" si="165"/>
        <v>0</v>
      </c>
      <c r="Z208">
        <f t="shared" si="166"/>
        <v>0</v>
      </c>
      <c r="AA208">
        <f t="shared" si="167"/>
        <v>0</v>
      </c>
      <c r="AB208">
        <f t="shared" si="168"/>
        <v>0</v>
      </c>
      <c r="AC208" s="23">
        <f>IF(B208&gt;$AJ$2,0,HLOOKUP(YEAR(A208),Assumptions!$A$25:$AL$29,4,TRUE)/100)</f>
        <v>0</v>
      </c>
      <c r="AD208">
        <f t="shared" si="169"/>
        <v>0</v>
      </c>
      <c r="AE208">
        <f t="shared" si="170"/>
        <v>0</v>
      </c>
      <c r="AF208">
        <f t="shared" si="171"/>
        <v>0</v>
      </c>
      <c r="AG208">
        <f t="shared" si="172"/>
        <v>0</v>
      </c>
      <c r="AH208">
        <f t="shared" si="173"/>
        <v>0</v>
      </c>
      <c r="AI208">
        <f t="shared" si="174"/>
        <v>0</v>
      </c>
      <c r="AJ208">
        <f t="shared" si="175"/>
        <v>0</v>
      </c>
      <c r="AK208">
        <f t="shared" si="176"/>
        <v>0</v>
      </c>
      <c r="AL208">
        <f t="shared" si="177"/>
        <v>0</v>
      </c>
      <c r="AM208">
        <f t="shared" si="156"/>
        <v>0</v>
      </c>
      <c r="AN208">
        <f>IF($S$2=0,0,(SUMPRODUCT($K$2:$R$2,Assumptions!$B$34:$I$34)/$U$2+$J$2/$U$2*Assumptions!$A$34*G208)*K208*O207)</f>
        <v>0</v>
      </c>
      <c r="AO208">
        <f t="shared" si="178"/>
        <v>0</v>
      </c>
      <c r="AP208">
        <f t="shared" si="179"/>
        <v>0</v>
      </c>
      <c r="AQ208">
        <f>IF(B208&gt;$AJ$2,0,AQ207*(1+Assumptions!$B$43)^(1/12))</f>
        <v>0</v>
      </c>
      <c r="AR208" s="27">
        <f>IF(B208&gt;$AJ$2,0,(O207+R207)*Assumptions!$B$39/12*AQ207+AV208*Assumptions!$B$41/12)</f>
        <v>0</v>
      </c>
      <c r="AS208">
        <f t="shared" si="180"/>
        <v>0</v>
      </c>
      <c r="AT208" s="28">
        <f t="shared" si="181"/>
        <v>0</v>
      </c>
      <c r="AU208">
        <f t="shared" si="182"/>
        <v>0</v>
      </c>
      <c r="AV208" s="28">
        <f t="shared" si="183"/>
        <v>0</v>
      </c>
      <c r="AW208" s="28">
        <f t="shared" si="184"/>
        <v>0</v>
      </c>
      <c r="AX208" s="23">
        <f>HLOOKUP(YEAR(A208),Assumptions!$A$25:$AL$29,2,TRUE)/100</f>
        <v>1.1739999999999999E-2</v>
      </c>
      <c r="AY208" s="29">
        <f>1/(1+HLOOKUP(YEAR(A208),Assumptions!$A$18:$AL$20,3,TRUE))^(1/12)</f>
        <v>0.99902750864006262</v>
      </c>
      <c r="AZ208" s="26">
        <f t="shared" si="185"/>
        <v>0</v>
      </c>
      <c r="BA208">
        <f t="shared" si="186"/>
        <v>0</v>
      </c>
      <c r="BB208">
        <f t="shared" si="187"/>
        <v>0</v>
      </c>
      <c r="BC208">
        <f t="shared" si="188"/>
        <v>0</v>
      </c>
    </row>
    <row r="209" spans="1:55" x14ac:dyDescent="0.2">
      <c r="A209" s="3">
        <f t="shared" si="157"/>
        <v>49125</v>
      </c>
      <c r="B209">
        <f t="shared" si="153"/>
        <v>211</v>
      </c>
      <c r="C209">
        <f t="shared" si="151"/>
        <v>17.5</v>
      </c>
      <c r="D209">
        <f t="shared" si="152"/>
        <v>0</v>
      </c>
      <c r="E209">
        <f t="shared" si="154"/>
        <v>73</v>
      </c>
      <c r="F209">
        <f>IF(C209&gt;=$T$2,0,VLOOKUP($E209,'Mortality Table'!$A$3:$C$128,2+AF$2,FALSE))</f>
        <v>0</v>
      </c>
      <c r="G209">
        <f>F209*Assumptions!$B$1</f>
        <v>0</v>
      </c>
      <c r="H209">
        <f t="shared" si="158"/>
        <v>0</v>
      </c>
      <c r="I209">
        <f t="shared" si="146"/>
        <v>0</v>
      </c>
      <c r="J209">
        <f>IF(B209&gt;$AJ$2,0,HLOOKUP(C209,Assumptions!$A$6:$J$7,2,TRUE))</f>
        <v>0</v>
      </c>
      <c r="K209" s="4">
        <f t="shared" si="147"/>
        <v>0</v>
      </c>
      <c r="L209" s="4">
        <f t="shared" si="159"/>
        <v>0</v>
      </c>
      <c r="M209" s="4">
        <f t="shared" si="148"/>
        <v>0</v>
      </c>
      <c r="N209">
        <f t="shared" si="160"/>
        <v>0</v>
      </c>
      <c r="O209" s="21">
        <f t="shared" si="149"/>
        <v>0</v>
      </c>
      <c r="P209">
        <f>IF(B209&gt;$AJ$2,0,HLOOKUP(C209,Assumptions!$A$12:$J$13,2,TRUE))</f>
        <v>0</v>
      </c>
      <c r="Q209">
        <f t="shared" si="150"/>
        <v>0</v>
      </c>
      <c r="R209">
        <f t="shared" si="161"/>
        <v>0</v>
      </c>
      <c r="S209">
        <f t="shared" si="189"/>
        <v>0</v>
      </c>
      <c r="T209">
        <f t="shared" si="190"/>
        <v>0</v>
      </c>
      <c r="U209">
        <f t="shared" si="162"/>
        <v>0</v>
      </c>
      <c r="V209">
        <f t="shared" si="163"/>
        <v>0</v>
      </c>
      <c r="W209">
        <f t="shared" si="164"/>
        <v>0</v>
      </c>
      <c r="X209">
        <f t="shared" si="155"/>
        <v>0</v>
      </c>
      <c r="Y209">
        <f t="shared" si="165"/>
        <v>0</v>
      </c>
      <c r="Z209">
        <f t="shared" si="166"/>
        <v>0</v>
      </c>
      <c r="AA209">
        <f t="shared" si="167"/>
        <v>0</v>
      </c>
      <c r="AB209">
        <f t="shared" si="168"/>
        <v>0</v>
      </c>
      <c r="AC209" s="23">
        <f>IF(B209&gt;$AJ$2,0,HLOOKUP(YEAR(A209),Assumptions!$A$25:$AL$29,4,TRUE)/100)</f>
        <v>0</v>
      </c>
      <c r="AD209">
        <f t="shared" si="169"/>
        <v>0</v>
      </c>
      <c r="AE209">
        <f t="shared" si="170"/>
        <v>0</v>
      </c>
      <c r="AF209">
        <f t="shared" si="171"/>
        <v>0</v>
      </c>
      <c r="AG209">
        <f t="shared" si="172"/>
        <v>0</v>
      </c>
      <c r="AH209">
        <f t="shared" si="173"/>
        <v>0</v>
      </c>
      <c r="AI209">
        <f t="shared" si="174"/>
        <v>0</v>
      </c>
      <c r="AJ209">
        <f t="shared" si="175"/>
        <v>0</v>
      </c>
      <c r="AK209">
        <f t="shared" si="176"/>
        <v>0</v>
      </c>
      <c r="AL209">
        <f t="shared" si="177"/>
        <v>0</v>
      </c>
      <c r="AM209">
        <f t="shared" si="156"/>
        <v>0</v>
      </c>
      <c r="AN209">
        <f>IF($S$2=0,0,(SUMPRODUCT($K$2:$R$2,Assumptions!$B$34:$I$34)/$U$2+$J$2/$U$2*Assumptions!$A$34*G209)*K209*O208)</f>
        <v>0</v>
      </c>
      <c r="AO209">
        <f t="shared" si="178"/>
        <v>0</v>
      </c>
      <c r="AP209">
        <f t="shared" si="179"/>
        <v>0</v>
      </c>
      <c r="AQ209">
        <f>IF(B209&gt;$AJ$2,0,AQ208*(1+Assumptions!$B$43)^(1/12))</f>
        <v>0</v>
      </c>
      <c r="AR209" s="27">
        <f>IF(B209&gt;$AJ$2,0,(O208+R208)*Assumptions!$B$39/12*AQ208+AV209*Assumptions!$B$41/12)</f>
        <v>0</v>
      </c>
      <c r="AS209">
        <f t="shared" si="180"/>
        <v>0</v>
      </c>
      <c r="AT209" s="28">
        <f t="shared" si="181"/>
        <v>0</v>
      </c>
      <c r="AU209">
        <f t="shared" si="182"/>
        <v>0</v>
      </c>
      <c r="AV209" s="28">
        <f t="shared" si="183"/>
        <v>0</v>
      </c>
      <c r="AW209" s="28">
        <f t="shared" si="184"/>
        <v>0</v>
      </c>
      <c r="AX209" s="23">
        <f>HLOOKUP(YEAR(A209),Assumptions!$A$25:$AL$29,2,TRUE)/100</f>
        <v>1.1739999999999999E-2</v>
      </c>
      <c r="AY209" s="29">
        <f>1/(1+HLOOKUP(YEAR(A209),Assumptions!$A$18:$AL$20,3,TRUE))^(1/12)</f>
        <v>0.99902750864006262</v>
      </c>
      <c r="AZ209" s="26">
        <f t="shared" si="185"/>
        <v>0</v>
      </c>
      <c r="BA209">
        <f t="shared" si="186"/>
        <v>0</v>
      </c>
      <c r="BB209">
        <f t="shared" si="187"/>
        <v>0</v>
      </c>
      <c r="BC209">
        <f t="shared" si="188"/>
        <v>0</v>
      </c>
    </row>
    <row r="210" spans="1:55" x14ac:dyDescent="0.2">
      <c r="A210" s="3">
        <f t="shared" si="157"/>
        <v>49156</v>
      </c>
      <c r="B210">
        <f t="shared" si="153"/>
        <v>212</v>
      </c>
      <c r="C210">
        <f t="shared" si="151"/>
        <v>17.583333333333332</v>
      </c>
      <c r="D210">
        <f t="shared" si="152"/>
        <v>0</v>
      </c>
      <c r="E210">
        <f t="shared" si="154"/>
        <v>73</v>
      </c>
      <c r="F210">
        <f>IF(C210&gt;=$T$2,0,VLOOKUP($E210,'Mortality Table'!$A$3:$C$128,2+AF$2,FALSE))</f>
        <v>0</v>
      </c>
      <c r="G210">
        <f>F210*Assumptions!$B$1</f>
        <v>0</v>
      </c>
      <c r="H210">
        <f t="shared" si="158"/>
        <v>0</v>
      </c>
      <c r="I210">
        <f t="shared" si="146"/>
        <v>0</v>
      </c>
      <c r="J210">
        <f>IF(B210&gt;$AJ$2,0,HLOOKUP(C210,Assumptions!$A$6:$J$7,2,TRUE))</f>
        <v>0</v>
      </c>
      <c r="K210" s="4">
        <f t="shared" si="147"/>
        <v>0</v>
      </c>
      <c r="L210" s="4">
        <f t="shared" si="159"/>
        <v>0</v>
      </c>
      <c r="M210" s="4">
        <f t="shared" si="148"/>
        <v>0</v>
      </c>
      <c r="N210">
        <f t="shared" si="160"/>
        <v>0</v>
      </c>
      <c r="O210" s="21">
        <f t="shared" si="149"/>
        <v>0</v>
      </c>
      <c r="P210">
        <f>IF(B210&gt;$AJ$2,0,HLOOKUP(C210,Assumptions!$A$12:$J$13,2,TRUE))</f>
        <v>0</v>
      </c>
      <c r="Q210">
        <f t="shared" si="150"/>
        <v>0</v>
      </c>
      <c r="R210">
        <f t="shared" si="161"/>
        <v>0</v>
      </c>
      <c r="S210">
        <f t="shared" si="189"/>
        <v>0</v>
      </c>
      <c r="T210">
        <f t="shared" si="190"/>
        <v>0</v>
      </c>
      <c r="U210">
        <f t="shared" si="162"/>
        <v>0</v>
      </c>
      <c r="V210">
        <f t="shared" si="163"/>
        <v>0</v>
      </c>
      <c r="W210">
        <f t="shared" si="164"/>
        <v>0</v>
      </c>
      <c r="X210">
        <f t="shared" si="155"/>
        <v>0</v>
      </c>
      <c r="Y210">
        <f t="shared" si="165"/>
        <v>0</v>
      </c>
      <c r="Z210">
        <f t="shared" si="166"/>
        <v>0</v>
      </c>
      <c r="AA210">
        <f t="shared" si="167"/>
        <v>0</v>
      </c>
      <c r="AB210">
        <f t="shared" si="168"/>
        <v>0</v>
      </c>
      <c r="AC210" s="23">
        <f>IF(B210&gt;$AJ$2,0,HLOOKUP(YEAR(A210),Assumptions!$A$25:$AL$29,4,TRUE)/100)</f>
        <v>0</v>
      </c>
      <c r="AD210">
        <f t="shared" si="169"/>
        <v>0</v>
      </c>
      <c r="AE210">
        <f t="shared" si="170"/>
        <v>0</v>
      </c>
      <c r="AF210">
        <f t="shared" si="171"/>
        <v>0</v>
      </c>
      <c r="AG210">
        <f t="shared" si="172"/>
        <v>0</v>
      </c>
      <c r="AH210">
        <f t="shared" si="173"/>
        <v>0</v>
      </c>
      <c r="AI210">
        <f t="shared" si="174"/>
        <v>0</v>
      </c>
      <c r="AJ210">
        <f t="shared" si="175"/>
        <v>0</v>
      </c>
      <c r="AK210">
        <f t="shared" si="176"/>
        <v>0</v>
      </c>
      <c r="AL210">
        <f t="shared" si="177"/>
        <v>0</v>
      </c>
      <c r="AM210">
        <f t="shared" si="156"/>
        <v>0</v>
      </c>
      <c r="AN210">
        <f>IF($S$2=0,0,(SUMPRODUCT($K$2:$R$2,Assumptions!$B$34:$I$34)/$U$2+$J$2/$U$2*Assumptions!$A$34*G210)*K210*O209)</f>
        <v>0</v>
      </c>
      <c r="AO210">
        <f t="shared" si="178"/>
        <v>0</v>
      </c>
      <c r="AP210">
        <f t="shared" si="179"/>
        <v>0</v>
      </c>
      <c r="AQ210">
        <f>IF(B210&gt;$AJ$2,0,AQ209*(1+Assumptions!$B$43)^(1/12))</f>
        <v>0</v>
      </c>
      <c r="AR210" s="27">
        <f>IF(B210&gt;$AJ$2,0,(O209+R209)*Assumptions!$B$39/12*AQ209+AV210*Assumptions!$B$41/12)</f>
        <v>0</v>
      </c>
      <c r="AS210">
        <f t="shared" si="180"/>
        <v>0</v>
      </c>
      <c r="AT210" s="28">
        <f t="shared" si="181"/>
        <v>0</v>
      </c>
      <c r="AU210">
        <f t="shared" si="182"/>
        <v>0</v>
      </c>
      <c r="AV210" s="28">
        <f t="shared" si="183"/>
        <v>0</v>
      </c>
      <c r="AW210" s="28">
        <f t="shared" si="184"/>
        <v>0</v>
      </c>
      <c r="AX210" s="23">
        <f>HLOOKUP(YEAR(A210),Assumptions!$A$25:$AL$29,2,TRUE)/100</f>
        <v>1.1739999999999999E-2</v>
      </c>
      <c r="AY210" s="29">
        <f>1/(1+HLOOKUP(YEAR(A210),Assumptions!$A$18:$AL$20,3,TRUE))^(1/12)</f>
        <v>0.99902750864006262</v>
      </c>
      <c r="AZ210" s="26">
        <f t="shared" si="185"/>
        <v>0</v>
      </c>
      <c r="BA210">
        <f t="shared" si="186"/>
        <v>0</v>
      </c>
      <c r="BB210">
        <f t="shared" si="187"/>
        <v>0</v>
      </c>
      <c r="BC210">
        <f t="shared" si="188"/>
        <v>0</v>
      </c>
    </row>
    <row r="211" spans="1:55" x14ac:dyDescent="0.2">
      <c r="A211" s="3">
        <f t="shared" si="157"/>
        <v>49187</v>
      </c>
      <c r="B211">
        <f t="shared" si="153"/>
        <v>213</v>
      </c>
      <c r="C211">
        <f t="shared" si="151"/>
        <v>17.666666666666668</v>
      </c>
      <c r="D211">
        <f t="shared" si="152"/>
        <v>0</v>
      </c>
      <c r="E211">
        <f t="shared" si="154"/>
        <v>73</v>
      </c>
      <c r="F211">
        <f>IF(C211&gt;=$T$2,0,VLOOKUP($E211,'Mortality Table'!$A$3:$C$128,2+AF$2,FALSE))</f>
        <v>0</v>
      </c>
      <c r="G211">
        <f>F211*Assumptions!$B$1</f>
        <v>0</v>
      </c>
      <c r="H211">
        <f t="shared" si="158"/>
        <v>0</v>
      </c>
      <c r="I211">
        <f t="shared" si="146"/>
        <v>0</v>
      </c>
      <c r="J211">
        <f>IF(B211&gt;$AJ$2,0,HLOOKUP(C211,Assumptions!$A$6:$J$7,2,TRUE))</f>
        <v>0</v>
      </c>
      <c r="K211" s="4">
        <f t="shared" si="147"/>
        <v>0</v>
      </c>
      <c r="L211" s="4">
        <f t="shared" si="159"/>
        <v>0</v>
      </c>
      <c r="M211" s="4">
        <f t="shared" si="148"/>
        <v>0</v>
      </c>
      <c r="N211">
        <f t="shared" si="160"/>
        <v>0</v>
      </c>
      <c r="O211" s="21">
        <f t="shared" si="149"/>
        <v>0</v>
      </c>
      <c r="P211">
        <f>IF(B211&gt;$AJ$2,0,HLOOKUP(C211,Assumptions!$A$12:$J$13,2,TRUE))</f>
        <v>0</v>
      </c>
      <c r="Q211">
        <f t="shared" si="150"/>
        <v>0</v>
      </c>
      <c r="R211">
        <f t="shared" si="161"/>
        <v>0</v>
      </c>
      <c r="S211">
        <f t="shared" si="189"/>
        <v>0</v>
      </c>
      <c r="T211">
        <f t="shared" si="190"/>
        <v>0</v>
      </c>
      <c r="U211">
        <f t="shared" si="162"/>
        <v>0</v>
      </c>
      <c r="V211">
        <f t="shared" si="163"/>
        <v>0</v>
      </c>
      <c r="W211">
        <f t="shared" si="164"/>
        <v>0</v>
      </c>
      <c r="X211">
        <f t="shared" si="155"/>
        <v>0</v>
      </c>
      <c r="Y211">
        <f t="shared" si="165"/>
        <v>0</v>
      </c>
      <c r="Z211">
        <f t="shared" si="166"/>
        <v>0</v>
      </c>
      <c r="AA211">
        <f t="shared" si="167"/>
        <v>0</v>
      </c>
      <c r="AB211">
        <f t="shared" si="168"/>
        <v>0</v>
      </c>
      <c r="AC211" s="23">
        <f>IF(B211&gt;$AJ$2,0,HLOOKUP(YEAR(A211),Assumptions!$A$25:$AL$29,4,TRUE)/100)</f>
        <v>0</v>
      </c>
      <c r="AD211">
        <f t="shared" si="169"/>
        <v>0</v>
      </c>
      <c r="AE211">
        <f t="shared" si="170"/>
        <v>0</v>
      </c>
      <c r="AF211">
        <f t="shared" si="171"/>
        <v>0</v>
      </c>
      <c r="AG211">
        <f t="shared" si="172"/>
        <v>0</v>
      </c>
      <c r="AH211">
        <f t="shared" si="173"/>
        <v>0</v>
      </c>
      <c r="AI211">
        <f t="shared" si="174"/>
        <v>0</v>
      </c>
      <c r="AJ211">
        <f t="shared" si="175"/>
        <v>0</v>
      </c>
      <c r="AK211">
        <f t="shared" si="176"/>
        <v>0</v>
      </c>
      <c r="AL211">
        <f t="shared" si="177"/>
        <v>0</v>
      </c>
      <c r="AM211">
        <f t="shared" si="156"/>
        <v>0</v>
      </c>
      <c r="AN211">
        <f>IF($S$2=0,0,(SUMPRODUCT($K$2:$R$2,Assumptions!$B$34:$I$34)/$U$2+$J$2/$U$2*Assumptions!$A$34*G211)*K211*O210)</f>
        <v>0</v>
      </c>
      <c r="AO211">
        <f t="shared" si="178"/>
        <v>0</v>
      </c>
      <c r="AP211">
        <f t="shared" si="179"/>
        <v>0</v>
      </c>
      <c r="AQ211">
        <f>IF(B211&gt;$AJ$2,0,AQ210*(1+Assumptions!$B$43)^(1/12))</f>
        <v>0</v>
      </c>
      <c r="AR211" s="27">
        <f>IF(B211&gt;$AJ$2,0,(O210+R210)*Assumptions!$B$39/12*AQ210+AV211*Assumptions!$B$41/12)</f>
        <v>0</v>
      </c>
      <c r="AS211">
        <f t="shared" si="180"/>
        <v>0</v>
      </c>
      <c r="AT211" s="28">
        <f t="shared" si="181"/>
        <v>0</v>
      </c>
      <c r="AU211">
        <f t="shared" si="182"/>
        <v>0</v>
      </c>
      <c r="AV211" s="28">
        <f t="shared" si="183"/>
        <v>0</v>
      </c>
      <c r="AW211" s="28">
        <f t="shared" si="184"/>
        <v>0</v>
      </c>
      <c r="AX211" s="23">
        <f>HLOOKUP(YEAR(A211),Assumptions!$A$25:$AL$29,2,TRUE)/100</f>
        <v>1.1739999999999999E-2</v>
      </c>
      <c r="AY211" s="29">
        <f>1/(1+HLOOKUP(YEAR(A211),Assumptions!$A$18:$AL$20,3,TRUE))^(1/12)</f>
        <v>0.99902750864006262</v>
      </c>
      <c r="AZ211" s="26">
        <f t="shared" si="185"/>
        <v>0</v>
      </c>
      <c r="BA211">
        <f t="shared" si="186"/>
        <v>0</v>
      </c>
      <c r="BB211">
        <f t="shared" si="187"/>
        <v>0</v>
      </c>
      <c r="BC211">
        <f t="shared" si="188"/>
        <v>0</v>
      </c>
    </row>
    <row r="212" spans="1:55" x14ac:dyDescent="0.2">
      <c r="A212" s="3">
        <f t="shared" si="157"/>
        <v>49217</v>
      </c>
      <c r="B212">
        <f t="shared" si="153"/>
        <v>214</v>
      </c>
      <c r="C212">
        <f t="shared" si="151"/>
        <v>17.75</v>
      </c>
      <c r="D212">
        <f t="shared" si="152"/>
        <v>0</v>
      </c>
      <c r="E212">
        <f t="shared" si="154"/>
        <v>73</v>
      </c>
      <c r="F212">
        <f>IF(C212&gt;=$T$2,0,VLOOKUP($E212,'Mortality Table'!$A$3:$C$128,2+AF$2,FALSE))</f>
        <v>0</v>
      </c>
      <c r="G212">
        <f>F212*Assumptions!$B$1</f>
        <v>0</v>
      </c>
      <c r="H212">
        <f t="shared" si="158"/>
        <v>0</v>
      </c>
      <c r="I212">
        <f t="shared" si="146"/>
        <v>0</v>
      </c>
      <c r="J212">
        <f>IF(B212&gt;$AJ$2,0,HLOOKUP(C212,Assumptions!$A$6:$J$7,2,TRUE))</f>
        <v>0</v>
      </c>
      <c r="K212" s="4">
        <f t="shared" si="147"/>
        <v>0</v>
      </c>
      <c r="L212" s="4">
        <f t="shared" si="159"/>
        <v>0</v>
      </c>
      <c r="M212" s="4">
        <f t="shared" si="148"/>
        <v>0</v>
      </c>
      <c r="N212">
        <f t="shared" si="160"/>
        <v>0</v>
      </c>
      <c r="O212" s="21">
        <f t="shared" si="149"/>
        <v>0</v>
      </c>
      <c r="P212">
        <f>IF(B212&gt;$AJ$2,0,HLOOKUP(C212,Assumptions!$A$12:$J$13,2,TRUE))</f>
        <v>0</v>
      </c>
      <c r="Q212">
        <f t="shared" si="150"/>
        <v>0</v>
      </c>
      <c r="R212">
        <f t="shared" si="161"/>
        <v>0</v>
      </c>
      <c r="S212">
        <f t="shared" si="189"/>
        <v>0</v>
      </c>
      <c r="T212">
        <f t="shared" si="190"/>
        <v>0</v>
      </c>
      <c r="U212">
        <f t="shared" si="162"/>
        <v>0</v>
      </c>
      <c r="V212">
        <f t="shared" si="163"/>
        <v>0</v>
      </c>
      <c r="W212">
        <f t="shared" si="164"/>
        <v>0</v>
      </c>
      <c r="X212">
        <f t="shared" si="155"/>
        <v>0</v>
      </c>
      <c r="Y212">
        <f t="shared" si="165"/>
        <v>0</v>
      </c>
      <c r="Z212">
        <f t="shared" si="166"/>
        <v>0</v>
      </c>
      <c r="AA212">
        <f t="shared" si="167"/>
        <v>0</v>
      </c>
      <c r="AB212">
        <f t="shared" si="168"/>
        <v>0</v>
      </c>
      <c r="AC212" s="23">
        <f>IF(B212&gt;$AJ$2,0,HLOOKUP(YEAR(A212),Assumptions!$A$25:$AL$29,4,TRUE)/100)</f>
        <v>0</v>
      </c>
      <c r="AD212">
        <f t="shared" si="169"/>
        <v>0</v>
      </c>
      <c r="AE212">
        <f t="shared" si="170"/>
        <v>0</v>
      </c>
      <c r="AF212">
        <f t="shared" si="171"/>
        <v>0</v>
      </c>
      <c r="AG212">
        <f t="shared" si="172"/>
        <v>0</v>
      </c>
      <c r="AH212">
        <f t="shared" si="173"/>
        <v>0</v>
      </c>
      <c r="AI212">
        <f t="shared" si="174"/>
        <v>0</v>
      </c>
      <c r="AJ212">
        <f t="shared" si="175"/>
        <v>0</v>
      </c>
      <c r="AK212">
        <f t="shared" si="176"/>
        <v>0</v>
      </c>
      <c r="AL212">
        <f t="shared" si="177"/>
        <v>0</v>
      </c>
      <c r="AM212">
        <f t="shared" si="156"/>
        <v>0</v>
      </c>
      <c r="AN212">
        <f>IF($S$2=0,0,(SUMPRODUCT($K$2:$R$2,Assumptions!$B$34:$I$34)/$U$2+$J$2/$U$2*Assumptions!$A$34*G212)*K212*O211)</f>
        <v>0</v>
      </c>
      <c r="AO212">
        <f t="shared" si="178"/>
        <v>0</v>
      </c>
      <c r="AP212">
        <f t="shared" si="179"/>
        <v>0</v>
      </c>
      <c r="AQ212">
        <f>IF(B212&gt;$AJ$2,0,AQ211*(1+Assumptions!$B$43)^(1/12))</f>
        <v>0</v>
      </c>
      <c r="AR212" s="27">
        <f>IF(B212&gt;$AJ$2,0,(O211+R211)*Assumptions!$B$39/12*AQ211+AV212*Assumptions!$B$41/12)</f>
        <v>0</v>
      </c>
      <c r="AS212">
        <f t="shared" si="180"/>
        <v>0</v>
      </c>
      <c r="AT212" s="28">
        <f t="shared" si="181"/>
        <v>0</v>
      </c>
      <c r="AU212">
        <f t="shared" si="182"/>
        <v>0</v>
      </c>
      <c r="AV212" s="28">
        <f t="shared" si="183"/>
        <v>0</v>
      </c>
      <c r="AW212" s="28">
        <f t="shared" si="184"/>
        <v>0</v>
      </c>
      <c r="AX212" s="23">
        <f>HLOOKUP(YEAR(A212),Assumptions!$A$25:$AL$29,2,TRUE)/100</f>
        <v>1.1739999999999999E-2</v>
      </c>
      <c r="AY212" s="29">
        <f>1/(1+HLOOKUP(YEAR(A212),Assumptions!$A$18:$AL$20,3,TRUE))^(1/12)</f>
        <v>0.99902750864006262</v>
      </c>
      <c r="AZ212" s="26">
        <f t="shared" si="185"/>
        <v>0</v>
      </c>
      <c r="BA212">
        <f t="shared" si="186"/>
        <v>0</v>
      </c>
      <c r="BB212">
        <f t="shared" si="187"/>
        <v>0</v>
      </c>
      <c r="BC212">
        <f t="shared" si="188"/>
        <v>0</v>
      </c>
    </row>
    <row r="213" spans="1:55" x14ac:dyDescent="0.2">
      <c r="A213" s="3">
        <f t="shared" si="157"/>
        <v>49248</v>
      </c>
      <c r="B213">
        <f t="shared" si="153"/>
        <v>215</v>
      </c>
      <c r="C213">
        <f t="shared" si="151"/>
        <v>17.833333333333332</v>
      </c>
      <c r="D213">
        <f t="shared" si="152"/>
        <v>0</v>
      </c>
      <c r="E213">
        <f t="shared" si="154"/>
        <v>73</v>
      </c>
      <c r="F213">
        <f>IF(C213&gt;=$T$2,0,VLOOKUP($E213,'Mortality Table'!$A$3:$C$128,2+AF$2,FALSE))</f>
        <v>0</v>
      </c>
      <c r="G213">
        <f>F213*Assumptions!$B$1</f>
        <v>0</v>
      </c>
      <c r="H213">
        <f t="shared" si="158"/>
        <v>0</v>
      </c>
      <c r="I213">
        <f t="shared" si="146"/>
        <v>0</v>
      </c>
      <c r="J213">
        <f>IF(B213&gt;$AJ$2,0,HLOOKUP(C213,Assumptions!$A$6:$J$7,2,TRUE))</f>
        <v>0</v>
      </c>
      <c r="K213" s="4">
        <f t="shared" si="147"/>
        <v>0</v>
      </c>
      <c r="L213" s="4">
        <f t="shared" si="159"/>
        <v>0</v>
      </c>
      <c r="M213" s="4">
        <f t="shared" si="148"/>
        <v>0</v>
      </c>
      <c r="N213">
        <f t="shared" si="160"/>
        <v>0</v>
      </c>
      <c r="O213" s="21">
        <f t="shared" si="149"/>
        <v>0</v>
      </c>
      <c r="P213">
        <f>IF(B213&gt;$AJ$2,0,HLOOKUP(C213,Assumptions!$A$12:$J$13,2,TRUE))</f>
        <v>0</v>
      </c>
      <c r="Q213">
        <f t="shared" si="150"/>
        <v>0</v>
      </c>
      <c r="R213">
        <f t="shared" si="161"/>
        <v>0</v>
      </c>
      <c r="S213">
        <f t="shared" si="189"/>
        <v>0</v>
      </c>
      <c r="T213">
        <f t="shared" si="190"/>
        <v>0</v>
      </c>
      <c r="U213">
        <f t="shared" si="162"/>
        <v>0</v>
      </c>
      <c r="V213">
        <f t="shared" si="163"/>
        <v>0</v>
      </c>
      <c r="W213">
        <f t="shared" si="164"/>
        <v>0</v>
      </c>
      <c r="X213">
        <f t="shared" si="155"/>
        <v>0</v>
      </c>
      <c r="Y213">
        <f t="shared" si="165"/>
        <v>0</v>
      </c>
      <c r="Z213">
        <f t="shared" si="166"/>
        <v>0</v>
      </c>
      <c r="AA213">
        <f t="shared" si="167"/>
        <v>0</v>
      </c>
      <c r="AB213">
        <f t="shared" si="168"/>
        <v>0</v>
      </c>
      <c r="AC213" s="23">
        <f>IF(B213&gt;$AJ$2,0,HLOOKUP(YEAR(A213),Assumptions!$A$25:$AL$29,4,TRUE)/100)</f>
        <v>0</v>
      </c>
      <c r="AD213">
        <f t="shared" si="169"/>
        <v>0</v>
      </c>
      <c r="AE213">
        <f t="shared" si="170"/>
        <v>0</v>
      </c>
      <c r="AF213">
        <f t="shared" si="171"/>
        <v>0</v>
      </c>
      <c r="AG213">
        <f t="shared" si="172"/>
        <v>0</v>
      </c>
      <c r="AH213">
        <f t="shared" si="173"/>
        <v>0</v>
      </c>
      <c r="AI213">
        <f t="shared" si="174"/>
        <v>0</v>
      </c>
      <c r="AJ213">
        <f t="shared" si="175"/>
        <v>0</v>
      </c>
      <c r="AK213">
        <f t="shared" si="176"/>
        <v>0</v>
      </c>
      <c r="AL213">
        <f t="shared" si="177"/>
        <v>0</v>
      </c>
      <c r="AM213">
        <f t="shared" si="156"/>
        <v>0</v>
      </c>
      <c r="AN213">
        <f>IF($S$2=0,0,(SUMPRODUCT($K$2:$R$2,Assumptions!$B$34:$I$34)/$U$2+$J$2/$U$2*Assumptions!$A$34*G213)*K213*O212)</f>
        <v>0</v>
      </c>
      <c r="AO213">
        <f t="shared" si="178"/>
        <v>0</v>
      </c>
      <c r="AP213">
        <f t="shared" si="179"/>
        <v>0</v>
      </c>
      <c r="AQ213">
        <f>IF(B213&gt;$AJ$2,0,AQ212*(1+Assumptions!$B$43)^(1/12))</f>
        <v>0</v>
      </c>
      <c r="AR213" s="27">
        <f>IF(B213&gt;$AJ$2,0,(O212+R212)*Assumptions!$B$39/12*AQ212+AV213*Assumptions!$B$41/12)</f>
        <v>0</v>
      </c>
      <c r="AS213">
        <f t="shared" si="180"/>
        <v>0</v>
      </c>
      <c r="AT213" s="28">
        <f t="shared" si="181"/>
        <v>0</v>
      </c>
      <c r="AU213">
        <f t="shared" si="182"/>
        <v>0</v>
      </c>
      <c r="AV213" s="28">
        <f t="shared" si="183"/>
        <v>0</v>
      </c>
      <c r="AW213" s="28">
        <f t="shared" si="184"/>
        <v>0</v>
      </c>
      <c r="AX213" s="23">
        <f>HLOOKUP(YEAR(A213),Assumptions!$A$25:$AL$29,2,TRUE)/100</f>
        <v>1.1739999999999999E-2</v>
      </c>
      <c r="AY213" s="29">
        <f>1/(1+HLOOKUP(YEAR(A213),Assumptions!$A$18:$AL$20,3,TRUE))^(1/12)</f>
        <v>0.99902750864006262</v>
      </c>
      <c r="AZ213" s="26">
        <f t="shared" si="185"/>
        <v>0</v>
      </c>
      <c r="BA213">
        <f t="shared" si="186"/>
        <v>0</v>
      </c>
      <c r="BB213">
        <f t="shared" si="187"/>
        <v>0</v>
      </c>
      <c r="BC213">
        <f t="shared" si="188"/>
        <v>0</v>
      </c>
    </row>
    <row r="214" spans="1:55" x14ac:dyDescent="0.2">
      <c r="A214" s="3">
        <f t="shared" si="157"/>
        <v>49278</v>
      </c>
      <c r="B214">
        <f t="shared" si="153"/>
        <v>216</v>
      </c>
      <c r="C214">
        <f t="shared" si="151"/>
        <v>17.916666666666668</v>
      </c>
      <c r="D214">
        <f t="shared" si="152"/>
        <v>0</v>
      </c>
      <c r="E214">
        <f t="shared" si="154"/>
        <v>73</v>
      </c>
      <c r="F214">
        <f>IF(C214&gt;=$T$2,0,VLOOKUP($E214,'Mortality Table'!$A$3:$C$128,2+AF$2,FALSE))</f>
        <v>0</v>
      </c>
      <c r="G214">
        <f>F214*Assumptions!$B$1</f>
        <v>0</v>
      </c>
      <c r="H214">
        <f t="shared" si="158"/>
        <v>0</v>
      </c>
      <c r="I214">
        <f t="shared" si="146"/>
        <v>0</v>
      </c>
      <c r="J214">
        <f>IF(B214&gt;$AJ$2,0,HLOOKUP(C214,Assumptions!$A$6:$J$7,2,TRUE))</f>
        <v>0</v>
      </c>
      <c r="K214" s="4">
        <f t="shared" si="147"/>
        <v>0</v>
      </c>
      <c r="L214" s="4">
        <f t="shared" si="159"/>
        <v>0</v>
      </c>
      <c r="M214" s="4">
        <f t="shared" si="148"/>
        <v>0</v>
      </c>
      <c r="N214">
        <f t="shared" si="160"/>
        <v>0</v>
      </c>
      <c r="O214" s="21">
        <f t="shared" si="149"/>
        <v>0</v>
      </c>
      <c r="P214">
        <f>IF(B214&gt;$AJ$2,0,HLOOKUP(C214,Assumptions!$A$12:$J$13,2,TRUE))</f>
        <v>0</v>
      </c>
      <c r="Q214">
        <f t="shared" si="150"/>
        <v>0</v>
      </c>
      <c r="R214">
        <f t="shared" si="161"/>
        <v>0</v>
      </c>
      <c r="S214">
        <f t="shared" si="189"/>
        <v>0</v>
      </c>
      <c r="T214">
        <f t="shared" si="190"/>
        <v>0</v>
      </c>
      <c r="U214">
        <f t="shared" si="162"/>
        <v>0</v>
      </c>
      <c r="V214">
        <f t="shared" si="163"/>
        <v>0</v>
      </c>
      <c r="W214">
        <f t="shared" si="164"/>
        <v>0</v>
      </c>
      <c r="X214">
        <f t="shared" si="155"/>
        <v>0</v>
      </c>
      <c r="Y214">
        <f t="shared" si="165"/>
        <v>0</v>
      </c>
      <c r="Z214">
        <f t="shared" si="166"/>
        <v>0</v>
      </c>
      <c r="AA214">
        <f t="shared" si="167"/>
        <v>0</v>
      </c>
      <c r="AB214">
        <f t="shared" si="168"/>
        <v>0</v>
      </c>
      <c r="AC214" s="23">
        <f>IF(B214&gt;$AJ$2,0,HLOOKUP(YEAR(A214),Assumptions!$A$25:$AL$29,4,TRUE)/100)</f>
        <v>0</v>
      </c>
      <c r="AD214">
        <f t="shared" si="169"/>
        <v>0</v>
      </c>
      <c r="AE214">
        <f t="shared" si="170"/>
        <v>0</v>
      </c>
      <c r="AF214">
        <f t="shared" si="171"/>
        <v>0</v>
      </c>
      <c r="AG214">
        <f t="shared" si="172"/>
        <v>0</v>
      </c>
      <c r="AH214">
        <f t="shared" si="173"/>
        <v>0</v>
      </c>
      <c r="AI214">
        <f t="shared" si="174"/>
        <v>0</v>
      </c>
      <c r="AJ214">
        <f t="shared" si="175"/>
        <v>0</v>
      </c>
      <c r="AK214">
        <f t="shared" si="176"/>
        <v>0</v>
      </c>
      <c r="AL214">
        <f t="shared" si="177"/>
        <v>0</v>
      </c>
      <c r="AM214">
        <f t="shared" si="156"/>
        <v>0</v>
      </c>
      <c r="AN214">
        <f>IF($S$2=0,0,(SUMPRODUCT($K$2:$R$2,Assumptions!$B$34:$I$34)/$U$2+$J$2/$U$2*Assumptions!$A$34*G214)*K214*O213)</f>
        <v>0</v>
      </c>
      <c r="AO214">
        <f t="shared" si="178"/>
        <v>0</v>
      </c>
      <c r="AP214">
        <f t="shared" si="179"/>
        <v>0</v>
      </c>
      <c r="AQ214">
        <f>IF(B214&gt;$AJ$2,0,AQ213*(1+Assumptions!$B$43)^(1/12))</f>
        <v>0</v>
      </c>
      <c r="AR214" s="27">
        <f>IF(B214&gt;$AJ$2,0,(O213+R213)*Assumptions!$B$39/12*AQ213+AV214*Assumptions!$B$41/12)</f>
        <v>0</v>
      </c>
      <c r="AS214">
        <f t="shared" si="180"/>
        <v>0</v>
      </c>
      <c r="AT214" s="28">
        <f t="shared" si="181"/>
        <v>0</v>
      </c>
      <c r="AU214">
        <f t="shared" si="182"/>
        <v>0</v>
      </c>
      <c r="AV214" s="28">
        <f t="shared" si="183"/>
        <v>0</v>
      </c>
      <c r="AW214" s="28">
        <f t="shared" si="184"/>
        <v>0</v>
      </c>
      <c r="AX214" s="23">
        <f>HLOOKUP(YEAR(A214),Assumptions!$A$25:$AL$29,2,TRUE)/100</f>
        <v>1.1739999999999999E-2</v>
      </c>
      <c r="AY214" s="29">
        <f>1/(1+HLOOKUP(YEAR(A214),Assumptions!$A$18:$AL$20,3,TRUE))^(1/12)</f>
        <v>0.99902750864006262</v>
      </c>
      <c r="AZ214" s="26">
        <f t="shared" si="185"/>
        <v>0</v>
      </c>
      <c r="BA214">
        <f t="shared" si="186"/>
        <v>0</v>
      </c>
      <c r="BB214">
        <f t="shared" si="187"/>
        <v>0</v>
      </c>
      <c r="BC214">
        <f t="shared" si="188"/>
        <v>0</v>
      </c>
    </row>
    <row r="215" spans="1:55" x14ac:dyDescent="0.2">
      <c r="A215" s="3">
        <f t="shared" si="157"/>
        <v>49309</v>
      </c>
      <c r="B215">
        <f t="shared" si="153"/>
        <v>217</v>
      </c>
      <c r="C215">
        <f t="shared" si="151"/>
        <v>18</v>
      </c>
      <c r="D215">
        <f t="shared" si="152"/>
        <v>1</v>
      </c>
      <c r="E215">
        <f t="shared" si="154"/>
        <v>74</v>
      </c>
      <c r="F215">
        <f>IF(C215&gt;=$T$2,0,VLOOKUP($E215,'Mortality Table'!$A$3:$C$128,2+AF$2,FALSE))</f>
        <v>0</v>
      </c>
      <c r="G215">
        <f>F215*Assumptions!$B$1</f>
        <v>0</v>
      </c>
      <c r="H215">
        <f t="shared" si="158"/>
        <v>0</v>
      </c>
      <c r="I215">
        <f t="shared" si="146"/>
        <v>0</v>
      </c>
      <c r="J215">
        <f>IF(B215&gt;$AJ$2,0,HLOOKUP(C215,Assumptions!$A$6:$J$7,2,TRUE))</f>
        <v>0</v>
      </c>
      <c r="K215" s="4">
        <f t="shared" si="147"/>
        <v>0</v>
      </c>
      <c r="L215" s="4">
        <f t="shared" si="159"/>
        <v>0</v>
      </c>
      <c r="M215" s="4">
        <f t="shared" si="148"/>
        <v>0</v>
      </c>
      <c r="N215">
        <f t="shared" si="160"/>
        <v>0</v>
      </c>
      <c r="O215" s="21">
        <f t="shared" si="149"/>
        <v>0</v>
      </c>
      <c r="P215">
        <f>IF(B215&gt;$AJ$2,0,HLOOKUP(C215,Assumptions!$A$12:$J$13,2,TRUE))</f>
        <v>0</v>
      </c>
      <c r="Q215">
        <f t="shared" si="150"/>
        <v>0</v>
      </c>
      <c r="R215">
        <f t="shared" si="161"/>
        <v>0</v>
      </c>
      <c r="S215">
        <f t="shared" si="189"/>
        <v>0</v>
      </c>
      <c r="T215">
        <f t="shared" si="190"/>
        <v>0</v>
      </c>
      <c r="U215">
        <f t="shared" si="162"/>
        <v>0</v>
      </c>
      <c r="V215">
        <f t="shared" si="163"/>
        <v>0</v>
      </c>
      <c r="W215">
        <f t="shared" si="164"/>
        <v>0</v>
      </c>
      <c r="X215">
        <f t="shared" si="155"/>
        <v>0</v>
      </c>
      <c r="Y215">
        <f t="shared" si="165"/>
        <v>0</v>
      </c>
      <c r="Z215">
        <f t="shared" si="166"/>
        <v>0</v>
      </c>
      <c r="AA215">
        <f t="shared" si="167"/>
        <v>0</v>
      </c>
      <c r="AB215">
        <f t="shared" si="168"/>
        <v>0</v>
      </c>
      <c r="AC215" s="23">
        <f>IF(B215&gt;$AJ$2,0,HLOOKUP(YEAR(A215),Assumptions!$A$25:$AL$29,4,TRUE)/100)</f>
        <v>0</v>
      </c>
      <c r="AD215">
        <f t="shared" si="169"/>
        <v>0</v>
      </c>
      <c r="AE215">
        <f t="shared" si="170"/>
        <v>0</v>
      </c>
      <c r="AF215">
        <f t="shared" si="171"/>
        <v>0</v>
      </c>
      <c r="AG215">
        <f t="shared" si="172"/>
        <v>0</v>
      </c>
      <c r="AH215">
        <f t="shared" si="173"/>
        <v>0</v>
      </c>
      <c r="AI215">
        <f t="shared" si="174"/>
        <v>0</v>
      </c>
      <c r="AJ215">
        <f t="shared" si="175"/>
        <v>0</v>
      </c>
      <c r="AK215">
        <f t="shared" si="176"/>
        <v>0</v>
      </c>
      <c r="AL215">
        <f t="shared" si="177"/>
        <v>0</v>
      </c>
      <c r="AM215">
        <f t="shared" si="156"/>
        <v>0</v>
      </c>
      <c r="AN215">
        <f>IF($S$2=0,0,(SUMPRODUCT($K$2:$R$2,Assumptions!$B$34:$I$34)/$U$2+$J$2/$U$2*Assumptions!$A$34*G215)*K215*O214)</f>
        <v>0</v>
      </c>
      <c r="AO215">
        <f t="shared" si="178"/>
        <v>0</v>
      </c>
      <c r="AP215">
        <f t="shared" si="179"/>
        <v>0</v>
      </c>
      <c r="AQ215">
        <f>IF(B215&gt;$AJ$2,0,AQ214*(1+Assumptions!$B$43)^(1/12))</f>
        <v>0</v>
      </c>
      <c r="AR215" s="27">
        <f>IF(B215&gt;$AJ$2,0,(O214+R214)*Assumptions!$B$39/12*AQ214+AV215*Assumptions!$B$41/12)</f>
        <v>0</v>
      </c>
      <c r="AS215">
        <f t="shared" si="180"/>
        <v>0</v>
      </c>
      <c r="AT215" s="28">
        <f t="shared" si="181"/>
        <v>0</v>
      </c>
      <c r="AU215">
        <f t="shared" si="182"/>
        <v>0</v>
      </c>
      <c r="AV215" s="28">
        <f t="shared" si="183"/>
        <v>0</v>
      </c>
      <c r="AW215" s="28">
        <f t="shared" si="184"/>
        <v>0</v>
      </c>
      <c r="AX215" s="23">
        <f>HLOOKUP(YEAR(A215),Assumptions!$A$25:$AL$29,2,TRUE)/100</f>
        <v>1.1739999999999999E-2</v>
      </c>
      <c r="AY215" s="29">
        <f>1/(1+HLOOKUP(YEAR(A215),Assumptions!$A$18:$AL$20,3,TRUE))^(1/12)</f>
        <v>0.99902750864006262</v>
      </c>
      <c r="AZ215" s="26">
        <f t="shared" si="185"/>
        <v>0</v>
      </c>
      <c r="BA215">
        <f t="shared" si="186"/>
        <v>0</v>
      </c>
      <c r="BB215">
        <f t="shared" si="187"/>
        <v>0</v>
      </c>
      <c r="BC215">
        <f t="shared" si="188"/>
        <v>0</v>
      </c>
    </row>
    <row r="216" spans="1:55" x14ac:dyDescent="0.2">
      <c r="A216" s="3">
        <f t="shared" si="157"/>
        <v>49340</v>
      </c>
      <c r="B216">
        <f t="shared" si="153"/>
        <v>218</v>
      </c>
      <c r="C216">
        <f t="shared" si="151"/>
        <v>18.083333333333332</v>
      </c>
      <c r="D216">
        <f t="shared" si="152"/>
        <v>0</v>
      </c>
      <c r="E216">
        <f t="shared" si="154"/>
        <v>74</v>
      </c>
      <c r="F216">
        <f>IF(C216&gt;=$T$2,0,VLOOKUP($E216,'Mortality Table'!$A$3:$C$128,2+AF$2,FALSE))</f>
        <v>0</v>
      </c>
      <c r="G216">
        <f>F216*Assumptions!$B$1</f>
        <v>0</v>
      </c>
      <c r="H216">
        <f t="shared" si="158"/>
        <v>0</v>
      </c>
      <c r="I216">
        <f t="shared" si="146"/>
        <v>0</v>
      </c>
      <c r="J216">
        <f>IF(B216&gt;$AJ$2,0,HLOOKUP(C216,Assumptions!$A$6:$J$7,2,TRUE))</f>
        <v>0</v>
      </c>
      <c r="K216" s="4">
        <f t="shared" si="147"/>
        <v>0</v>
      </c>
      <c r="L216" s="4">
        <f t="shared" si="159"/>
        <v>0</v>
      </c>
      <c r="M216" s="4">
        <f t="shared" si="148"/>
        <v>0</v>
      </c>
      <c r="N216">
        <f t="shared" si="160"/>
        <v>0</v>
      </c>
      <c r="O216" s="21">
        <f t="shared" si="149"/>
        <v>0</v>
      </c>
      <c r="P216">
        <f>IF(B216&gt;$AJ$2,0,HLOOKUP(C216,Assumptions!$A$12:$J$13,2,TRUE))</f>
        <v>0</v>
      </c>
      <c r="Q216">
        <f t="shared" si="150"/>
        <v>0</v>
      </c>
      <c r="R216">
        <f t="shared" si="161"/>
        <v>0</v>
      </c>
      <c r="S216">
        <f t="shared" si="189"/>
        <v>0</v>
      </c>
      <c r="T216">
        <f t="shared" si="190"/>
        <v>0</v>
      </c>
      <c r="U216">
        <f t="shared" si="162"/>
        <v>0</v>
      </c>
      <c r="V216">
        <f t="shared" si="163"/>
        <v>0</v>
      </c>
      <c r="W216">
        <f t="shared" si="164"/>
        <v>0</v>
      </c>
      <c r="X216">
        <f t="shared" si="155"/>
        <v>0</v>
      </c>
      <c r="Y216">
        <f t="shared" si="165"/>
        <v>0</v>
      </c>
      <c r="Z216">
        <f t="shared" si="166"/>
        <v>0</v>
      </c>
      <c r="AA216">
        <f t="shared" si="167"/>
        <v>0</v>
      </c>
      <c r="AB216">
        <f t="shared" si="168"/>
        <v>0</v>
      </c>
      <c r="AC216" s="23">
        <f>IF(B216&gt;$AJ$2,0,HLOOKUP(YEAR(A216),Assumptions!$A$25:$AL$29,4,TRUE)/100)</f>
        <v>0</v>
      </c>
      <c r="AD216">
        <f t="shared" si="169"/>
        <v>0</v>
      </c>
      <c r="AE216">
        <f t="shared" si="170"/>
        <v>0</v>
      </c>
      <c r="AF216">
        <f t="shared" si="171"/>
        <v>0</v>
      </c>
      <c r="AG216">
        <f t="shared" si="172"/>
        <v>0</v>
      </c>
      <c r="AH216">
        <f t="shared" si="173"/>
        <v>0</v>
      </c>
      <c r="AI216">
        <f t="shared" si="174"/>
        <v>0</v>
      </c>
      <c r="AJ216">
        <f t="shared" si="175"/>
        <v>0</v>
      </c>
      <c r="AK216">
        <f t="shared" si="176"/>
        <v>0</v>
      </c>
      <c r="AL216">
        <f t="shared" si="177"/>
        <v>0</v>
      </c>
      <c r="AM216">
        <f t="shared" si="156"/>
        <v>0</v>
      </c>
      <c r="AN216">
        <f>IF($S$2=0,0,(SUMPRODUCT($K$2:$R$2,Assumptions!$B$34:$I$34)/$U$2+$J$2/$U$2*Assumptions!$A$34*G216)*K216*O215)</f>
        <v>0</v>
      </c>
      <c r="AO216">
        <f t="shared" si="178"/>
        <v>0</v>
      </c>
      <c r="AP216">
        <f t="shared" si="179"/>
        <v>0</v>
      </c>
      <c r="AQ216">
        <f>IF(B216&gt;$AJ$2,0,AQ215*(1+Assumptions!$B$43)^(1/12))</f>
        <v>0</v>
      </c>
      <c r="AR216" s="27">
        <f>IF(B216&gt;$AJ$2,0,(O215+R215)*Assumptions!$B$39/12*AQ215+AV216*Assumptions!$B$41/12)</f>
        <v>0</v>
      </c>
      <c r="AS216">
        <f t="shared" si="180"/>
        <v>0</v>
      </c>
      <c r="AT216" s="28">
        <f t="shared" si="181"/>
        <v>0</v>
      </c>
      <c r="AU216">
        <f t="shared" si="182"/>
        <v>0</v>
      </c>
      <c r="AV216" s="28">
        <f t="shared" si="183"/>
        <v>0</v>
      </c>
      <c r="AW216" s="28">
        <f t="shared" si="184"/>
        <v>0</v>
      </c>
      <c r="AX216" s="23">
        <f>HLOOKUP(YEAR(A216),Assumptions!$A$25:$AL$29,2,TRUE)/100</f>
        <v>1.1739999999999999E-2</v>
      </c>
      <c r="AY216" s="29">
        <f>1/(1+HLOOKUP(YEAR(A216),Assumptions!$A$18:$AL$20,3,TRUE))^(1/12)</f>
        <v>0.99902750864006262</v>
      </c>
      <c r="AZ216" s="26">
        <f t="shared" si="185"/>
        <v>0</v>
      </c>
      <c r="BA216">
        <f t="shared" si="186"/>
        <v>0</v>
      </c>
      <c r="BB216">
        <f t="shared" si="187"/>
        <v>0</v>
      </c>
      <c r="BC216">
        <f t="shared" si="188"/>
        <v>0</v>
      </c>
    </row>
    <row r="217" spans="1:55" x14ac:dyDescent="0.2">
      <c r="A217" s="3">
        <f t="shared" si="157"/>
        <v>49368</v>
      </c>
      <c r="B217">
        <f t="shared" si="153"/>
        <v>219</v>
      </c>
      <c r="C217">
        <f t="shared" si="151"/>
        <v>18.166666666666668</v>
      </c>
      <c r="D217">
        <f t="shared" si="152"/>
        <v>0</v>
      </c>
      <c r="E217">
        <f t="shared" si="154"/>
        <v>74</v>
      </c>
      <c r="F217">
        <f>IF(C217&gt;=$T$2,0,VLOOKUP($E217,'Mortality Table'!$A$3:$C$128,2+AF$2,FALSE))</f>
        <v>0</v>
      </c>
      <c r="G217">
        <f>F217*Assumptions!$B$1</f>
        <v>0</v>
      </c>
      <c r="H217">
        <f t="shared" si="158"/>
        <v>0</v>
      </c>
      <c r="I217">
        <f t="shared" si="146"/>
        <v>0</v>
      </c>
      <c r="J217">
        <f>IF(B217&gt;$AJ$2,0,HLOOKUP(C217,Assumptions!$A$6:$J$7,2,TRUE))</f>
        <v>0</v>
      </c>
      <c r="K217" s="4">
        <f t="shared" si="147"/>
        <v>0</v>
      </c>
      <c r="L217" s="4">
        <f t="shared" si="159"/>
        <v>0</v>
      </c>
      <c r="M217" s="4">
        <f t="shared" si="148"/>
        <v>0</v>
      </c>
      <c r="N217">
        <f t="shared" si="160"/>
        <v>0</v>
      </c>
      <c r="O217" s="21">
        <f t="shared" si="149"/>
        <v>0</v>
      </c>
      <c r="P217">
        <f>IF(B217&gt;$AJ$2,0,HLOOKUP(C217,Assumptions!$A$12:$J$13,2,TRUE))</f>
        <v>0</v>
      </c>
      <c r="Q217">
        <f t="shared" si="150"/>
        <v>0</v>
      </c>
      <c r="R217">
        <f t="shared" si="161"/>
        <v>0</v>
      </c>
      <c r="S217">
        <f t="shared" si="189"/>
        <v>0</v>
      </c>
      <c r="T217">
        <f t="shared" si="190"/>
        <v>0</v>
      </c>
      <c r="U217">
        <f t="shared" si="162"/>
        <v>0</v>
      </c>
      <c r="V217">
        <f t="shared" si="163"/>
        <v>0</v>
      </c>
      <c r="W217">
        <f t="shared" si="164"/>
        <v>0</v>
      </c>
      <c r="X217">
        <f t="shared" si="155"/>
        <v>0</v>
      </c>
      <c r="Y217">
        <f t="shared" si="165"/>
        <v>0</v>
      </c>
      <c r="Z217">
        <f t="shared" si="166"/>
        <v>0</v>
      </c>
      <c r="AA217">
        <f t="shared" si="167"/>
        <v>0</v>
      </c>
      <c r="AB217">
        <f t="shared" si="168"/>
        <v>0</v>
      </c>
      <c r="AC217" s="23">
        <f>IF(B217&gt;$AJ$2,0,HLOOKUP(YEAR(A217),Assumptions!$A$25:$AL$29,4,TRUE)/100)</f>
        <v>0</v>
      </c>
      <c r="AD217">
        <f t="shared" si="169"/>
        <v>0</v>
      </c>
      <c r="AE217">
        <f t="shared" si="170"/>
        <v>0</v>
      </c>
      <c r="AF217">
        <f t="shared" si="171"/>
        <v>0</v>
      </c>
      <c r="AG217">
        <f t="shared" si="172"/>
        <v>0</v>
      </c>
      <c r="AH217">
        <f t="shared" si="173"/>
        <v>0</v>
      </c>
      <c r="AI217">
        <f t="shared" si="174"/>
        <v>0</v>
      </c>
      <c r="AJ217">
        <f t="shared" si="175"/>
        <v>0</v>
      </c>
      <c r="AK217">
        <f t="shared" si="176"/>
        <v>0</v>
      </c>
      <c r="AL217">
        <f t="shared" si="177"/>
        <v>0</v>
      </c>
      <c r="AM217">
        <f t="shared" si="156"/>
        <v>0</v>
      </c>
      <c r="AN217">
        <f>IF($S$2=0,0,(SUMPRODUCT($K$2:$R$2,Assumptions!$B$34:$I$34)/$U$2+$J$2/$U$2*Assumptions!$A$34*G217)*K217*O216)</f>
        <v>0</v>
      </c>
      <c r="AO217">
        <f t="shared" si="178"/>
        <v>0</v>
      </c>
      <c r="AP217">
        <f t="shared" si="179"/>
        <v>0</v>
      </c>
      <c r="AQ217">
        <f>IF(B217&gt;$AJ$2,0,AQ216*(1+Assumptions!$B$43)^(1/12))</f>
        <v>0</v>
      </c>
      <c r="AR217" s="27">
        <f>IF(B217&gt;$AJ$2,0,(O216+R216)*Assumptions!$B$39/12*AQ216+AV217*Assumptions!$B$41/12)</f>
        <v>0</v>
      </c>
      <c r="AS217">
        <f t="shared" si="180"/>
        <v>0</v>
      </c>
      <c r="AT217" s="28">
        <f t="shared" si="181"/>
        <v>0</v>
      </c>
      <c r="AU217">
        <f t="shared" si="182"/>
        <v>0</v>
      </c>
      <c r="AV217" s="28">
        <f t="shared" si="183"/>
        <v>0</v>
      </c>
      <c r="AW217" s="28">
        <f t="shared" si="184"/>
        <v>0</v>
      </c>
      <c r="AX217" s="23">
        <f>HLOOKUP(YEAR(A217),Assumptions!$A$25:$AL$29,2,TRUE)/100</f>
        <v>1.1739999999999999E-2</v>
      </c>
      <c r="AY217" s="29">
        <f>1/(1+HLOOKUP(YEAR(A217),Assumptions!$A$18:$AL$20,3,TRUE))^(1/12)</f>
        <v>0.99902750864006262</v>
      </c>
      <c r="AZ217" s="26">
        <f t="shared" si="185"/>
        <v>0</v>
      </c>
      <c r="BA217">
        <f t="shared" si="186"/>
        <v>0</v>
      </c>
      <c r="BB217">
        <f t="shared" si="187"/>
        <v>0</v>
      </c>
      <c r="BC217">
        <f t="shared" si="188"/>
        <v>0</v>
      </c>
    </row>
    <row r="218" spans="1:55" x14ac:dyDescent="0.2">
      <c r="A218" s="3">
        <f t="shared" si="157"/>
        <v>49399</v>
      </c>
      <c r="B218">
        <f t="shared" si="153"/>
        <v>220</v>
      </c>
      <c r="C218">
        <f t="shared" si="151"/>
        <v>18.25</v>
      </c>
      <c r="D218">
        <f t="shared" si="152"/>
        <v>0</v>
      </c>
      <c r="E218">
        <f t="shared" si="154"/>
        <v>74</v>
      </c>
      <c r="F218">
        <f>IF(C218&gt;=$T$2,0,VLOOKUP($E218,'Mortality Table'!$A$3:$C$128,2+AF$2,FALSE))</f>
        <v>0</v>
      </c>
      <c r="G218">
        <f>F218*Assumptions!$B$1</f>
        <v>0</v>
      </c>
      <c r="H218">
        <f t="shared" si="158"/>
        <v>0</v>
      </c>
      <c r="I218">
        <f t="shared" si="146"/>
        <v>0</v>
      </c>
      <c r="J218">
        <f>IF(B218&gt;$AJ$2,0,HLOOKUP(C218,Assumptions!$A$6:$J$7,2,TRUE))</f>
        <v>0</v>
      </c>
      <c r="K218" s="4">
        <f t="shared" si="147"/>
        <v>0</v>
      </c>
      <c r="L218" s="4">
        <f t="shared" si="159"/>
        <v>0</v>
      </c>
      <c r="M218" s="4">
        <f t="shared" si="148"/>
        <v>0</v>
      </c>
      <c r="N218">
        <f t="shared" si="160"/>
        <v>0</v>
      </c>
      <c r="O218" s="21">
        <f t="shared" si="149"/>
        <v>0</v>
      </c>
      <c r="P218">
        <f>IF(B218&gt;$AJ$2,0,HLOOKUP(C218,Assumptions!$A$12:$J$13,2,TRUE))</f>
        <v>0</v>
      </c>
      <c r="Q218">
        <f t="shared" si="150"/>
        <v>0</v>
      </c>
      <c r="R218">
        <f t="shared" si="161"/>
        <v>0</v>
      </c>
      <c r="S218">
        <f t="shared" si="189"/>
        <v>0</v>
      </c>
      <c r="T218">
        <f t="shared" si="190"/>
        <v>0</v>
      </c>
      <c r="U218">
        <f t="shared" si="162"/>
        <v>0</v>
      </c>
      <c r="V218">
        <f t="shared" si="163"/>
        <v>0</v>
      </c>
      <c r="W218">
        <f t="shared" si="164"/>
        <v>0</v>
      </c>
      <c r="X218">
        <f t="shared" si="155"/>
        <v>0</v>
      </c>
      <c r="Y218">
        <f t="shared" si="165"/>
        <v>0</v>
      </c>
      <c r="Z218">
        <f t="shared" si="166"/>
        <v>0</v>
      </c>
      <c r="AA218">
        <f t="shared" si="167"/>
        <v>0</v>
      </c>
      <c r="AB218">
        <f t="shared" si="168"/>
        <v>0</v>
      </c>
      <c r="AC218" s="23">
        <f>IF(B218&gt;$AJ$2,0,HLOOKUP(YEAR(A218),Assumptions!$A$25:$AL$29,4,TRUE)/100)</f>
        <v>0</v>
      </c>
      <c r="AD218">
        <f t="shared" si="169"/>
        <v>0</v>
      </c>
      <c r="AE218">
        <f t="shared" si="170"/>
        <v>0</v>
      </c>
      <c r="AF218">
        <f t="shared" si="171"/>
        <v>0</v>
      </c>
      <c r="AG218">
        <f t="shared" si="172"/>
        <v>0</v>
      </c>
      <c r="AH218">
        <f t="shared" si="173"/>
        <v>0</v>
      </c>
      <c r="AI218">
        <f t="shared" si="174"/>
        <v>0</v>
      </c>
      <c r="AJ218">
        <f t="shared" si="175"/>
        <v>0</v>
      </c>
      <c r="AK218">
        <f t="shared" si="176"/>
        <v>0</v>
      </c>
      <c r="AL218">
        <f t="shared" si="177"/>
        <v>0</v>
      </c>
      <c r="AM218">
        <f t="shared" si="156"/>
        <v>0</v>
      </c>
      <c r="AN218">
        <f>IF($S$2=0,0,(SUMPRODUCT($K$2:$R$2,Assumptions!$B$34:$I$34)/$U$2+$J$2/$U$2*Assumptions!$A$34*G218)*K218*O217)</f>
        <v>0</v>
      </c>
      <c r="AO218">
        <f t="shared" si="178"/>
        <v>0</v>
      </c>
      <c r="AP218">
        <f t="shared" si="179"/>
        <v>0</v>
      </c>
      <c r="AQ218">
        <f>IF(B218&gt;$AJ$2,0,AQ217*(1+Assumptions!$B$43)^(1/12))</f>
        <v>0</v>
      </c>
      <c r="AR218" s="27">
        <f>IF(B218&gt;$AJ$2,0,(O217+R217)*Assumptions!$B$39/12*AQ217+AV218*Assumptions!$B$41/12)</f>
        <v>0</v>
      </c>
      <c r="AS218">
        <f t="shared" si="180"/>
        <v>0</v>
      </c>
      <c r="AT218" s="28">
        <f t="shared" si="181"/>
        <v>0</v>
      </c>
      <c r="AU218">
        <f t="shared" si="182"/>
        <v>0</v>
      </c>
      <c r="AV218" s="28">
        <f t="shared" si="183"/>
        <v>0</v>
      </c>
      <c r="AW218" s="28">
        <f t="shared" si="184"/>
        <v>0</v>
      </c>
      <c r="AX218" s="23">
        <f>HLOOKUP(YEAR(A218),Assumptions!$A$25:$AL$29,2,TRUE)/100</f>
        <v>1.1739999999999999E-2</v>
      </c>
      <c r="AY218" s="29">
        <f>1/(1+HLOOKUP(YEAR(A218),Assumptions!$A$18:$AL$20,3,TRUE))^(1/12)</f>
        <v>0.99902750864006262</v>
      </c>
      <c r="AZ218" s="26">
        <f t="shared" si="185"/>
        <v>0</v>
      </c>
      <c r="BA218">
        <f t="shared" si="186"/>
        <v>0</v>
      </c>
      <c r="BB218">
        <f t="shared" si="187"/>
        <v>0</v>
      </c>
      <c r="BC218">
        <f t="shared" si="188"/>
        <v>0</v>
      </c>
    </row>
    <row r="219" spans="1:55" x14ac:dyDescent="0.2">
      <c r="A219" s="3">
        <f t="shared" si="157"/>
        <v>49429</v>
      </c>
      <c r="B219">
        <f t="shared" si="153"/>
        <v>221</v>
      </c>
      <c r="C219">
        <f t="shared" si="151"/>
        <v>18.333333333333332</v>
      </c>
      <c r="D219">
        <f t="shared" si="152"/>
        <v>0</v>
      </c>
      <c r="E219">
        <f t="shared" si="154"/>
        <v>74</v>
      </c>
      <c r="F219">
        <f>IF(C219&gt;=$T$2,0,VLOOKUP($E219,'Mortality Table'!$A$3:$C$128,2+AF$2,FALSE))</f>
        <v>0</v>
      </c>
      <c r="G219">
        <f>F219*Assumptions!$B$1</f>
        <v>0</v>
      </c>
      <c r="H219">
        <f t="shared" si="158"/>
        <v>0</v>
      </c>
      <c r="I219">
        <f t="shared" si="146"/>
        <v>0</v>
      </c>
      <c r="J219">
        <f>IF(B219&gt;$AJ$2,0,HLOOKUP(C219,Assumptions!$A$6:$J$7,2,TRUE))</f>
        <v>0</v>
      </c>
      <c r="K219" s="4">
        <f t="shared" si="147"/>
        <v>0</v>
      </c>
      <c r="L219" s="4">
        <f t="shared" si="159"/>
        <v>0</v>
      </c>
      <c r="M219" s="4">
        <f t="shared" si="148"/>
        <v>0</v>
      </c>
      <c r="N219">
        <f t="shared" si="160"/>
        <v>0</v>
      </c>
      <c r="O219" s="21">
        <f t="shared" si="149"/>
        <v>0</v>
      </c>
      <c r="P219">
        <f>IF(B219&gt;$AJ$2,0,HLOOKUP(C219,Assumptions!$A$12:$J$13,2,TRUE))</f>
        <v>0</v>
      </c>
      <c r="Q219">
        <f t="shared" si="150"/>
        <v>0</v>
      </c>
      <c r="R219">
        <f t="shared" si="161"/>
        <v>0</v>
      </c>
      <c r="S219">
        <f t="shared" si="189"/>
        <v>0</v>
      </c>
      <c r="T219">
        <f t="shared" si="190"/>
        <v>0</v>
      </c>
      <c r="U219">
        <f t="shared" si="162"/>
        <v>0</v>
      </c>
      <c r="V219">
        <f t="shared" si="163"/>
        <v>0</v>
      </c>
      <c r="W219">
        <f t="shared" si="164"/>
        <v>0</v>
      </c>
      <c r="X219">
        <f t="shared" si="155"/>
        <v>0</v>
      </c>
      <c r="Y219">
        <f t="shared" si="165"/>
        <v>0</v>
      </c>
      <c r="Z219">
        <f t="shared" si="166"/>
        <v>0</v>
      </c>
      <c r="AA219">
        <f t="shared" si="167"/>
        <v>0</v>
      </c>
      <c r="AB219">
        <f t="shared" si="168"/>
        <v>0</v>
      </c>
      <c r="AC219" s="23">
        <f>IF(B219&gt;$AJ$2,0,HLOOKUP(YEAR(A219),Assumptions!$A$25:$AL$29,4,TRUE)/100)</f>
        <v>0</v>
      </c>
      <c r="AD219">
        <f t="shared" si="169"/>
        <v>0</v>
      </c>
      <c r="AE219">
        <f t="shared" si="170"/>
        <v>0</v>
      </c>
      <c r="AF219">
        <f t="shared" si="171"/>
        <v>0</v>
      </c>
      <c r="AG219">
        <f t="shared" si="172"/>
        <v>0</v>
      </c>
      <c r="AH219">
        <f t="shared" si="173"/>
        <v>0</v>
      </c>
      <c r="AI219">
        <f t="shared" si="174"/>
        <v>0</v>
      </c>
      <c r="AJ219">
        <f t="shared" si="175"/>
        <v>0</v>
      </c>
      <c r="AK219">
        <f t="shared" si="176"/>
        <v>0</v>
      </c>
      <c r="AL219">
        <f t="shared" si="177"/>
        <v>0</v>
      </c>
      <c r="AM219">
        <f t="shared" si="156"/>
        <v>0</v>
      </c>
      <c r="AN219">
        <f>IF($S$2=0,0,(SUMPRODUCT($K$2:$R$2,Assumptions!$B$34:$I$34)/$U$2+$J$2/$U$2*Assumptions!$A$34*G219)*K219*O218)</f>
        <v>0</v>
      </c>
      <c r="AO219">
        <f t="shared" si="178"/>
        <v>0</v>
      </c>
      <c r="AP219">
        <f t="shared" si="179"/>
        <v>0</v>
      </c>
      <c r="AQ219">
        <f>IF(B219&gt;$AJ$2,0,AQ218*(1+Assumptions!$B$43)^(1/12))</f>
        <v>0</v>
      </c>
      <c r="AR219" s="27">
        <f>IF(B219&gt;$AJ$2,0,(O218+R218)*Assumptions!$B$39/12*AQ218+AV219*Assumptions!$B$41/12)</f>
        <v>0</v>
      </c>
      <c r="AS219">
        <f t="shared" si="180"/>
        <v>0</v>
      </c>
      <c r="AT219" s="28">
        <f t="shared" si="181"/>
        <v>0</v>
      </c>
      <c r="AU219">
        <f t="shared" si="182"/>
        <v>0</v>
      </c>
      <c r="AV219" s="28">
        <f t="shared" si="183"/>
        <v>0</v>
      </c>
      <c r="AW219" s="28">
        <f t="shared" si="184"/>
        <v>0</v>
      </c>
      <c r="AX219" s="23">
        <f>HLOOKUP(YEAR(A219),Assumptions!$A$25:$AL$29,2,TRUE)/100</f>
        <v>1.1739999999999999E-2</v>
      </c>
      <c r="AY219" s="29">
        <f>1/(1+HLOOKUP(YEAR(A219),Assumptions!$A$18:$AL$20,3,TRUE))^(1/12)</f>
        <v>0.99902750864006262</v>
      </c>
      <c r="AZ219" s="26">
        <f t="shared" si="185"/>
        <v>0</v>
      </c>
      <c r="BA219">
        <f t="shared" si="186"/>
        <v>0</v>
      </c>
      <c r="BB219">
        <f t="shared" si="187"/>
        <v>0</v>
      </c>
      <c r="BC219">
        <f t="shared" si="188"/>
        <v>0</v>
      </c>
    </row>
    <row r="220" spans="1:55" x14ac:dyDescent="0.2">
      <c r="A220" s="3">
        <f t="shared" si="157"/>
        <v>49460</v>
      </c>
      <c r="B220">
        <f t="shared" si="153"/>
        <v>222</v>
      </c>
      <c r="C220">
        <f t="shared" si="151"/>
        <v>18.416666666666668</v>
      </c>
      <c r="D220">
        <f t="shared" si="152"/>
        <v>0</v>
      </c>
      <c r="E220">
        <f t="shared" si="154"/>
        <v>74</v>
      </c>
      <c r="F220">
        <f>IF(C220&gt;=$T$2,0,VLOOKUP($E220,'Mortality Table'!$A$3:$C$128,2+AF$2,FALSE))</f>
        <v>0</v>
      </c>
      <c r="G220">
        <f>F220*Assumptions!$B$1</f>
        <v>0</v>
      </c>
      <c r="H220">
        <f t="shared" si="158"/>
        <v>0</v>
      </c>
      <c r="I220">
        <f t="shared" si="146"/>
        <v>0</v>
      </c>
      <c r="J220">
        <f>IF(B220&gt;$AJ$2,0,HLOOKUP(C220,Assumptions!$A$6:$J$7,2,TRUE))</f>
        <v>0</v>
      </c>
      <c r="K220" s="4">
        <f t="shared" si="147"/>
        <v>0</v>
      </c>
      <c r="L220" s="4">
        <f t="shared" si="159"/>
        <v>0</v>
      </c>
      <c r="M220" s="4">
        <f t="shared" si="148"/>
        <v>0</v>
      </c>
      <c r="N220">
        <f t="shared" si="160"/>
        <v>0</v>
      </c>
      <c r="O220" s="21">
        <f t="shared" si="149"/>
        <v>0</v>
      </c>
      <c r="P220">
        <f>IF(B220&gt;$AJ$2,0,HLOOKUP(C220,Assumptions!$A$12:$J$13,2,TRUE))</f>
        <v>0</v>
      </c>
      <c r="Q220">
        <f t="shared" si="150"/>
        <v>0</v>
      </c>
      <c r="R220">
        <f t="shared" si="161"/>
        <v>0</v>
      </c>
      <c r="S220">
        <f t="shared" si="189"/>
        <v>0</v>
      </c>
      <c r="T220">
        <f t="shared" si="190"/>
        <v>0</v>
      </c>
      <c r="U220">
        <f t="shared" si="162"/>
        <v>0</v>
      </c>
      <c r="V220">
        <f t="shared" si="163"/>
        <v>0</v>
      </c>
      <c r="W220">
        <f t="shared" si="164"/>
        <v>0</v>
      </c>
      <c r="X220">
        <f t="shared" si="155"/>
        <v>0</v>
      </c>
      <c r="Y220">
        <f t="shared" si="165"/>
        <v>0</v>
      </c>
      <c r="Z220">
        <f t="shared" si="166"/>
        <v>0</v>
      </c>
      <c r="AA220">
        <f t="shared" si="167"/>
        <v>0</v>
      </c>
      <c r="AB220">
        <f t="shared" si="168"/>
        <v>0</v>
      </c>
      <c r="AC220" s="23">
        <f>IF(B220&gt;$AJ$2,0,HLOOKUP(YEAR(A220),Assumptions!$A$25:$AL$29,4,TRUE)/100)</f>
        <v>0</v>
      </c>
      <c r="AD220">
        <f t="shared" si="169"/>
        <v>0</v>
      </c>
      <c r="AE220">
        <f t="shared" si="170"/>
        <v>0</v>
      </c>
      <c r="AF220">
        <f t="shared" si="171"/>
        <v>0</v>
      </c>
      <c r="AG220">
        <f t="shared" si="172"/>
        <v>0</v>
      </c>
      <c r="AH220">
        <f t="shared" si="173"/>
        <v>0</v>
      </c>
      <c r="AI220">
        <f t="shared" si="174"/>
        <v>0</v>
      </c>
      <c r="AJ220">
        <f t="shared" si="175"/>
        <v>0</v>
      </c>
      <c r="AK220">
        <f t="shared" si="176"/>
        <v>0</v>
      </c>
      <c r="AL220">
        <f t="shared" si="177"/>
        <v>0</v>
      </c>
      <c r="AM220">
        <f t="shared" si="156"/>
        <v>0</v>
      </c>
      <c r="AN220">
        <f>IF($S$2=0,0,(SUMPRODUCT($K$2:$R$2,Assumptions!$B$34:$I$34)/$U$2+$J$2/$U$2*Assumptions!$A$34*G220)*K220*O219)</f>
        <v>0</v>
      </c>
      <c r="AO220">
        <f t="shared" si="178"/>
        <v>0</v>
      </c>
      <c r="AP220">
        <f t="shared" si="179"/>
        <v>0</v>
      </c>
      <c r="AQ220">
        <f>IF(B220&gt;$AJ$2,0,AQ219*(1+Assumptions!$B$43)^(1/12))</f>
        <v>0</v>
      </c>
      <c r="AR220" s="27">
        <f>IF(B220&gt;$AJ$2,0,(O219+R219)*Assumptions!$B$39/12*AQ219+AV220*Assumptions!$B$41/12)</f>
        <v>0</v>
      </c>
      <c r="AS220">
        <f t="shared" si="180"/>
        <v>0</v>
      </c>
      <c r="AT220" s="28">
        <f t="shared" si="181"/>
        <v>0</v>
      </c>
      <c r="AU220">
        <f t="shared" si="182"/>
        <v>0</v>
      </c>
      <c r="AV220" s="28">
        <f t="shared" si="183"/>
        <v>0</v>
      </c>
      <c r="AW220" s="28">
        <f t="shared" si="184"/>
        <v>0</v>
      </c>
      <c r="AX220" s="23">
        <f>HLOOKUP(YEAR(A220),Assumptions!$A$25:$AL$29,2,TRUE)/100</f>
        <v>1.1739999999999999E-2</v>
      </c>
      <c r="AY220" s="29">
        <f>1/(1+HLOOKUP(YEAR(A220),Assumptions!$A$18:$AL$20,3,TRUE))^(1/12)</f>
        <v>0.99902750864006262</v>
      </c>
      <c r="AZ220" s="26">
        <f t="shared" si="185"/>
        <v>0</v>
      </c>
      <c r="BA220">
        <f t="shared" si="186"/>
        <v>0</v>
      </c>
      <c r="BB220">
        <f t="shared" si="187"/>
        <v>0</v>
      </c>
      <c r="BC220">
        <f t="shared" si="188"/>
        <v>0</v>
      </c>
    </row>
    <row r="221" spans="1:55" x14ac:dyDescent="0.2">
      <c r="A221" s="3">
        <f t="shared" si="157"/>
        <v>49490</v>
      </c>
      <c r="B221">
        <f t="shared" si="153"/>
        <v>223</v>
      </c>
      <c r="C221">
        <f t="shared" si="151"/>
        <v>18.5</v>
      </c>
      <c r="D221">
        <f t="shared" si="152"/>
        <v>0</v>
      </c>
      <c r="E221">
        <f t="shared" si="154"/>
        <v>74</v>
      </c>
      <c r="F221">
        <f>IF(C221&gt;=$T$2,0,VLOOKUP($E221,'Mortality Table'!$A$3:$C$128,2+AF$2,FALSE))</f>
        <v>0</v>
      </c>
      <c r="G221">
        <f>F221*Assumptions!$B$1</f>
        <v>0</v>
      </c>
      <c r="H221">
        <f t="shared" si="158"/>
        <v>0</v>
      </c>
      <c r="I221">
        <f t="shared" si="146"/>
        <v>0</v>
      </c>
      <c r="J221">
        <f>IF(B221&gt;$AJ$2,0,HLOOKUP(C221,Assumptions!$A$6:$J$7,2,TRUE))</f>
        <v>0</v>
      </c>
      <c r="K221" s="4">
        <f t="shared" si="147"/>
        <v>0</v>
      </c>
      <c r="L221" s="4">
        <f t="shared" si="159"/>
        <v>0</v>
      </c>
      <c r="M221" s="4">
        <f t="shared" si="148"/>
        <v>0</v>
      </c>
      <c r="N221">
        <f t="shared" si="160"/>
        <v>0</v>
      </c>
      <c r="O221" s="21">
        <f t="shared" si="149"/>
        <v>0</v>
      </c>
      <c r="P221">
        <f>IF(B221&gt;$AJ$2,0,HLOOKUP(C221,Assumptions!$A$12:$J$13,2,TRUE))</f>
        <v>0</v>
      </c>
      <c r="Q221">
        <f t="shared" si="150"/>
        <v>0</v>
      </c>
      <c r="R221">
        <f t="shared" si="161"/>
        <v>0</v>
      </c>
      <c r="S221">
        <f t="shared" si="189"/>
        <v>0</v>
      </c>
      <c r="T221">
        <f t="shared" si="190"/>
        <v>0</v>
      </c>
      <c r="U221">
        <f t="shared" si="162"/>
        <v>0</v>
      </c>
      <c r="V221">
        <f t="shared" si="163"/>
        <v>0</v>
      </c>
      <c r="W221">
        <f t="shared" si="164"/>
        <v>0</v>
      </c>
      <c r="X221">
        <f t="shared" si="155"/>
        <v>0</v>
      </c>
      <c r="Y221">
        <f t="shared" si="165"/>
        <v>0</v>
      </c>
      <c r="Z221">
        <f t="shared" si="166"/>
        <v>0</v>
      </c>
      <c r="AA221">
        <f t="shared" si="167"/>
        <v>0</v>
      </c>
      <c r="AB221">
        <f t="shared" si="168"/>
        <v>0</v>
      </c>
      <c r="AC221" s="23">
        <f>IF(B221&gt;$AJ$2,0,HLOOKUP(YEAR(A221),Assumptions!$A$25:$AL$29,4,TRUE)/100)</f>
        <v>0</v>
      </c>
      <c r="AD221">
        <f t="shared" si="169"/>
        <v>0</v>
      </c>
      <c r="AE221">
        <f t="shared" si="170"/>
        <v>0</v>
      </c>
      <c r="AF221">
        <f t="shared" si="171"/>
        <v>0</v>
      </c>
      <c r="AG221">
        <f t="shared" si="172"/>
        <v>0</v>
      </c>
      <c r="AH221">
        <f t="shared" si="173"/>
        <v>0</v>
      </c>
      <c r="AI221">
        <f t="shared" si="174"/>
        <v>0</v>
      </c>
      <c r="AJ221">
        <f t="shared" si="175"/>
        <v>0</v>
      </c>
      <c r="AK221">
        <f t="shared" si="176"/>
        <v>0</v>
      </c>
      <c r="AL221">
        <f t="shared" si="177"/>
        <v>0</v>
      </c>
      <c r="AM221">
        <f t="shared" si="156"/>
        <v>0</v>
      </c>
      <c r="AN221">
        <f>IF($S$2=0,0,(SUMPRODUCT($K$2:$R$2,Assumptions!$B$34:$I$34)/$U$2+$J$2/$U$2*Assumptions!$A$34*G221)*K221*O220)</f>
        <v>0</v>
      </c>
      <c r="AO221">
        <f t="shared" si="178"/>
        <v>0</v>
      </c>
      <c r="AP221">
        <f t="shared" si="179"/>
        <v>0</v>
      </c>
      <c r="AQ221">
        <f>IF(B221&gt;$AJ$2,0,AQ220*(1+Assumptions!$B$43)^(1/12))</f>
        <v>0</v>
      </c>
      <c r="AR221" s="27">
        <f>IF(B221&gt;$AJ$2,0,(O220+R220)*Assumptions!$B$39/12*AQ220+AV221*Assumptions!$B$41/12)</f>
        <v>0</v>
      </c>
      <c r="AS221">
        <f t="shared" si="180"/>
        <v>0</v>
      </c>
      <c r="AT221" s="28">
        <f t="shared" si="181"/>
        <v>0</v>
      </c>
      <c r="AU221">
        <f t="shared" si="182"/>
        <v>0</v>
      </c>
      <c r="AV221" s="28">
        <f t="shared" si="183"/>
        <v>0</v>
      </c>
      <c r="AW221" s="28">
        <f t="shared" si="184"/>
        <v>0</v>
      </c>
      <c r="AX221" s="23">
        <f>HLOOKUP(YEAR(A221),Assumptions!$A$25:$AL$29,2,TRUE)/100</f>
        <v>1.1739999999999999E-2</v>
      </c>
      <c r="AY221" s="29">
        <f>1/(1+HLOOKUP(YEAR(A221),Assumptions!$A$18:$AL$20,3,TRUE))^(1/12)</f>
        <v>0.99902750864006262</v>
      </c>
      <c r="AZ221" s="26">
        <f t="shared" si="185"/>
        <v>0</v>
      </c>
      <c r="BA221">
        <f t="shared" si="186"/>
        <v>0</v>
      </c>
      <c r="BB221">
        <f t="shared" si="187"/>
        <v>0</v>
      </c>
      <c r="BC221">
        <f t="shared" si="188"/>
        <v>0</v>
      </c>
    </row>
    <row r="222" spans="1:55" x14ac:dyDescent="0.2">
      <c r="A222" s="3">
        <f t="shared" si="157"/>
        <v>49521</v>
      </c>
      <c r="B222">
        <f t="shared" si="153"/>
        <v>224</v>
      </c>
      <c r="C222">
        <f t="shared" si="151"/>
        <v>18.583333333333332</v>
      </c>
      <c r="D222">
        <f t="shared" si="152"/>
        <v>0</v>
      </c>
      <c r="E222">
        <f t="shared" si="154"/>
        <v>74</v>
      </c>
      <c r="F222">
        <f>IF(C222&gt;=$T$2,0,VLOOKUP($E222,'Mortality Table'!$A$3:$C$128,2+AF$2,FALSE))</f>
        <v>0</v>
      </c>
      <c r="G222">
        <f>F222*Assumptions!$B$1</f>
        <v>0</v>
      </c>
      <c r="H222">
        <f t="shared" si="158"/>
        <v>0</v>
      </c>
      <c r="I222">
        <f t="shared" si="146"/>
        <v>0</v>
      </c>
      <c r="J222">
        <f>IF(B222&gt;$AJ$2,0,HLOOKUP(C222,Assumptions!$A$6:$J$7,2,TRUE))</f>
        <v>0</v>
      </c>
      <c r="K222" s="4">
        <f t="shared" si="147"/>
        <v>0</v>
      </c>
      <c r="L222" s="4">
        <f t="shared" si="159"/>
        <v>0</v>
      </c>
      <c r="M222" s="4">
        <f t="shared" si="148"/>
        <v>0</v>
      </c>
      <c r="N222">
        <f t="shared" si="160"/>
        <v>0</v>
      </c>
      <c r="O222" s="21">
        <f t="shared" si="149"/>
        <v>0</v>
      </c>
      <c r="P222">
        <f>IF(B222&gt;$AJ$2,0,HLOOKUP(C222,Assumptions!$A$12:$J$13,2,TRUE))</f>
        <v>0</v>
      </c>
      <c r="Q222">
        <f t="shared" si="150"/>
        <v>0</v>
      </c>
      <c r="R222">
        <f t="shared" si="161"/>
        <v>0</v>
      </c>
      <c r="S222">
        <f t="shared" si="189"/>
        <v>0</v>
      </c>
      <c r="T222">
        <f t="shared" si="190"/>
        <v>0</v>
      </c>
      <c r="U222">
        <f t="shared" si="162"/>
        <v>0</v>
      </c>
      <c r="V222">
        <f t="shared" si="163"/>
        <v>0</v>
      </c>
      <c r="W222">
        <f t="shared" si="164"/>
        <v>0</v>
      </c>
      <c r="X222">
        <f t="shared" si="155"/>
        <v>0</v>
      </c>
      <c r="Y222">
        <f t="shared" si="165"/>
        <v>0</v>
      </c>
      <c r="Z222">
        <f t="shared" si="166"/>
        <v>0</v>
      </c>
      <c r="AA222">
        <f t="shared" si="167"/>
        <v>0</v>
      </c>
      <c r="AB222">
        <f t="shared" si="168"/>
        <v>0</v>
      </c>
      <c r="AC222" s="23">
        <f>IF(B222&gt;$AJ$2,0,HLOOKUP(YEAR(A222),Assumptions!$A$25:$AL$29,4,TRUE)/100)</f>
        <v>0</v>
      </c>
      <c r="AD222">
        <f t="shared" si="169"/>
        <v>0</v>
      </c>
      <c r="AE222">
        <f t="shared" si="170"/>
        <v>0</v>
      </c>
      <c r="AF222">
        <f t="shared" si="171"/>
        <v>0</v>
      </c>
      <c r="AG222">
        <f t="shared" si="172"/>
        <v>0</v>
      </c>
      <c r="AH222">
        <f t="shared" si="173"/>
        <v>0</v>
      </c>
      <c r="AI222">
        <f t="shared" si="174"/>
        <v>0</v>
      </c>
      <c r="AJ222">
        <f t="shared" si="175"/>
        <v>0</v>
      </c>
      <c r="AK222">
        <f t="shared" si="176"/>
        <v>0</v>
      </c>
      <c r="AL222">
        <f t="shared" si="177"/>
        <v>0</v>
      </c>
      <c r="AM222">
        <f t="shared" si="156"/>
        <v>0</v>
      </c>
      <c r="AN222">
        <f>IF($S$2=0,0,(SUMPRODUCT($K$2:$R$2,Assumptions!$B$34:$I$34)/$U$2+$J$2/$U$2*Assumptions!$A$34*G222)*K222*O221)</f>
        <v>0</v>
      </c>
      <c r="AO222">
        <f t="shared" si="178"/>
        <v>0</v>
      </c>
      <c r="AP222">
        <f t="shared" si="179"/>
        <v>0</v>
      </c>
      <c r="AQ222">
        <f>IF(B222&gt;$AJ$2,0,AQ221*(1+Assumptions!$B$43)^(1/12))</f>
        <v>0</v>
      </c>
      <c r="AR222" s="27">
        <f>IF(B222&gt;$AJ$2,0,(O221+R221)*Assumptions!$B$39/12*AQ221+AV222*Assumptions!$B$41/12)</f>
        <v>0</v>
      </c>
      <c r="AS222">
        <f t="shared" si="180"/>
        <v>0</v>
      </c>
      <c r="AT222" s="28">
        <f t="shared" si="181"/>
        <v>0</v>
      </c>
      <c r="AU222">
        <f t="shared" si="182"/>
        <v>0</v>
      </c>
      <c r="AV222" s="28">
        <f t="shared" si="183"/>
        <v>0</v>
      </c>
      <c r="AW222" s="28">
        <f t="shared" si="184"/>
        <v>0</v>
      </c>
      <c r="AX222" s="23">
        <f>HLOOKUP(YEAR(A222),Assumptions!$A$25:$AL$29,2,TRUE)/100</f>
        <v>1.1739999999999999E-2</v>
      </c>
      <c r="AY222" s="29">
        <f>1/(1+HLOOKUP(YEAR(A222),Assumptions!$A$18:$AL$20,3,TRUE))^(1/12)</f>
        <v>0.99902750864006262</v>
      </c>
      <c r="AZ222" s="26">
        <f t="shared" si="185"/>
        <v>0</v>
      </c>
      <c r="BA222">
        <f t="shared" si="186"/>
        <v>0</v>
      </c>
      <c r="BB222">
        <f t="shared" si="187"/>
        <v>0</v>
      </c>
      <c r="BC222">
        <f t="shared" si="188"/>
        <v>0</v>
      </c>
    </row>
    <row r="223" spans="1:55" x14ac:dyDescent="0.2">
      <c r="A223" s="3">
        <f t="shared" si="157"/>
        <v>49552</v>
      </c>
      <c r="B223">
        <f t="shared" si="153"/>
        <v>225</v>
      </c>
      <c r="C223">
        <f t="shared" si="151"/>
        <v>18.666666666666668</v>
      </c>
      <c r="D223">
        <f t="shared" si="152"/>
        <v>0</v>
      </c>
      <c r="E223">
        <f t="shared" si="154"/>
        <v>74</v>
      </c>
      <c r="F223">
        <f>IF(C223&gt;=$T$2,0,VLOOKUP($E223,'Mortality Table'!$A$3:$C$128,2+AF$2,FALSE))</f>
        <v>0</v>
      </c>
      <c r="G223">
        <f>F223*Assumptions!$B$1</f>
        <v>0</v>
      </c>
      <c r="H223">
        <f t="shared" si="158"/>
        <v>0</v>
      </c>
      <c r="I223">
        <f t="shared" si="146"/>
        <v>0</v>
      </c>
      <c r="J223">
        <f>IF(B223&gt;$AJ$2,0,HLOOKUP(C223,Assumptions!$A$6:$J$7,2,TRUE))</f>
        <v>0</v>
      </c>
      <c r="K223" s="4">
        <f t="shared" si="147"/>
        <v>0</v>
      </c>
      <c r="L223" s="4">
        <f t="shared" si="159"/>
        <v>0</v>
      </c>
      <c r="M223" s="4">
        <f t="shared" si="148"/>
        <v>0</v>
      </c>
      <c r="N223">
        <f t="shared" si="160"/>
        <v>0</v>
      </c>
      <c r="O223" s="21">
        <f t="shared" si="149"/>
        <v>0</v>
      </c>
      <c r="P223">
        <f>IF(B223&gt;$AJ$2,0,HLOOKUP(C223,Assumptions!$A$12:$J$13,2,TRUE))</f>
        <v>0</v>
      </c>
      <c r="Q223">
        <f t="shared" si="150"/>
        <v>0</v>
      </c>
      <c r="R223">
        <f t="shared" si="161"/>
        <v>0</v>
      </c>
      <c r="S223">
        <f t="shared" si="189"/>
        <v>0</v>
      </c>
      <c r="T223">
        <f t="shared" si="190"/>
        <v>0</v>
      </c>
      <c r="U223">
        <f t="shared" si="162"/>
        <v>0</v>
      </c>
      <c r="V223">
        <f t="shared" si="163"/>
        <v>0</v>
      </c>
      <c r="W223">
        <f t="shared" si="164"/>
        <v>0</v>
      </c>
      <c r="X223">
        <f t="shared" si="155"/>
        <v>0</v>
      </c>
      <c r="Y223">
        <f t="shared" si="165"/>
        <v>0</v>
      </c>
      <c r="Z223">
        <f t="shared" si="166"/>
        <v>0</v>
      </c>
      <c r="AA223">
        <f t="shared" si="167"/>
        <v>0</v>
      </c>
      <c r="AB223">
        <f t="shared" si="168"/>
        <v>0</v>
      </c>
      <c r="AC223" s="23">
        <f>IF(B223&gt;$AJ$2,0,HLOOKUP(YEAR(A223),Assumptions!$A$25:$AL$29,4,TRUE)/100)</f>
        <v>0</v>
      </c>
      <c r="AD223">
        <f t="shared" si="169"/>
        <v>0</v>
      </c>
      <c r="AE223">
        <f t="shared" si="170"/>
        <v>0</v>
      </c>
      <c r="AF223">
        <f t="shared" si="171"/>
        <v>0</v>
      </c>
      <c r="AG223">
        <f t="shared" si="172"/>
        <v>0</v>
      </c>
      <c r="AH223">
        <f t="shared" si="173"/>
        <v>0</v>
      </c>
      <c r="AI223">
        <f t="shared" si="174"/>
        <v>0</v>
      </c>
      <c r="AJ223">
        <f t="shared" si="175"/>
        <v>0</v>
      </c>
      <c r="AK223">
        <f t="shared" si="176"/>
        <v>0</v>
      </c>
      <c r="AL223">
        <f t="shared" si="177"/>
        <v>0</v>
      </c>
      <c r="AM223">
        <f t="shared" si="156"/>
        <v>0</v>
      </c>
      <c r="AN223">
        <f>IF($S$2=0,0,(SUMPRODUCT($K$2:$R$2,Assumptions!$B$34:$I$34)/$U$2+$J$2/$U$2*Assumptions!$A$34*G223)*K223*O222)</f>
        <v>0</v>
      </c>
      <c r="AO223">
        <f t="shared" si="178"/>
        <v>0</v>
      </c>
      <c r="AP223">
        <f t="shared" si="179"/>
        <v>0</v>
      </c>
      <c r="AQ223">
        <f>IF(B223&gt;$AJ$2,0,AQ222*(1+Assumptions!$B$43)^(1/12))</f>
        <v>0</v>
      </c>
      <c r="AR223" s="27">
        <f>IF(B223&gt;$AJ$2,0,(O222+R222)*Assumptions!$B$39/12*AQ222+AV223*Assumptions!$B$41/12)</f>
        <v>0</v>
      </c>
      <c r="AS223">
        <f t="shared" si="180"/>
        <v>0</v>
      </c>
      <c r="AT223" s="28">
        <f t="shared" si="181"/>
        <v>0</v>
      </c>
      <c r="AU223">
        <f t="shared" si="182"/>
        <v>0</v>
      </c>
      <c r="AV223" s="28">
        <f t="shared" si="183"/>
        <v>0</v>
      </c>
      <c r="AW223" s="28">
        <f t="shared" si="184"/>
        <v>0</v>
      </c>
      <c r="AX223" s="23">
        <f>HLOOKUP(YEAR(A223),Assumptions!$A$25:$AL$29,2,TRUE)/100</f>
        <v>1.1739999999999999E-2</v>
      </c>
      <c r="AY223" s="29">
        <f>1/(1+HLOOKUP(YEAR(A223),Assumptions!$A$18:$AL$20,3,TRUE))^(1/12)</f>
        <v>0.99902750864006262</v>
      </c>
      <c r="AZ223" s="26">
        <f t="shared" si="185"/>
        <v>0</v>
      </c>
      <c r="BA223">
        <f t="shared" si="186"/>
        <v>0</v>
      </c>
      <c r="BB223">
        <f t="shared" si="187"/>
        <v>0</v>
      </c>
      <c r="BC223">
        <f t="shared" si="188"/>
        <v>0</v>
      </c>
    </row>
    <row r="224" spans="1:55" x14ac:dyDescent="0.2">
      <c r="A224" s="3">
        <f t="shared" si="157"/>
        <v>49582</v>
      </c>
      <c r="B224">
        <f t="shared" si="153"/>
        <v>226</v>
      </c>
      <c r="C224">
        <f t="shared" si="151"/>
        <v>18.75</v>
      </c>
      <c r="D224">
        <f t="shared" si="152"/>
        <v>0</v>
      </c>
      <c r="E224">
        <f t="shared" si="154"/>
        <v>74</v>
      </c>
      <c r="F224">
        <f>IF(C224&gt;=$T$2,0,VLOOKUP($E224,'Mortality Table'!$A$3:$C$128,2+AF$2,FALSE))</f>
        <v>0</v>
      </c>
      <c r="G224">
        <f>F224*Assumptions!$B$1</f>
        <v>0</v>
      </c>
      <c r="H224">
        <f t="shared" si="158"/>
        <v>0</v>
      </c>
      <c r="I224">
        <f t="shared" si="146"/>
        <v>0</v>
      </c>
      <c r="J224">
        <f>IF(B224&gt;$AJ$2,0,HLOOKUP(C224,Assumptions!$A$6:$J$7,2,TRUE))</f>
        <v>0</v>
      </c>
      <c r="K224" s="4">
        <f t="shared" si="147"/>
        <v>0</v>
      </c>
      <c r="L224" s="4">
        <f t="shared" si="159"/>
        <v>0</v>
      </c>
      <c r="M224" s="4">
        <f t="shared" si="148"/>
        <v>0</v>
      </c>
      <c r="N224">
        <f t="shared" si="160"/>
        <v>0</v>
      </c>
      <c r="O224" s="21">
        <f t="shared" si="149"/>
        <v>0</v>
      </c>
      <c r="P224">
        <f>IF(B224&gt;$AJ$2,0,HLOOKUP(C224,Assumptions!$A$12:$J$13,2,TRUE))</f>
        <v>0</v>
      </c>
      <c r="Q224">
        <f t="shared" si="150"/>
        <v>0</v>
      </c>
      <c r="R224">
        <f t="shared" si="161"/>
        <v>0</v>
      </c>
      <c r="S224">
        <f t="shared" si="189"/>
        <v>0</v>
      </c>
      <c r="T224">
        <f t="shared" si="190"/>
        <v>0</v>
      </c>
      <c r="U224">
        <f t="shared" si="162"/>
        <v>0</v>
      </c>
      <c r="V224">
        <f t="shared" si="163"/>
        <v>0</v>
      </c>
      <c r="W224">
        <f t="shared" si="164"/>
        <v>0</v>
      </c>
      <c r="X224">
        <f t="shared" si="155"/>
        <v>0</v>
      </c>
      <c r="Y224">
        <f t="shared" si="165"/>
        <v>0</v>
      </c>
      <c r="Z224">
        <f t="shared" si="166"/>
        <v>0</v>
      </c>
      <c r="AA224">
        <f t="shared" si="167"/>
        <v>0</v>
      </c>
      <c r="AB224">
        <f t="shared" si="168"/>
        <v>0</v>
      </c>
      <c r="AC224" s="23">
        <f>IF(B224&gt;$AJ$2,0,HLOOKUP(YEAR(A224),Assumptions!$A$25:$AL$29,4,TRUE)/100)</f>
        <v>0</v>
      </c>
      <c r="AD224">
        <f t="shared" si="169"/>
        <v>0</v>
      </c>
      <c r="AE224">
        <f t="shared" si="170"/>
        <v>0</v>
      </c>
      <c r="AF224">
        <f t="shared" si="171"/>
        <v>0</v>
      </c>
      <c r="AG224">
        <f t="shared" si="172"/>
        <v>0</v>
      </c>
      <c r="AH224">
        <f t="shared" si="173"/>
        <v>0</v>
      </c>
      <c r="AI224">
        <f t="shared" si="174"/>
        <v>0</v>
      </c>
      <c r="AJ224">
        <f t="shared" si="175"/>
        <v>0</v>
      </c>
      <c r="AK224">
        <f t="shared" si="176"/>
        <v>0</v>
      </c>
      <c r="AL224">
        <f t="shared" si="177"/>
        <v>0</v>
      </c>
      <c r="AM224">
        <f t="shared" si="156"/>
        <v>0</v>
      </c>
      <c r="AN224">
        <f>IF($S$2=0,0,(SUMPRODUCT($K$2:$R$2,Assumptions!$B$34:$I$34)/$U$2+$J$2/$U$2*Assumptions!$A$34*G224)*K224*O223)</f>
        <v>0</v>
      </c>
      <c r="AO224">
        <f t="shared" si="178"/>
        <v>0</v>
      </c>
      <c r="AP224">
        <f t="shared" si="179"/>
        <v>0</v>
      </c>
      <c r="AQ224">
        <f>IF(B224&gt;$AJ$2,0,AQ223*(1+Assumptions!$B$43)^(1/12))</f>
        <v>0</v>
      </c>
      <c r="AR224" s="27">
        <f>IF(B224&gt;$AJ$2,0,(O223+R223)*Assumptions!$B$39/12*AQ223+AV224*Assumptions!$B$41/12)</f>
        <v>0</v>
      </c>
      <c r="AS224">
        <f t="shared" si="180"/>
        <v>0</v>
      </c>
      <c r="AT224" s="28">
        <f t="shared" si="181"/>
        <v>0</v>
      </c>
      <c r="AU224">
        <f t="shared" si="182"/>
        <v>0</v>
      </c>
      <c r="AV224" s="28">
        <f t="shared" si="183"/>
        <v>0</v>
      </c>
      <c r="AW224" s="28">
        <f t="shared" si="184"/>
        <v>0</v>
      </c>
      <c r="AX224" s="23">
        <f>HLOOKUP(YEAR(A224),Assumptions!$A$25:$AL$29,2,TRUE)/100</f>
        <v>1.1739999999999999E-2</v>
      </c>
      <c r="AY224" s="29">
        <f>1/(1+HLOOKUP(YEAR(A224),Assumptions!$A$18:$AL$20,3,TRUE))^(1/12)</f>
        <v>0.99902750864006262</v>
      </c>
      <c r="AZ224" s="26">
        <f t="shared" si="185"/>
        <v>0</v>
      </c>
      <c r="BA224">
        <f t="shared" si="186"/>
        <v>0</v>
      </c>
      <c r="BB224">
        <f t="shared" si="187"/>
        <v>0</v>
      </c>
      <c r="BC224">
        <f t="shared" si="188"/>
        <v>0</v>
      </c>
    </row>
    <row r="225" spans="1:55" x14ac:dyDescent="0.2">
      <c r="A225" s="3">
        <f t="shared" si="157"/>
        <v>49613</v>
      </c>
      <c r="B225">
        <f t="shared" si="153"/>
        <v>227</v>
      </c>
      <c r="C225">
        <f t="shared" si="151"/>
        <v>18.833333333333332</v>
      </c>
      <c r="D225">
        <f t="shared" si="152"/>
        <v>0</v>
      </c>
      <c r="E225">
        <f t="shared" si="154"/>
        <v>74</v>
      </c>
      <c r="F225">
        <f>IF(C225&gt;=$T$2,0,VLOOKUP($E225,'Mortality Table'!$A$3:$C$128,2+AF$2,FALSE))</f>
        <v>0</v>
      </c>
      <c r="G225">
        <f>F225*Assumptions!$B$1</f>
        <v>0</v>
      </c>
      <c r="H225">
        <f t="shared" si="158"/>
        <v>0</v>
      </c>
      <c r="I225">
        <f t="shared" ref="I225:I288" si="191">H225*O224*(1-M225/2)</f>
        <v>0</v>
      </c>
      <c r="J225">
        <f>IF(B225&gt;$AJ$2,0,HLOOKUP(C225,Assumptions!$A$6:$J$7,2,TRUE))</f>
        <v>0</v>
      </c>
      <c r="K225" s="4">
        <f t="shared" ref="K225:K288" si="192">IF(B225&gt;$AJ$2,0,IF(($U$2*(B225+11))/12-INT(($U$2*(B225+11))/12)=0,1,0))</f>
        <v>0</v>
      </c>
      <c r="L225" s="4">
        <f t="shared" si="159"/>
        <v>0</v>
      </c>
      <c r="M225" s="4">
        <f t="shared" ref="M225:M288" si="193">(1-(1-J225)^L225)</f>
        <v>0</v>
      </c>
      <c r="N225">
        <f t="shared" si="160"/>
        <v>0</v>
      </c>
      <c r="O225" s="21">
        <f t="shared" ref="O225:O288" si="194">IF(B225&gt;$AJ$2,0,O224-I225-N225-Q225)</f>
        <v>0</v>
      </c>
      <c r="P225">
        <f>IF(B225&gt;$AJ$2,0,HLOOKUP(C225,Assumptions!$A$12:$J$13,2,TRUE))</f>
        <v>0</v>
      </c>
      <c r="Q225">
        <f t="shared" ref="Q225:Q288" si="195">(1-(1-P225)^L225)*(O224-I225-N225)</f>
        <v>0</v>
      </c>
      <c r="R225">
        <f t="shared" si="161"/>
        <v>0</v>
      </c>
      <c r="S225">
        <f t="shared" si="189"/>
        <v>0</v>
      </c>
      <c r="T225">
        <f t="shared" si="190"/>
        <v>0</v>
      </c>
      <c r="U225">
        <f t="shared" si="162"/>
        <v>0</v>
      </c>
      <c r="V225">
        <f t="shared" si="163"/>
        <v>0</v>
      </c>
      <c r="W225">
        <f t="shared" si="164"/>
        <v>0</v>
      </c>
      <c r="X225">
        <f t="shared" si="155"/>
        <v>0</v>
      </c>
      <c r="Y225">
        <f t="shared" si="165"/>
        <v>0</v>
      </c>
      <c r="Z225">
        <f t="shared" si="166"/>
        <v>0</v>
      </c>
      <c r="AA225">
        <f t="shared" si="167"/>
        <v>0</v>
      </c>
      <c r="AB225">
        <f t="shared" si="168"/>
        <v>0</v>
      </c>
      <c r="AC225" s="23">
        <f>IF(B225&gt;$AJ$2,0,HLOOKUP(YEAR(A225),Assumptions!$A$25:$AL$29,4,TRUE)/100)</f>
        <v>0</v>
      </c>
      <c r="AD225">
        <f t="shared" si="169"/>
        <v>0</v>
      </c>
      <c r="AE225">
        <f t="shared" si="170"/>
        <v>0</v>
      </c>
      <c r="AF225">
        <f t="shared" si="171"/>
        <v>0</v>
      </c>
      <c r="AG225">
        <f t="shared" si="172"/>
        <v>0</v>
      </c>
      <c r="AH225">
        <f t="shared" si="173"/>
        <v>0</v>
      </c>
      <c r="AI225">
        <f t="shared" si="174"/>
        <v>0</v>
      </c>
      <c r="AJ225">
        <f t="shared" si="175"/>
        <v>0</v>
      </c>
      <c r="AK225">
        <f t="shared" si="176"/>
        <v>0</v>
      </c>
      <c r="AL225">
        <f t="shared" si="177"/>
        <v>0</v>
      </c>
      <c r="AM225">
        <f t="shared" si="156"/>
        <v>0</v>
      </c>
      <c r="AN225">
        <f>IF($S$2=0,0,(SUMPRODUCT($K$2:$R$2,Assumptions!$B$34:$I$34)/$U$2+$J$2/$U$2*Assumptions!$A$34*G225)*K225*O224)</f>
        <v>0</v>
      </c>
      <c r="AO225">
        <f t="shared" si="178"/>
        <v>0</v>
      </c>
      <c r="AP225">
        <f t="shared" si="179"/>
        <v>0</v>
      </c>
      <c r="AQ225">
        <f>IF(B225&gt;$AJ$2,0,AQ224*(1+Assumptions!$B$43)^(1/12))</f>
        <v>0</v>
      </c>
      <c r="AR225" s="27">
        <f>IF(B225&gt;$AJ$2,0,(O224+R224)*Assumptions!$B$39/12*AQ224+AV225*Assumptions!$B$41/12)</f>
        <v>0</v>
      </c>
      <c r="AS225">
        <f t="shared" si="180"/>
        <v>0</v>
      </c>
      <c r="AT225" s="28">
        <f t="shared" si="181"/>
        <v>0</v>
      </c>
      <c r="AU225">
        <f t="shared" si="182"/>
        <v>0</v>
      </c>
      <c r="AV225" s="28">
        <f t="shared" si="183"/>
        <v>0</v>
      </c>
      <c r="AW225" s="28">
        <f t="shared" si="184"/>
        <v>0</v>
      </c>
      <c r="AX225" s="23">
        <f>HLOOKUP(YEAR(A225),Assumptions!$A$25:$AL$29,2,TRUE)/100</f>
        <v>1.1739999999999999E-2</v>
      </c>
      <c r="AY225" s="29">
        <f>1/(1+HLOOKUP(YEAR(A225),Assumptions!$A$18:$AL$20,3,TRUE))^(1/12)</f>
        <v>0.99902750864006262</v>
      </c>
      <c r="AZ225" s="26">
        <f t="shared" si="185"/>
        <v>0</v>
      </c>
      <c r="BA225">
        <f t="shared" si="186"/>
        <v>0</v>
      </c>
      <c r="BB225">
        <f t="shared" si="187"/>
        <v>0</v>
      </c>
      <c r="BC225">
        <f t="shared" si="188"/>
        <v>0</v>
      </c>
    </row>
    <row r="226" spans="1:55" x14ac:dyDescent="0.2">
      <c r="A226" s="3">
        <f t="shared" si="157"/>
        <v>49643</v>
      </c>
      <c r="B226">
        <f t="shared" si="153"/>
        <v>228</v>
      </c>
      <c r="C226">
        <f t="shared" ref="C226:C289" si="196">(B226+11)/12-1</f>
        <v>18.916666666666668</v>
      </c>
      <c r="D226">
        <f t="shared" ref="D226:D289" si="197">IF(C226-INT(C226)=0,1,0)</f>
        <v>0</v>
      </c>
      <c r="E226">
        <f t="shared" si="154"/>
        <v>74</v>
      </c>
      <c r="F226">
        <f>IF(C226&gt;=$T$2,0,VLOOKUP($E226,'Mortality Table'!$A$3:$C$128,2+AF$2,FALSE))</f>
        <v>0</v>
      </c>
      <c r="G226">
        <f>F226*Assumptions!$B$1</f>
        <v>0</v>
      </c>
      <c r="H226">
        <f t="shared" si="158"/>
        <v>0</v>
      </c>
      <c r="I226">
        <f t="shared" si="191"/>
        <v>0</v>
      </c>
      <c r="J226">
        <f>IF(B226&gt;$AJ$2,0,HLOOKUP(C226,Assumptions!$A$6:$J$7,2,TRUE))</f>
        <v>0</v>
      </c>
      <c r="K226" s="4">
        <f t="shared" si="192"/>
        <v>0</v>
      </c>
      <c r="L226" s="4">
        <f t="shared" si="159"/>
        <v>0</v>
      </c>
      <c r="M226" s="4">
        <f t="shared" si="193"/>
        <v>0</v>
      </c>
      <c r="N226">
        <f t="shared" si="160"/>
        <v>0</v>
      </c>
      <c r="O226" s="21">
        <f t="shared" si="194"/>
        <v>0</v>
      </c>
      <c r="P226">
        <f>IF(B226&gt;$AJ$2,0,HLOOKUP(C226,Assumptions!$A$12:$J$13,2,TRUE))</f>
        <v>0</v>
      </c>
      <c r="Q226">
        <f t="shared" si="195"/>
        <v>0</v>
      </c>
      <c r="R226">
        <f t="shared" si="161"/>
        <v>0</v>
      </c>
      <c r="S226">
        <f t="shared" si="189"/>
        <v>0</v>
      </c>
      <c r="T226">
        <f t="shared" si="190"/>
        <v>0</v>
      </c>
      <c r="U226">
        <f t="shared" si="162"/>
        <v>0</v>
      </c>
      <c r="V226">
        <f t="shared" si="163"/>
        <v>0</v>
      </c>
      <c r="W226">
        <f t="shared" si="164"/>
        <v>0</v>
      </c>
      <c r="X226">
        <f t="shared" si="155"/>
        <v>0</v>
      </c>
      <c r="Y226">
        <f t="shared" si="165"/>
        <v>0</v>
      </c>
      <c r="Z226">
        <f t="shared" si="166"/>
        <v>0</v>
      </c>
      <c r="AA226">
        <f t="shared" si="167"/>
        <v>0</v>
      </c>
      <c r="AB226">
        <f t="shared" si="168"/>
        <v>0</v>
      </c>
      <c r="AC226" s="23">
        <f>IF(B226&gt;$AJ$2,0,HLOOKUP(YEAR(A226),Assumptions!$A$25:$AL$29,4,TRUE)/100)</f>
        <v>0</v>
      </c>
      <c r="AD226">
        <f t="shared" si="169"/>
        <v>0</v>
      </c>
      <c r="AE226">
        <f t="shared" si="170"/>
        <v>0</v>
      </c>
      <c r="AF226">
        <f t="shared" si="171"/>
        <v>0</v>
      </c>
      <c r="AG226">
        <f t="shared" si="172"/>
        <v>0</v>
      </c>
      <c r="AH226">
        <f t="shared" si="173"/>
        <v>0</v>
      </c>
      <c r="AI226">
        <f t="shared" si="174"/>
        <v>0</v>
      </c>
      <c r="AJ226">
        <f t="shared" si="175"/>
        <v>0</v>
      </c>
      <c r="AK226">
        <f t="shared" si="176"/>
        <v>0</v>
      </c>
      <c r="AL226">
        <f t="shared" si="177"/>
        <v>0</v>
      </c>
      <c r="AM226">
        <f t="shared" si="156"/>
        <v>0</v>
      </c>
      <c r="AN226">
        <f>IF($S$2=0,0,(SUMPRODUCT($K$2:$R$2,Assumptions!$B$34:$I$34)/$U$2+$J$2/$U$2*Assumptions!$A$34*G226)*K226*O225)</f>
        <v>0</v>
      </c>
      <c r="AO226">
        <f t="shared" si="178"/>
        <v>0</v>
      </c>
      <c r="AP226">
        <f t="shared" si="179"/>
        <v>0</v>
      </c>
      <c r="AQ226">
        <f>IF(B226&gt;$AJ$2,0,AQ225*(1+Assumptions!$B$43)^(1/12))</f>
        <v>0</v>
      </c>
      <c r="AR226" s="27">
        <f>IF(B226&gt;$AJ$2,0,(O225+R225)*Assumptions!$B$39/12*AQ225+AV226*Assumptions!$B$41/12)</f>
        <v>0</v>
      </c>
      <c r="AS226">
        <f t="shared" si="180"/>
        <v>0</v>
      </c>
      <c r="AT226" s="28">
        <f t="shared" si="181"/>
        <v>0</v>
      </c>
      <c r="AU226">
        <f t="shared" si="182"/>
        <v>0</v>
      </c>
      <c r="AV226" s="28">
        <f t="shared" si="183"/>
        <v>0</v>
      </c>
      <c r="AW226" s="28">
        <f t="shared" si="184"/>
        <v>0</v>
      </c>
      <c r="AX226" s="23">
        <f>HLOOKUP(YEAR(A226),Assumptions!$A$25:$AL$29,2,TRUE)/100</f>
        <v>1.1739999999999999E-2</v>
      </c>
      <c r="AY226" s="29">
        <f>1/(1+HLOOKUP(YEAR(A226),Assumptions!$A$18:$AL$20,3,TRUE))^(1/12)</f>
        <v>0.99902750864006262</v>
      </c>
      <c r="AZ226" s="26">
        <f t="shared" si="185"/>
        <v>0</v>
      </c>
      <c r="BA226">
        <f t="shared" si="186"/>
        <v>0</v>
      </c>
      <c r="BB226">
        <f t="shared" si="187"/>
        <v>0</v>
      </c>
      <c r="BC226">
        <f t="shared" si="188"/>
        <v>0</v>
      </c>
    </row>
    <row r="227" spans="1:55" x14ac:dyDescent="0.2">
      <c r="A227" s="3">
        <f t="shared" si="157"/>
        <v>49674</v>
      </c>
      <c r="B227">
        <f t="shared" si="153"/>
        <v>229</v>
      </c>
      <c r="C227">
        <f t="shared" si="196"/>
        <v>19</v>
      </c>
      <c r="D227">
        <f t="shared" si="197"/>
        <v>1</v>
      </c>
      <c r="E227">
        <f t="shared" si="154"/>
        <v>75</v>
      </c>
      <c r="F227">
        <f>IF(C227&gt;=$T$2,0,VLOOKUP($E227,'Mortality Table'!$A$3:$C$128,2+AF$2,FALSE))</f>
        <v>0</v>
      </c>
      <c r="G227">
        <f>F227*Assumptions!$B$1</f>
        <v>0</v>
      </c>
      <c r="H227">
        <f t="shared" si="158"/>
        <v>0</v>
      </c>
      <c r="I227">
        <f t="shared" si="191"/>
        <v>0</v>
      </c>
      <c r="J227">
        <f>IF(B227&gt;$AJ$2,0,HLOOKUP(C227,Assumptions!$A$6:$J$7,2,TRUE))</f>
        <v>0</v>
      </c>
      <c r="K227" s="4">
        <f t="shared" si="192"/>
        <v>0</v>
      </c>
      <c r="L227" s="4">
        <f t="shared" si="159"/>
        <v>0</v>
      </c>
      <c r="M227" s="4">
        <f t="shared" si="193"/>
        <v>0</v>
      </c>
      <c r="N227">
        <f t="shared" si="160"/>
        <v>0</v>
      </c>
      <c r="O227" s="21">
        <f t="shared" si="194"/>
        <v>0</v>
      </c>
      <c r="P227">
        <f>IF(B227&gt;$AJ$2,0,HLOOKUP(C227,Assumptions!$A$12:$J$13,2,TRUE))</f>
        <v>0</v>
      </c>
      <c r="Q227">
        <f t="shared" si="195"/>
        <v>0</v>
      </c>
      <c r="R227">
        <f t="shared" si="161"/>
        <v>0</v>
      </c>
      <c r="S227">
        <f t="shared" si="189"/>
        <v>0</v>
      </c>
      <c r="T227">
        <f t="shared" si="190"/>
        <v>0</v>
      </c>
      <c r="U227">
        <f t="shared" si="162"/>
        <v>0</v>
      </c>
      <c r="V227">
        <f t="shared" si="163"/>
        <v>0</v>
      </c>
      <c r="W227">
        <f t="shared" si="164"/>
        <v>0</v>
      </c>
      <c r="X227">
        <f t="shared" si="155"/>
        <v>0</v>
      </c>
      <c r="Y227">
        <f t="shared" si="165"/>
        <v>0</v>
      </c>
      <c r="Z227">
        <f t="shared" si="166"/>
        <v>0</v>
      </c>
      <c r="AA227">
        <f t="shared" si="167"/>
        <v>0</v>
      </c>
      <c r="AB227">
        <f t="shared" si="168"/>
        <v>0</v>
      </c>
      <c r="AC227" s="23">
        <f>IF(B227&gt;$AJ$2,0,HLOOKUP(YEAR(A227),Assumptions!$A$25:$AL$29,4,TRUE)/100)</f>
        <v>0</v>
      </c>
      <c r="AD227">
        <f t="shared" si="169"/>
        <v>0</v>
      </c>
      <c r="AE227">
        <f t="shared" si="170"/>
        <v>0</v>
      </c>
      <c r="AF227">
        <f t="shared" si="171"/>
        <v>0</v>
      </c>
      <c r="AG227">
        <f t="shared" si="172"/>
        <v>0</v>
      </c>
      <c r="AH227">
        <f t="shared" si="173"/>
        <v>0</v>
      </c>
      <c r="AI227">
        <f t="shared" si="174"/>
        <v>0</v>
      </c>
      <c r="AJ227">
        <f t="shared" si="175"/>
        <v>0</v>
      </c>
      <c r="AK227">
        <f t="shared" si="176"/>
        <v>0</v>
      </c>
      <c r="AL227">
        <f t="shared" si="177"/>
        <v>0</v>
      </c>
      <c r="AM227">
        <f t="shared" si="156"/>
        <v>0</v>
      </c>
      <c r="AN227">
        <f>IF($S$2=0,0,(SUMPRODUCT($K$2:$R$2,Assumptions!$B$34:$I$34)/$U$2+$J$2/$U$2*Assumptions!$A$34*G227)*K227*O226)</f>
        <v>0</v>
      </c>
      <c r="AO227">
        <f t="shared" si="178"/>
        <v>0</v>
      </c>
      <c r="AP227">
        <f t="shared" si="179"/>
        <v>0</v>
      </c>
      <c r="AQ227">
        <f>IF(B227&gt;$AJ$2,0,AQ226*(1+Assumptions!$B$43)^(1/12))</f>
        <v>0</v>
      </c>
      <c r="AR227" s="27">
        <f>IF(B227&gt;$AJ$2,0,(O226+R226)*Assumptions!$B$39/12*AQ226+AV227*Assumptions!$B$41/12)</f>
        <v>0</v>
      </c>
      <c r="AS227">
        <f t="shared" si="180"/>
        <v>0</v>
      </c>
      <c r="AT227" s="28">
        <f t="shared" si="181"/>
        <v>0</v>
      </c>
      <c r="AU227">
        <f t="shared" si="182"/>
        <v>0</v>
      </c>
      <c r="AV227" s="28">
        <f t="shared" si="183"/>
        <v>0</v>
      </c>
      <c r="AW227" s="28">
        <f t="shared" si="184"/>
        <v>0</v>
      </c>
      <c r="AX227" s="23">
        <f>HLOOKUP(YEAR(A227),Assumptions!$A$25:$AL$29,2,TRUE)/100</f>
        <v>1.1739999999999999E-2</v>
      </c>
      <c r="AY227" s="29">
        <f>1/(1+HLOOKUP(YEAR(A227),Assumptions!$A$18:$AL$20,3,TRUE))^(1/12)</f>
        <v>0.99902750864006262</v>
      </c>
      <c r="AZ227" s="26">
        <f t="shared" si="185"/>
        <v>0</v>
      </c>
      <c r="BA227">
        <f t="shared" si="186"/>
        <v>0</v>
      </c>
      <c r="BB227">
        <f t="shared" si="187"/>
        <v>0</v>
      </c>
      <c r="BC227">
        <f t="shared" si="188"/>
        <v>0</v>
      </c>
    </row>
    <row r="228" spans="1:55" x14ac:dyDescent="0.2">
      <c r="A228" s="3">
        <f t="shared" si="157"/>
        <v>49705</v>
      </c>
      <c r="B228">
        <f t="shared" si="153"/>
        <v>230</v>
      </c>
      <c r="C228">
        <f t="shared" si="196"/>
        <v>19.083333333333332</v>
      </c>
      <c r="D228">
        <f t="shared" si="197"/>
        <v>0</v>
      </c>
      <c r="E228">
        <f t="shared" si="154"/>
        <v>75</v>
      </c>
      <c r="F228">
        <f>IF(C228&gt;=$T$2,0,VLOOKUP($E228,'Mortality Table'!$A$3:$C$128,2+AF$2,FALSE))</f>
        <v>0</v>
      </c>
      <c r="G228">
        <f>F228*Assumptions!$B$1</f>
        <v>0</v>
      </c>
      <c r="H228">
        <f t="shared" si="158"/>
        <v>0</v>
      </c>
      <c r="I228">
        <f t="shared" si="191"/>
        <v>0</v>
      </c>
      <c r="J228">
        <f>IF(B228&gt;$AJ$2,0,HLOOKUP(C228,Assumptions!$A$6:$J$7,2,TRUE))</f>
        <v>0</v>
      </c>
      <c r="K228" s="4">
        <f t="shared" si="192"/>
        <v>0</v>
      </c>
      <c r="L228" s="4">
        <f t="shared" si="159"/>
        <v>0</v>
      </c>
      <c r="M228" s="4">
        <f t="shared" si="193"/>
        <v>0</v>
      </c>
      <c r="N228">
        <f t="shared" si="160"/>
        <v>0</v>
      </c>
      <c r="O228" s="21">
        <f t="shared" si="194"/>
        <v>0</v>
      </c>
      <c r="P228">
        <f>IF(B228&gt;$AJ$2,0,HLOOKUP(C228,Assumptions!$A$12:$J$13,2,TRUE))</f>
        <v>0</v>
      </c>
      <c r="Q228">
        <f t="shared" si="195"/>
        <v>0</v>
      </c>
      <c r="R228">
        <f t="shared" si="161"/>
        <v>0</v>
      </c>
      <c r="S228">
        <f t="shared" si="189"/>
        <v>0</v>
      </c>
      <c r="T228">
        <f t="shared" si="190"/>
        <v>0</v>
      </c>
      <c r="U228">
        <f t="shared" si="162"/>
        <v>0</v>
      </c>
      <c r="V228">
        <f t="shared" si="163"/>
        <v>0</v>
      </c>
      <c r="W228">
        <f t="shared" si="164"/>
        <v>0</v>
      </c>
      <c r="X228">
        <f t="shared" si="155"/>
        <v>0</v>
      </c>
      <c r="Y228">
        <f t="shared" si="165"/>
        <v>0</v>
      </c>
      <c r="Z228">
        <f t="shared" si="166"/>
        <v>0</v>
      </c>
      <c r="AA228">
        <f t="shared" si="167"/>
        <v>0</v>
      </c>
      <c r="AB228">
        <f t="shared" si="168"/>
        <v>0</v>
      </c>
      <c r="AC228" s="23">
        <f>IF(B228&gt;$AJ$2,0,HLOOKUP(YEAR(A228),Assumptions!$A$25:$AL$29,4,TRUE)/100)</f>
        <v>0</v>
      </c>
      <c r="AD228">
        <f t="shared" si="169"/>
        <v>0</v>
      </c>
      <c r="AE228">
        <f t="shared" si="170"/>
        <v>0</v>
      </c>
      <c r="AF228">
        <f t="shared" si="171"/>
        <v>0</v>
      </c>
      <c r="AG228">
        <f t="shared" si="172"/>
        <v>0</v>
      </c>
      <c r="AH228">
        <f t="shared" si="173"/>
        <v>0</v>
      </c>
      <c r="AI228">
        <f t="shared" si="174"/>
        <v>0</v>
      </c>
      <c r="AJ228">
        <f t="shared" si="175"/>
        <v>0</v>
      </c>
      <c r="AK228">
        <f t="shared" si="176"/>
        <v>0</v>
      </c>
      <c r="AL228">
        <f t="shared" si="177"/>
        <v>0</v>
      </c>
      <c r="AM228">
        <f t="shared" si="156"/>
        <v>0</v>
      </c>
      <c r="AN228">
        <f>IF($S$2=0,0,(SUMPRODUCT($K$2:$R$2,Assumptions!$B$34:$I$34)/$U$2+$J$2/$U$2*Assumptions!$A$34*G228)*K228*O227)</f>
        <v>0</v>
      </c>
      <c r="AO228">
        <f t="shared" si="178"/>
        <v>0</v>
      </c>
      <c r="AP228">
        <f t="shared" si="179"/>
        <v>0</v>
      </c>
      <c r="AQ228">
        <f>IF(B228&gt;$AJ$2,0,AQ227*(1+Assumptions!$B$43)^(1/12))</f>
        <v>0</v>
      </c>
      <c r="AR228" s="27">
        <f>IF(B228&gt;$AJ$2,0,(O227+R227)*Assumptions!$B$39/12*AQ227+AV228*Assumptions!$B$41/12)</f>
        <v>0</v>
      </c>
      <c r="AS228">
        <f t="shared" si="180"/>
        <v>0</v>
      </c>
      <c r="AT228" s="28">
        <f t="shared" si="181"/>
        <v>0</v>
      </c>
      <c r="AU228">
        <f t="shared" si="182"/>
        <v>0</v>
      </c>
      <c r="AV228" s="28">
        <f t="shared" si="183"/>
        <v>0</v>
      </c>
      <c r="AW228" s="28">
        <f t="shared" si="184"/>
        <v>0</v>
      </c>
      <c r="AX228" s="23">
        <f>HLOOKUP(YEAR(A228),Assumptions!$A$25:$AL$29,2,TRUE)/100</f>
        <v>1.1739999999999999E-2</v>
      </c>
      <c r="AY228" s="29">
        <f>1/(1+HLOOKUP(YEAR(A228),Assumptions!$A$18:$AL$20,3,TRUE))^(1/12)</f>
        <v>0.99902750864006262</v>
      </c>
      <c r="AZ228" s="26">
        <f t="shared" si="185"/>
        <v>0</v>
      </c>
      <c r="BA228">
        <f t="shared" si="186"/>
        <v>0</v>
      </c>
      <c r="BB228">
        <f t="shared" si="187"/>
        <v>0</v>
      </c>
      <c r="BC228">
        <f t="shared" si="188"/>
        <v>0</v>
      </c>
    </row>
    <row r="229" spans="1:55" x14ac:dyDescent="0.2">
      <c r="A229" s="3">
        <f t="shared" si="157"/>
        <v>49734</v>
      </c>
      <c r="B229">
        <f t="shared" si="153"/>
        <v>231</v>
      </c>
      <c r="C229">
        <f t="shared" si="196"/>
        <v>19.166666666666668</v>
      </c>
      <c r="D229">
        <f t="shared" si="197"/>
        <v>0</v>
      </c>
      <c r="E229">
        <f t="shared" si="154"/>
        <v>75</v>
      </c>
      <c r="F229">
        <f>IF(C229&gt;=$T$2,0,VLOOKUP($E229,'Mortality Table'!$A$3:$C$128,2+AF$2,FALSE))</f>
        <v>0</v>
      </c>
      <c r="G229">
        <f>F229*Assumptions!$B$1</f>
        <v>0</v>
      </c>
      <c r="H229">
        <f t="shared" si="158"/>
        <v>0</v>
      </c>
      <c r="I229">
        <f t="shared" si="191"/>
        <v>0</v>
      </c>
      <c r="J229">
        <f>IF(B229&gt;$AJ$2,0,HLOOKUP(C229,Assumptions!$A$6:$J$7,2,TRUE))</f>
        <v>0</v>
      </c>
      <c r="K229" s="4">
        <f t="shared" si="192"/>
        <v>0</v>
      </c>
      <c r="L229" s="4">
        <f t="shared" si="159"/>
        <v>0</v>
      </c>
      <c r="M229" s="4">
        <f t="shared" si="193"/>
        <v>0</v>
      </c>
      <c r="N229">
        <f t="shared" si="160"/>
        <v>0</v>
      </c>
      <c r="O229" s="21">
        <f t="shared" si="194"/>
        <v>0</v>
      </c>
      <c r="P229">
        <f>IF(B229&gt;$AJ$2,0,HLOOKUP(C229,Assumptions!$A$12:$J$13,2,TRUE))</f>
        <v>0</v>
      </c>
      <c r="Q229">
        <f t="shared" si="195"/>
        <v>0</v>
      </c>
      <c r="R229">
        <f t="shared" si="161"/>
        <v>0</v>
      </c>
      <c r="S229">
        <f t="shared" si="189"/>
        <v>0</v>
      </c>
      <c r="T229">
        <f t="shared" si="190"/>
        <v>0</v>
      </c>
      <c r="U229">
        <f t="shared" si="162"/>
        <v>0</v>
      </c>
      <c r="V229">
        <f t="shared" si="163"/>
        <v>0</v>
      </c>
      <c r="W229">
        <f t="shared" si="164"/>
        <v>0</v>
      </c>
      <c r="X229">
        <f t="shared" si="155"/>
        <v>0</v>
      </c>
      <c r="Y229">
        <f t="shared" si="165"/>
        <v>0</v>
      </c>
      <c r="Z229">
        <f t="shared" si="166"/>
        <v>0</v>
      </c>
      <c r="AA229">
        <f t="shared" si="167"/>
        <v>0</v>
      </c>
      <c r="AB229">
        <f t="shared" si="168"/>
        <v>0</v>
      </c>
      <c r="AC229" s="23">
        <f>IF(B229&gt;$AJ$2,0,HLOOKUP(YEAR(A229),Assumptions!$A$25:$AL$29,4,TRUE)/100)</f>
        <v>0</v>
      </c>
      <c r="AD229">
        <f t="shared" si="169"/>
        <v>0</v>
      </c>
      <c r="AE229">
        <f t="shared" si="170"/>
        <v>0</v>
      </c>
      <c r="AF229">
        <f t="shared" si="171"/>
        <v>0</v>
      </c>
      <c r="AG229">
        <f t="shared" si="172"/>
        <v>0</v>
      </c>
      <c r="AH229">
        <f t="shared" si="173"/>
        <v>0</v>
      </c>
      <c r="AI229">
        <f t="shared" si="174"/>
        <v>0</v>
      </c>
      <c r="AJ229">
        <f t="shared" si="175"/>
        <v>0</v>
      </c>
      <c r="AK229">
        <f t="shared" si="176"/>
        <v>0</v>
      </c>
      <c r="AL229">
        <f t="shared" si="177"/>
        <v>0</v>
      </c>
      <c r="AM229">
        <f t="shared" si="156"/>
        <v>0</v>
      </c>
      <c r="AN229">
        <f>IF($S$2=0,0,(SUMPRODUCT($K$2:$R$2,Assumptions!$B$34:$I$34)/$U$2+$J$2/$U$2*Assumptions!$A$34*G229)*K229*O228)</f>
        <v>0</v>
      </c>
      <c r="AO229">
        <f t="shared" si="178"/>
        <v>0</v>
      </c>
      <c r="AP229">
        <f t="shared" si="179"/>
        <v>0</v>
      </c>
      <c r="AQ229">
        <f>IF(B229&gt;$AJ$2,0,AQ228*(1+Assumptions!$B$43)^(1/12))</f>
        <v>0</v>
      </c>
      <c r="AR229" s="27">
        <f>IF(B229&gt;$AJ$2,0,(O228+R228)*Assumptions!$B$39/12*AQ228+AV229*Assumptions!$B$41/12)</f>
        <v>0</v>
      </c>
      <c r="AS229">
        <f t="shared" si="180"/>
        <v>0</v>
      </c>
      <c r="AT229" s="28">
        <f t="shared" si="181"/>
        <v>0</v>
      </c>
      <c r="AU229">
        <f t="shared" si="182"/>
        <v>0</v>
      </c>
      <c r="AV229" s="28">
        <f t="shared" si="183"/>
        <v>0</v>
      </c>
      <c r="AW229" s="28">
        <f t="shared" si="184"/>
        <v>0</v>
      </c>
      <c r="AX229" s="23">
        <f>HLOOKUP(YEAR(A229),Assumptions!$A$25:$AL$29,2,TRUE)/100</f>
        <v>1.1739999999999999E-2</v>
      </c>
      <c r="AY229" s="29">
        <f>1/(1+HLOOKUP(YEAR(A229),Assumptions!$A$18:$AL$20,3,TRUE))^(1/12)</f>
        <v>0.99902750864006262</v>
      </c>
      <c r="AZ229" s="26">
        <f t="shared" si="185"/>
        <v>0</v>
      </c>
      <c r="BA229">
        <f t="shared" si="186"/>
        <v>0</v>
      </c>
      <c r="BB229">
        <f t="shared" si="187"/>
        <v>0</v>
      </c>
      <c r="BC229">
        <f t="shared" si="188"/>
        <v>0</v>
      </c>
    </row>
    <row r="230" spans="1:55" x14ac:dyDescent="0.2">
      <c r="A230" s="3">
        <f t="shared" si="157"/>
        <v>49765</v>
      </c>
      <c r="B230">
        <f t="shared" si="153"/>
        <v>232</v>
      </c>
      <c r="C230">
        <f t="shared" si="196"/>
        <v>19.25</v>
      </c>
      <c r="D230">
        <f t="shared" si="197"/>
        <v>0</v>
      </c>
      <c r="E230">
        <f t="shared" si="154"/>
        <v>75</v>
      </c>
      <c r="F230">
        <f>IF(C230&gt;=$T$2,0,VLOOKUP($E230,'Mortality Table'!$A$3:$C$128,2+AF$2,FALSE))</f>
        <v>0</v>
      </c>
      <c r="G230">
        <f>F230*Assumptions!$B$1</f>
        <v>0</v>
      </c>
      <c r="H230">
        <f t="shared" si="158"/>
        <v>0</v>
      </c>
      <c r="I230">
        <f t="shared" si="191"/>
        <v>0</v>
      </c>
      <c r="J230">
        <f>IF(B230&gt;$AJ$2,0,HLOOKUP(C230,Assumptions!$A$6:$J$7,2,TRUE))</f>
        <v>0</v>
      </c>
      <c r="K230" s="4">
        <f t="shared" si="192"/>
        <v>0</v>
      </c>
      <c r="L230" s="4">
        <f t="shared" si="159"/>
        <v>0</v>
      </c>
      <c r="M230" s="4">
        <f t="shared" si="193"/>
        <v>0</v>
      </c>
      <c r="N230">
        <f t="shared" si="160"/>
        <v>0</v>
      </c>
      <c r="O230" s="21">
        <f t="shared" si="194"/>
        <v>0</v>
      </c>
      <c r="P230">
        <f>IF(B230&gt;$AJ$2,0,HLOOKUP(C230,Assumptions!$A$12:$J$13,2,TRUE))</f>
        <v>0</v>
      </c>
      <c r="Q230">
        <f t="shared" si="195"/>
        <v>0</v>
      </c>
      <c r="R230">
        <f t="shared" si="161"/>
        <v>0</v>
      </c>
      <c r="S230">
        <f t="shared" si="189"/>
        <v>0</v>
      </c>
      <c r="T230">
        <f t="shared" si="190"/>
        <v>0</v>
      </c>
      <c r="U230">
        <f t="shared" si="162"/>
        <v>0</v>
      </c>
      <c r="V230">
        <f t="shared" si="163"/>
        <v>0</v>
      </c>
      <c r="W230">
        <f t="shared" si="164"/>
        <v>0</v>
      </c>
      <c r="X230">
        <f t="shared" si="155"/>
        <v>0</v>
      </c>
      <c r="Y230">
        <f t="shared" si="165"/>
        <v>0</v>
      </c>
      <c r="Z230">
        <f t="shared" si="166"/>
        <v>0</v>
      </c>
      <c r="AA230">
        <f t="shared" si="167"/>
        <v>0</v>
      </c>
      <c r="AB230">
        <f t="shared" si="168"/>
        <v>0</v>
      </c>
      <c r="AC230" s="23">
        <f>IF(B230&gt;$AJ$2,0,HLOOKUP(YEAR(A230),Assumptions!$A$25:$AL$29,4,TRUE)/100)</f>
        <v>0</v>
      </c>
      <c r="AD230">
        <f t="shared" si="169"/>
        <v>0</v>
      </c>
      <c r="AE230">
        <f t="shared" si="170"/>
        <v>0</v>
      </c>
      <c r="AF230">
        <f t="shared" si="171"/>
        <v>0</v>
      </c>
      <c r="AG230">
        <f t="shared" si="172"/>
        <v>0</v>
      </c>
      <c r="AH230">
        <f t="shared" si="173"/>
        <v>0</v>
      </c>
      <c r="AI230">
        <f t="shared" si="174"/>
        <v>0</v>
      </c>
      <c r="AJ230">
        <f t="shared" si="175"/>
        <v>0</v>
      </c>
      <c r="AK230">
        <f t="shared" si="176"/>
        <v>0</v>
      </c>
      <c r="AL230">
        <f t="shared" si="177"/>
        <v>0</v>
      </c>
      <c r="AM230">
        <f t="shared" si="156"/>
        <v>0</v>
      </c>
      <c r="AN230">
        <f>IF($S$2=0,0,(SUMPRODUCT($K$2:$R$2,Assumptions!$B$34:$I$34)/$U$2+$J$2/$U$2*Assumptions!$A$34*G230)*K230*O229)</f>
        <v>0</v>
      </c>
      <c r="AO230">
        <f t="shared" si="178"/>
        <v>0</v>
      </c>
      <c r="AP230">
        <f t="shared" si="179"/>
        <v>0</v>
      </c>
      <c r="AQ230">
        <f>IF(B230&gt;$AJ$2,0,AQ229*(1+Assumptions!$B$43)^(1/12))</f>
        <v>0</v>
      </c>
      <c r="AR230" s="27">
        <f>IF(B230&gt;$AJ$2,0,(O229+R229)*Assumptions!$B$39/12*AQ229+AV230*Assumptions!$B$41/12)</f>
        <v>0</v>
      </c>
      <c r="AS230">
        <f t="shared" si="180"/>
        <v>0</v>
      </c>
      <c r="AT230" s="28">
        <f t="shared" si="181"/>
        <v>0</v>
      </c>
      <c r="AU230">
        <f t="shared" si="182"/>
        <v>0</v>
      </c>
      <c r="AV230" s="28">
        <f t="shared" si="183"/>
        <v>0</v>
      </c>
      <c r="AW230" s="28">
        <f t="shared" si="184"/>
        <v>0</v>
      </c>
      <c r="AX230" s="23">
        <f>HLOOKUP(YEAR(A230),Assumptions!$A$25:$AL$29,2,TRUE)/100</f>
        <v>1.1739999999999999E-2</v>
      </c>
      <c r="AY230" s="29">
        <f>1/(1+HLOOKUP(YEAR(A230),Assumptions!$A$18:$AL$20,3,TRUE))^(1/12)</f>
        <v>0.99902750864006262</v>
      </c>
      <c r="AZ230" s="26">
        <f t="shared" si="185"/>
        <v>0</v>
      </c>
      <c r="BA230">
        <f t="shared" si="186"/>
        <v>0</v>
      </c>
      <c r="BB230">
        <f t="shared" si="187"/>
        <v>0</v>
      </c>
      <c r="BC230">
        <f t="shared" si="188"/>
        <v>0</v>
      </c>
    </row>
    <row r="231" spans="1:55" x14ac:dyDescent="0.2">
      <c r="A231" s="3">
        <f t="shared" si="157"/>
        <v>49795</v>
      </c>
      <c r="B231">
        <f t="shared" si="153"/>
        <v>233</v>
      </c>
      <c r="C231">
        <f t="shared" si="196"/>
        <v>19.333333333333332</v>
      </c>
      <c r="D231">
        <f t="shared" si="197"/>
        <v>0</v>
      </c>
      <c r="E231">
        <f t="shared" si="154"/>
        <v>75</v>
      </c>
      <c r="F231">
        <f>IF(C231&gt;=$T$2,0,VLOOKUP($E231,'Mortality Table'!$A$3:$C$128,2+AF$2,FALSE))</f>
        <v>0</v>
      </c>
      <c r="G231">
        <f>F231*Assumptions!$B$1</f>
        <v>0</v>
      </c>
      <c r="H231">
        <f t="shared" si="158"/>
        <v>0</v>
      </c>
      <c r="I231">
        <f t="shared" si="191"/>
        <v>0</v>
      </c>
      <c r="J231">
        <f>IF(B231&gt;$AJ$2,0,HLOOKUP(C231,Assumptions!$A$6:$J$7,2,TRUE))</f>
        <v>0</v>
      </c>
      <c r="K231" s="4">
        <f t="shared" si="192"/>
        <v>0</v>
      </c>
      <c r="L231" s="4">
        <f t="shared" si="159"/>
        <v>0</v>
      </c>
      <c r="M231" s="4">
        <f t="shared" si="193"/>
        <v>0</v>
      </c>
      <c r="N231">
        <f t="shared" si="160"/>
        <v>0</v>
      </c>
      <c r="O231" s="21">
        <f t="shared" si="194"/>
        <v>0</v>
      </c>
      <c r="P231">
        <f>IF(B231&gt;$AJ$2,0,HLOOKUP(C231,Assumptions!$A$12:$J$13,2,TRUE))</f>
        <v>0</v>
      </c>
      <c r="Q231">
        <f t="shared" si="195"/>
        <v>0</v>
      </c>
      <c r="R231">
        <f t="shared" si="161"/>
        <v>0</v>
      </c>
      <c r="S231">
        <f t="shared" si="189"/>
        <v>0</v>
      </c>
      <c r="T231">
        <f t="shared" si="190"/>
        <v>0</v>
      </c>
      <c r="U231">
        <f t="shared" si="162"/>
        <v>0</v>
      </c>
      <c r="V231">
        <f t="shared" si="163"/>
        <v>0</v>
      </c>
      <c r="W231">
        <f t="shared" si="164"/>
        <v>0</v>
      </c>
      <c r="X231">
        <f t="shared" si="155"/>
        <v>0</v>
      </c>
      <c r="Y231">
        <f t="shared" si="165"/>
        <v>0</v>
      </c>
      <c r="Z231">
        <f t="shared" si="166"/>
        <v>0</v>
      </c>
      <c r="AA231">
        <f t="shared" si="167"/>
        <v>0</v>
      </c>
      <c r="AB231">
        <f t="shared" si="168"/>
        <v>0</v>
      </c>
      <c r="AC231" s="23">
        <f>IF(B231&gt;$AJ$2,0,HLOOKUP(YEAR(A231),Assumptions!$A$25:$AL$29,4,TRUE)/100)</f>
        <v>0</v>
      </c>
      <c r="AD231">
        <f t="shared" si="169"/>
        <v>0</v>
      </c>
      <c r="AE231">
        <f t="shared" si="170"/>
        <v>0</v>
      </c>
      <c r="AF231">
        <f t="shared" si="171"/>
        <v>0</v>
      </c>
      <c r="AG231">
        <f t="shared" si="172"/>
        <v>0</v>
      </c>
      <c r="AH231">
        <f t="shared" si="173"/>
        <v>0</v>
      </c>
      <c r="AI231">
        <f t="shared" si="174"/>
        <v>0</v>
      </c>
      <c r="AJ231">
        <f t="shared" si="175"/>
        <v>0</v>
      </c>
      <c r="AK231">
        <f t="shared" si="176"/>
        <v>0</v>
      </c>
      <c r="AL231">
        <f t="shared" si="177"/>
        <v>0</v>
      </c>
      <c r="AM231">
        <f t="shared" si="156"/>
        <v>0</v>
      </c>
      <c r="AN231">
        <f>IF($S$2=0,0,(SUMPRODUCT($K$2:$R$2,Assumptions!$B$34:$I$34)/$U$2+$J$2/$U$2*Assumptions!$A$34*G231)*K231*O230)</f>
        <v>0</v>
      </c>
      <c r="AO231">
        <f t="shared" si="178"/>
        <v>0</v>
      </c>
      <c r="AP231">
        <f t="shared" si="179"/>
        <v>0</v>
      </c>
      <c r="AQ231">
        <f>IF(B231&gt;$AJ$2,0,AQ230*(1+Assumptions!$B$43)^(1/12))</f>
        <v>0</v>
      </c>
      <c r="AR231" s="27">
        <f>IF(B231&gt;$AJ$2,0,(O230+R230)*Assumptions!$B$39/12*AQ230+AV231*Assumptions!$B$41/12)</f>
        <v>0</v>
      </c>
      <c r="AS231">
        <f t="shared" si="180"/>
        <v>0</v>
      </c>
      <c r="AT231" s="28">
        <f t="shared" si="181"/>
        <v>0</v>
      </c>
      <c r="AU231">
        <f t="shared" si="182"/>
        <v>0</v>
      </c>
      <c r="AV231" s="28">
        <f t="shared" si="183"/>
        <v>0</v>
      </c>
      <c r="AW231" s="28">
        <f t="shared" si="184"/>
        <v>0</v>
      </c>
      <c r="AX231" s="23">
        <f>HLOOKUP(YEAR(A231),Assumptions!$A$25:$AL$29,2,TRUE)/100</f>
        <v>1.1739999999999999E-2</v>
      </c>
      <c r="AY231" s="29">
        <f>1/(1+HLOOKUP(YEAR(A231),Assumptions!$A$18:$AL$20,3,TRUE))^(1/12)</f>
        <v>0.99902750864006262</v>
      </c>
      <c r="AZ231" s="26">
        <f t="shared" si="185"/>
        <v>0</v>
      </c>
      <c r="BA231">
        <f t="shared" si="186"/>
        <v>0</v>
      </c>
      <c r="BB231">
        <f t="shared" si="187"/>
        <v>0</v>
      </c>
      <c r="BC231">
        <f t="shared" si="188"/>
        <v>0</v>
      </c>
    </row>
    <row r="232" spans="1:55" x14ac:dyDescent="0.2">
      <c r="A232" s="3">
        <f t="shared" si="157"/>
        <v>49826</v>
      </c>
      <c r="B232">
        <f t="shared" si="153"/>
        <v>234</v>
      </c>
      <c r="C232">
        <f t="shared" si="196"/>
        <v>19.416666666666668</v>
      </c>
      <c r="D232">
        <f t="shared" si="197"/>
        <v>0</v>
      </c>
      <c r="E232">
        <f t="shared" si="154"/>
        <v>75</v>
      </c>
      <c r="F232">
        <f>IF(C232&gt;=$T$2,0,VLOOKUP($E232,'Mortality Table'!$A$3:$C$128,2+AF$2,FALSE))</f>
        <v>0</v>
      </c>
      <c r="G232">
        <f>F232*Assumptions!$B$1</f>
        <v>0</v>
      </c>
      <c r="H232">
        <f t="shared" si="158"/>
        <v>0</v>
      </c>
      <c r="I232">
        <f t="shared" si="191"/>
        <v>0</v>
      </c>
      <c r="J232">
        <f>IF(B232&gt;$AJ$2,0,HLOOKUP(C232,Assumptions!$A$6:$J$7,2,TRUE))</f>
        <v>0</v>
      </c>
      <c r="K232" s="4">
        <f t="shared" si="192"/>
        <v>0</v>
      </c>
      <c r="L232" s="4">
        <f t="shared" si="159"/>
        <v>0</v>
      </c>
      <c r="M232" s="4">
        <f t="shared" si="193"/>
        <v>0</v>
      </c>
      <c r="N232">
        <f t="shared" si="160"/>
        <v>0</v>
      </c>
      <c r="O232" s="21">
        <f t="shared" si="194"/>
        <v>0</v>
      </c>
      <c r="P232">
        <f>IF(B232&gt;$AJ$2,0,HLOOKUP(C232,Assumptions!$A$12:$J$13,2,TRUE))</f>
        <v>0</v>
      </c>
      <c r="Q232">
        <f t="shared" si="195"/>
        <v>0</v>
      </c>
      <c r="R232">
        <f t="shared" si="161"/>
        <v>0</v>
      </c>
      <c r="S232">
        <f t="shared" si="189"/>
        <v>0</v>
      </c>
      <c r="T232">
        <f t="shared" si="190"/>
        <v>0</v>
      </c>
      <c r="U232">
        <f t="shared" si="162"/>
        <v>0</v>
      </c>
      <c r="V232">
        <f t="shared" si="163"/>
        <v>0</v>
      </c>
      <c r="W232">
        <f t="shared" si="164"/>
        <v>0</v>
      </c>
      <c r="X232">
        <f t="shared" si="155"/>
        <v>0</v>
      </c>
      <c r="Y232">
        <f t="shared" si="165"/>
        <v>0</v>
      </c>
      <c r="Z232">
        <f t="shared" si="166"/>
        <v>0</v>
      </c>
      <c r="AA232">
        <f t="shared" si="167"/>
        <v>0</v>
      </c>
      <c r="AB232">
        <f t="shared" si="168"/>
        <v>0</v>
      </c>
      <c r="AC232" s="23">
        <f>IF(B232&gt;$AJ$2,0,HLOOKUP(YEAR(A232),Assumptions!$A$25:$AL$29,4,TRUE)/100)</f>
        <v>0</v>
      </c>
      <c r="AD232">
        <f t="shared" si="169"/>
        <v>0</v>
      </c>
      <c r="AE232">
        <f t="shared" si="170"/>
        <v>0</v>
      </c>
      <c r="AF232">
        <f t="shared" si="171"/>
        <v>0</v>
      </c>
      <c r="AG232">
        <f t="shared" si="172"/>
        <v>0</v>
      </c>
      <c r="AH232">
        <f t="shared" si="173"/>
        <v>0</v>
      </c>
      <c r="AI232">
        <f t="shared" si="174"/>
        <v>0</v>
      </c>
      <c r="AJ232">
        <f t="shared" si="175"/>
        <v>0</v>
      </c>
      <c r="AK232">
        <f t="shared" si="176"/>
        <v>0</v>
      </c>
      <c r="AL232">
        <f t="shared" si="177"/>
        <v>0</v>
      </c>
      <c r="AM232">
        <f t="shared" si="156"/>
        <v>0</v>
      </c>
      <c r="AN232">
        <f>IF($S$2=0,0,(SUMPRODUCT($K$2:$R$2,Assumptions!$B$34:$I$34)/$U$2+$J$2/$U$2*Assumptions!$A$34*G232)*K232*O231)</f>
        <v>0</v>
      </c>
      <c r="AO232">
        <f t="shared" si="178"/>
        <v>0</v>
      </c>
      <c r="AP232">
        <f t="shared" si="179"/>
        <v>0</v>
      </c>
      <c r="AQ232">
        <f>IF(B232&gt;$AJ$2,0,AQ231*(1+Assumptions!$B$43)^(1/12))</f>
        <v>0</v>
      </c>
      <c r="AR232" s="27">
        <f>IF(B232&gt;$AJ$2,0,(O231+R231)*Assumptions!$B$39/12*AQ231+AV232*Assumptions!$B$41/12)</f>
        <v>0</v>
      </c>
      <c r="AS232">
        <f t="shared" si="180"/>
        <v>0</v>
      </c>
      <c r="AT232" s="28">
        <f t="shared" si="181"/>
        <v>0</v>
      </c>
      <c r="AU232">
        <f t="shared" si="182"/>
        <v>0</v>
      </c>
      <c r="AV232" s="28">
        <f t="shared" si="183"/>
        <v>0</v>
      </c>
      <c r="AW232" s="28">
        <f t="shared" si="184"/>
        <v>0</v>
      </c>
      <c r="AX232" s="23">
        <f>HLOOKUP(YEAR(A232),Assumptions!$A$25:$AL$29,2,TRUE)/100</f>
        <v>1.1739999999999999E-2</v>
      </c>
      <c r="AY232" s="29">
        <f>1/(1+HLOOKUP(YEAR(A232),Assumptions!$A$18:$AL$20,3,TRUE))^(1/12)</f>
        <v>0.99902750864006262</v>
      </c>
      <c r="AZ232" s="26">
        <f t="shared" si="185"/>
        <v>0</v>
      </c>
      <c r="BA232">
        <f t="shared" si="186"/>
        <v>0</v>
      </c>
      <c r="BB232">
        <f t="shared" si="187"/>
        <v>0</v>
      </c>
      <c r="BC232">
        <f t="shared" si="188"/>
        <v>0</v>
      </c>
    </row>
    <row r="233" spans="1:55" x14ac:dyDescent="0.2">
      <c r="A233" s="3">
        <f t="shared" si="157"/>
        <v>49856</v>
      </c>
      <c r="B233">
        <f t="shared" si="153"/>
        <v>235</v>
      </c>
      <c r="C233">
        <f t="shared" si="196"/>
        <v>19.5</v>
      </c>
      <c r="D233">
        <f t="shared" si="197"/>
        <v>0</v>
      </c>
      <c r="E233">
        <f t="shared" si="154"/>
        <v>75</v>
      </c>
      <c r="F233">
        <f>IF(C233&gt;=$T$2,0,VLOOKUP($E233,'Mortality Table'!$A$3:$C$128,2+AF$2,FALSE))</f>
        <v>0</v>
      </c>
      <c r="G233">
        <f>F233*Assumptions!$B$1</f>
        <v>0</v>
      </c>
      <c r="H233">
        <f t="shared" si="158"/>
        <v>0</v>
      </c>
      <c r="I233">
        <f t="shared" si="191"/>
        <v>0</v>
      </c>
      <c r="J233">
        <f>IF(B233&gt;$AJ$2,0,HLOOKUP(C233,Assumptions!$A$6:$J$7,2,TRUE))</f>
        <v>0</v>
      </c>
      <c r="K233" s="4">
        <f t="shared" si="192"/>
        <v>0</v>
      </c>
      <c r="L233" s="4">
        <f t="shared" si="159"/>
        <v>0</v>
      </c>
      <c r="M233" s="4">
        <f t="shared" si="193"/>
        <v>0</v>
      </c>
      <c r="N233">
        <f t="shared" si="160"/>
        <v>0</v>
      </c>
      <c r="O233" s="21">
        <f t="shared" si="194"/>
        <v>0</v>
      </c>
      <c r="P233">
        <f>IF(B233&gt;$AJ$2,0,HLOOKUP(C233,Assumptions!$A$12:$J$13,2,TRUE))</f>
        <v>0</v>
      </c>
      <c r="Q233">
        <f t="shared" si="195"/>
        <v>0</v>
      </c>
      <c r="R233">
        <f t="shared" si="161"/>
        <v>0</v>
      </c>
      <c r="S233">
        <f t="shared" si="189"/>
        <v>0</v>
      </c>
      <c r="T233">
        <f t="shared" si="190"/>
        <v>0</v>
      </c>
      <c r="U233">
        <f t="shared" si="162"/>
        <v>0</v>
      </c>
      <c r="V233">
        <f t="shared" si="163"/>
        <v>0</v>
      </c>
      <c r="W233">
        <f t="shared" si="164"/>
        <v>0</v>
      </c>
      <c r="X233">
        <f t="shared" si="155"/>
        <v>0</v>
      </c>
      <c r="Y233">
        <f t="shared" si="165"/>
        <v>0</v>
      </c>
      <c r="Z233">
        <f t="shared" si="166"/>
        <v>0</v>
      </c>
      <c r="AA233">
        <f t="shared" si="167"/>
        <v>0</v>
      </c>
      <c r="AB233">
        <f t="shared" si="168"/>
        <v>0</v>
      </c>
      <c r="AC233" s="23">
        <f>IF(B233&gt;$AJ$2,0,HLOOKUP(YEAR(A233),Assumptions!$A$25:$AL$29,4,TRUE)/100)</f>
        <v>0</v>
      </c>
      <c r="AD233">
        <f t="shared" si="169"/>
        <v>0</v>
      </c>
      <c r="AE233">
        <f t="shared" si="170"/>
        <v>0</v>
      </c>
      <c r="AF233">
        <f t="shared" si="171"/>
        <v>0</v>
      </c>
      <c r="AG233">
        <f t="shared" si="172"/>
        <v>0</v>
      </c>
      <c r="AH233">
        <f t="shared" si="173"/>
        <v>0</v>
      </c>
      <c r="AI233">
        <f t="shared" si="174"/>
        <v>0</v>
      </c>
      <c r="AJ233">
        <f t="shared" si="175"/>
        <v>0</v>
      </c>
      <c r="AK233">
        <f t="shared" si="176"/>
        <v>0</v>
      </c>
      <c r="AL233">
        <f t="shared" si="177"/>
        <v>0</v>
      </c>
      <c r="AM233">
        <f t="shared" si="156"/>
        <v>0</v>
      </c>
      <c r="AN233">
        <f>IF($S$2=0,0,(SUMPRODUCT($K$2:$R$2,Assumptions!$B$34:$I$34)/$U$2+$J$2/$U$2*Assumptions!$A$34*G233)*K233*O232)</f>
        <v>0</v>
      </c>
      <c r="AO233">
        <f t="shared" si="178"/>
        <v>0</v>
      </c>
      <c r="AP233">
        <f t="shared" si="179"/>
        <v>0</v>
      </c>
      <c r="AQ233">
        <f>IF(B233&gt;$AJ$2,0,AQ232*(1+Assumptions!$B$43)^(1/12))</f>
        <v>0</v>
      </c>
      <c r="AR233" s="27">
        <f>IF(B233&gt;$AJ$2,0,(O232+R232)*Assumptions!$B$39/12*AQ232+AV233*Assumptions!$B$41/12)</f>
        <v>0</v>
      </c>
      <c r="AS233">
        <f t="shared" si="180"/>
        <v>0</v>
      </c>
      <c r="AT233" s="28">
        <f t="shared" si="181"/>
        <v>0</v>
      </c>
      <c r="AU233">
        <f t="shared" si="182"/>
        <v>0</v>
      </c>
      <c r="AV233" s="28">
        <f t="shared" si="183"/>
        <v>0</v>
      </c>
      <c r="AW233" s="28">
        <f t="shared" si="184"/>
        <v>0</v>
      </c>
      <c r="AX233" s="23">
        <f>HLOOKUP(YEAR(A233),Assumptions!$A$25:$AL$29,2,TRUE)/100</f>
        <v>1.1739999999999999E-2</v>
      </c>
      <c r="AY233" s="29">
        <f>1/(1+HLOOKUP(YEAR(A233),Assumptions!$A$18:$AL$20,3,TRUE))^(1/12)</f>
        <v>0.99902750864006262</v>
      </c>
      <c r="AZ233" s="26">
        <f t="shared" si="185"/>
        <v>0</v>
      </c>
      <c r="BA233">
        <f t="shared" si="186"/>
        <v>0</v>
      </c>
      <c r="BB233">
        <f t="shared" si="187"/>
        <v>0</v>
      </c>
      <c r="BC233">
        <f t="shared" si="188"/>
        <v>0</v>
      </c>
    </row>
    <row r="234" spans="1:55" x14ac:dyDescent="0.2">
      <c r="A234" s="3">
        <f t="shared" si="157"/>
        <v>49887</v>
      </c>
      <c r="B234">
        <f t="shared" si="153"/>
        <v>236</v>
      </c>
      <c r="C234">
        <f t="shared" si="196"/>
        <v>19.583333333333332</v>
      </c>
      <c r="D234">
        <f t="shared" si="197"/>
        <v>0</v>
      </c>
      <c r="E234">
        <f t="shared" si="154"/>
        <v>75</v>
      </c>
      <c r="F234">
        <f>IF(C234&gt;=$T$2,0,VLOOKUP($E234,'Mortality Table'!$A$3:$C$128,2+AF$2,FALSE))</f>
        <v>0</v>
      </c>
      <c r="G234">
        <f>F234*Assumptions!$B$1</f>
        <v>0</v>
      </c>
      <c r="H234">
        <f t="shared" si="158"/>
        <v>0</v>
      </c>
      <c r="I234">
        <f t="shared" si="191"/>
        <v>0</v>
      </c>
      <c r="J234">
        <f>IF(B234&gt;$AJ$2,0,HLOOKUP(C234,Assumptions!$A$6:$J$7,2,TRUE))</f>
        <v>0</v>
      </c>
      <c r="K234" s="4">
        <f t="shared" si="192"/>
        <v>0</v>
      </c>
      <c r="L234" s="4">
        <f t="shared" si="159"/>
        <v>0</v>
      </c>
      <c r="M234" s="4">
        <f t="shared" si="193"/>
        <v>0</v>
      </c>
      <c r="N234">
        <f t="shared" si="160"/>
        <v>0</v>
      </c>
      <c r="O234" s="21">
        <f t="shared" si="194"/>
        <v>0</v>
      </c>
      <c r="P234">
        <f>IF(B234&gt;$AJ$2,0,HLOOKUP(C234,Assumptions!$A$12:$J$13,2,TRUE))</f>
        <v>0</v>
      </c>
      <c r="Q234">
        <f t="shared" si="195"/>
        <v>0</v>
      </c>
      <c r="R234">
        <f t="shared" si="161"/>
        <v>0</v>
      </c>
      <c r="S234">
        <f t="shared" si="189"/>
        <v>0</v>
      </c>
      <c r="T234">
        <f t="shared" si="190"/>
        <v>0</v>
      </c>
      <c r="U234">
        <f t="shared" si="162"/>
        <v>0</v>
      </c>
      <c r="V234">
        <f t="shared" si="163"/>
        <v>0</v>
      </c>
      <c r="W234">
        <f t="shared" si="164"/>
        <v>0</v>
      </c>
      <c r="X234">
        <f t="shared" si="155"/>
        <v>0</v>
      </c>
      <c r="Y234">
        <f t="shared" si="165"/>
        <v>0</v>
      </c>
      <c r="Z234">
        <f t="shared" si="166"/>
        <v>0</v>
      </c>
      <c r="AA234">
        <f t="shared" si="167"/>
        <v>0</v>
      </c>
      <c r="AB234">
        <f t="shared" si="168"/>
        <v>0</v>
      </c>
      <c r="AC234" s="23">
        <f>IF(B234&gt;$AJ$2,0,HLOOKUP(YEAR(A234),Assumptions!$A$25:$AL$29,4,TRUE)/100)</f>
        <v>0</v>
      </c>
      <c r="AD234">
        <f t="shared" si="169"/>
        <v>0</v>
      </c>
      <c r="AE234">
        <f t="shared" si="170"/>
        <v>0</v>
      </c>
      <c r="AF234">
        <f t="shared" si="171"/>
        <v>0</v>
      </c>
      <c r="AG234">
        <f t="shared" si="172"/>
        <v>0</v>
      </c>
      <c r="AH234">
        <f t="shared" si="173"/>
        <v>0</v>
      </c>
      <c r="AI234">
        <f t="shared" si="174"/>
        <v>0</v>
      </c>
      <c r="AJ234">
        <f t="shared" si="175"/>
        <v>0</v>
      </c>
      <c r="AK234">
        <f t="shared" si="176"/>
        <v>0</v>
      </c>
      <c r="AL234">
        <f t="shared" si="177"/>
        <v>0</v>
      </c>
      <c r="AM234">
        <f t="shared" si="156"/>
        <v>0</v>
      </c>
      <c r="AN234">
        <f>IF($S$2=0,0,(SUMPRODUCT($K$2:$R$2,Assumptions!$B$34:$I$34)/$U$2+$J$2/$U$2*Assumptions!$A$34*G234)*K234*O233)</f>
        <v>0</v>
      </c>
      <c r="AO234">
        <f t="shared" si="178"/>
        <v>0</v>
      </c>
      <c r="AP234">
        <f t="shared" si="179"/>
        <v>0</v>
      </c>
      <c r="AQ234">
        <f>IF(B234&gt;$AJ$2,0,AQ233*(1+Assumptions!$B$43)^(1/12))</f>
        <v>0</v>
      </c>
      <c r="AR234" s="27">
        <f>IF(B234&gt;$AJ$2,0,(O233+R233)*Assumptions!$B$39/12*AQ233+AV234*Assumptions!$B$41/12)</f>
        <v>0</v>
      </c>
      <c r="AS234">
        <f t="shared" si="180"/>
        <v>0</v>
      </c>
      <c r="AT234" s="28">
        <f t="shared" si="181"/>
        <v>0</v>
      </c>
      <c r="AU234">
        <f t="shared" si="182"/>
        <v>0</v>
      </c>
      <c r="AV234" s="28">
        <f t="shared" si="183"/>
        <v>0</v>
      </c>
      <c r="AW234" s="28">
        <f t="shared" si="184"/>
        <v>0</v>
      </c>
      <c r="AX234" s="23">
        <f>HLOOKUP(YEAR(A234),Assumptions!$A$25:$AL$29,2,TRUE)/100</f>
        <v>1.1739999999999999E-2</v>
      </c>
      <c r="AY234" s="29">
        <f>1/(1+HLOOKUP(YEAR(A234),Assumptions!$A$18:$AL$20,3,TRUE))^(1/12)</f>
        <v>0.99902750864006262</v>
      </c>
      <c r="AZ234" s="26">
        <f t="shared" si="185"/>
        <v>0</v>
      </c>
      <c r="BA234">
        <f t="shared" si="186"/>
        <v>0</v>
      </c>
      <c r="BB234">
        <f t="shared" si="187"/>
        <v>0</v>
      </c>
      <c r="BC234">
        <f t="shared" si="188"/>
        <v>0</v>
      </c>
    </row>
    <row r="235" spans="1:55" x14ac:dyDescent="0.2">
      <c r="A235" s="3">
        <f t="shared" si="157"/>
        <v>49918</v>
      </c>
      <c r="B235">
        <f t="shared" si="153"/>
        <v>237</v>
      </c>
      <c r="C235">
        <f t="shared" si="196"/>
        <v>19.666666666666668</v>
      </c>
      <c r="D235">
        <f t="shared" si="197"/>
        <v>0</v>
      </c>
      <c r="E235">
        <f t="shared" si="154"/>
        <v>75</v>
      </c>
      <c r="F235">
        <f>IF(C235&gt;=$T$2,0,VLOOKUP($E235,'Mortality Table'!$A$3:$C$128,2+AF$2,FALSE))</f>
        <v>0</v>
      </c>
      <c r="G235">
        <f>F235*Assumptions!$B$1</f>
        <v>0</v>
      </c>
      <c r="H235">
        <f t="shared" si="158"/>
        <v>0</v>
      </c>
      <c r="I235">
        <f t="shared" si="191"/>
        <v>0</v>
      </c>
      <c r="J235">
        <f>IF(B235&gt;$AJ$2,0,HLOOKUP(C235,Assumptions!$A$6:$J$7,2,TRUE))</f>
        <v>0</v>
      </c>
      <c r="K235" s="4">
        <f t="shared" si="192"/>
        <v>0</v>
      </c>
      <c r="L235" s="4">
        <f t="shared" si="159"/>
        <v>0</v>
      </c>
      <c r="M235" s="4">
        <f t="shared" si="193"/>
        <v>0</v>
      </c>
      <c r="N235">
        <f t="shared" si="160"/>
        <v>0</v>
      </c>
      <c r="O235" s="21">
        <f t="shared" si="194"/>
        <v>0</v>
      </c>
      <c r="P235">
        <f>IF(B235&gt;$AJ$2,0,HLOOKUP(C235,Assumptions!$A$12:$J$13,2,TRUE))</f>
        <v>0</v>
      </c>
      <c r="Q235">
        <f t="shared" si="195"/>
        <v>0</v>
      </c>
      <c r="R235">
        <f t="shared" si="161"/>
        <v>0</v>
      </c>
      <c r="S235">
        <f t="shared" si="189"/>
        <v>0</v>
      </c>
      <c r="T235">
        <f t="shared" si="190"/>
        <v>0</v>
      </c>
      <c r="U235">
        <f t="shared" si="162"/>
        <v>0</v>
      </c>
      <c r="V235">
        <f t="shared" si="163"/>
        <v>0</v>
      </c>
      <c r="W235">
        <f t="shared" si="164"/>
        <v>0</v>
      </c>
      <c r="X235">
        <f t="shared" si="155"/>
        <v>0</v>
      </c>
      <c r="Y235">
        <f t="shared" si="165"/>
        <v>0</v>
      </c>
      <c r="Z235">
        <f t="shared" si="166"/>
        <v>0</v>
      </c>
      <c r="AA235">
        <f t="shared" si="167"/>
        <v>0</v>
      </c>
      <c r="AB235">
        <f t="shared" si="168"/>
        <v>0</v>
      </c>
      <c r="AC235" s="23">
        <f>IF(B235&gt;$AJ$2,0,HLOOKUP(YEAR(A235),Assumptions!$A$25:$AL$29,4,TRUE)/100)</f>
        <v>0</v>
      </c>
      <c r="AD235">
        <f t="shared" si="169"/>
        <v>0</v>
      </c>
      <c r="AE235">
        <f t="shared" si="170"/>
        <v>0</v>
      </c>
      <c r="AF235">
        <f t="shared" si="171"/>
        <v>0</v>
      </c>
      <c r="AG235">
        <f t="shared" si="172"/>
        <v>0</v>
      </c>
      <c r="AH235">
        <f t="shared" si="173"/>
        <v>0</v>
      </c>
      <c r="AI235">
        <f t="shared" si="174"/>
        <v>0</v>
      </c>
      <c r="AJ235">
        <f t="shared" si="175"/>
        <v>0</v>
      </c>
      <c r="AK235">
        <f t="shared" si="176"/>
        <v>0</v>
      </c>
      <c r="AL235">
        <f t="shared" si="177"/>
        <v>0</v>
      </c>
      <c r="AM235">
        <f t="shared" si="156"/>
        <v>0</v>
      </c>
      <c r="AN235">
        <f>IF($S$2=0,0,(SUMPRODUCT($K$2:$R$2,Assumptions!$B$34:$I$34)/$U$2+$J$2/$U$2*Assumptions!$A$34*G235)*K235*O234)</f>
        <v>0</v>
      </c>
      <c r="AO235">
        <f t="shared" si="178"/>
        <v>0</v>
      </c>
      <c r="AP235">
        <f t="shared" si="179"/>
        <v>0</v>
      </c>
      <c r="AQ235">
        <f>IF(B235&gt;$AJ$2,0,AQ234*(1+Assumptions!$B$43)^(1/12))</f>
        <v>0</v>
      </c>
      <c r="AR235" s="27">
        <f>IF(B235&gt;$AJ$2,0,(O234+R234)*Assumptions!$B$39/12*AQ234+AV235*Assumptions!$B$41/12)</f>
        <v>0</v>
      </c>
      <c r="AS235">
        <f t="shared" si="180"/>
        <v>0</v>
      </c>
      <c r="AT235" s="28">
        <f t="shared" si="181"/>
        <v>0</v>
      </c>
      <c r="AU235">
        <f t="shared" si="182"/>
        <v>0</v>
      </c>
      <c r="AV235" s="28">
        <f t="shared" si="183"/>
        <v>0</v>
      </c>
      <c r="AW235" s="28">
        <f t="shared" si="184"/>
        <v>0</v>
      </c>
      <c r="AX235" s="23">
        <f>HLOOKUP(YEAR(A235),Assumptions!$A$25:$AL$29,2,TRUE)/100</f>
        <v>1.1739999999999999E-2</v>
      </c>
      <c r="AY235" s="29">
        <f>1/(1+HLOOKUP(YEAR(A235),Assumptions!$A$18:$AL$20,3,TRUE))^(1/12)</f>
        <v>0.99902750864006262</v>
      </c>
      <c r="AZ235" s="26">
        <f t="shared" si="185"/>
        <v>0</v>
      </c>
      <c r="BA235">
        <f t="shared" si="186"/>
        <v>0</v>
      </c>
      <c r="BB235">
        <f t="shared" si="187"/>
        <v>0</v>
      </c>
      <c r="BC235">
        <f t="shared" si="188"/>
        <v>0</v>
      </c>
    </row>
    <row r="236" spans="1:55" x14ac:dyDescent="0.2">
      <c r="A236" s="3">
        <f t="shared" si="157"/>
        <v>49948</v>
      </c>
      <c r="B236">
        <f t="shared" si="153"/>
        <v>238</v>
      </c>
      <c r="C236">
        <f t="shared" si="196"/>
        <v>19.75</v>
      </c>
      <c r="D236">
        <f t="shared" si="197"/>
        <v>0</v>
      </c>
      <c r="E236">
        <f t="shared" si="154"/>
        <v>75</v>
      </c>
      <c r="F236">
        <f>IF(C236&gt;=$T$2,0,VLOOKUP($E236,'Mortality Table'!$A$3:$C$128,2+AF$2,FALSE))</f>
        <v>0</v>
      </c>
      <c r="G236">
        <f>F236*Assumptions!$B$1</f>
        <v>0</v>
      </c>
      <c r="H236">
        <f t="shared" si="158"/>
        <v>0</v>
      </c>
      <c r="I236">
        <f t="shared" si="191"/>
        <v>0</v>
      </c>
      <c r="J236">
        <f>IF(B236&gt;$AJ$2,0,HLOOKUP(C236,Assumptions!$A$6:$J$7,2,TRUE))</f>
        <v>0</v>
      </c>
      <c r="K236" s="4">
        <f t="shared" si="192"/>
        <v>0</v>
      </c>
      <c r="L236" s="4">
        <f t="shared" si="159"/>
        <v>0</v>
      </c>
      <c r="M236" s="4">
        <f t="shared" si="193"/>
        <v>0</v>
      </c>
      <c r="N236">
        <f t="shared" si="160"/>
        <v>0</v>
      </c>
      <c r="O236" s="21">
        <f t="shared" si="194"/>
        <v>0</v>
      </c>
      <c r="P236">
        <f>IF(B236&gt;$AJ$2,0,HLOOKUP(C236,Assumptions!$A$12:$J$13,2,TRUE))</f>
        <v>0</v>
      </c>
      <c r="Q236">
        <f t="shared" si="195"/>
        <v>0</v>
      </c>
      <c r="R236">
        <f t="shared" si="161"/>
        <v>0</v>
      </c>
      <c r="S236">
        <f t="shared" si="189"/>
        <v>0</v>
      </c>
      <c r="T236">
        <f t="shared" si="190"/>
        <v>0</v>
      </c>
      <c r="U236">
        <f t="shared" si="162"/>
        <v>0</v>
      </c>
      <c r="V236">
        <f t="shared" si="163"/>
        <v>0</v>
      </c>
      <c r="W236">
        <f t="shared" si="164"/>
        <v>0</v>
      </c>
      <c r="X236">
        <f t="shared" si="155"/>
        <v>0</v>
      </c>
      <c r="Y236">
        <f t="shared" si="165"/>
        <v>0</v>
      </c>
      <c r="Z236">
        <f t="shared" si="166"/>
        <v>0</v>
      </c>
      <c r="AA236">
        <f t="shared" si="167"/>
        <v>0</v>
      </c>
      <c r="AB236">
        <f t="shared" si="168"/>
        <v>0</v>
      </c>
      <c r="AC236" s="23">
        <f>IF(B236&gt;$AJ$2,0,HLOOKUP(YEAR(A236),Assumptions!$A$25:$AL$29,4,TRUE)/100)</f>
        <v>0</v>
      </c>
      <c r="AD236">
        <f t="shared" si="169"/>
        <v>0</v>
      </c>
      <c r="AE236">
        <f t="shared" si="170"/>
        <v>0</v>
      </c>
      <c r="AF236">
        <f t="shared" si="171"/>
        <v>0</v>
      </c>
      <c r="AG236">
        <f t="shared" si="172"/>
        <v>0</v>
      </c>
      <c r="AH236">
        <f t="shared" si="173"/>
        <v>0</v>
      </c>
      <c r="AI236">
        <f t="shared" si="174"/>
        <v>0</v>
      </c>
      <c r="AJ236">
        <f t="shared" si="175"/>
        <v>0</v>
      </c>
      <c r="AK236">
        <f t="shared" si="176"/>
        <v>0</v>
      </c>
      <c r="AL236">
        <f t="shared" si="177"/>
        <v>0</v>
      </c>
      <c r="AM236">
        <f t="shared" si="156"/>
        <v>0</v>
      </c>
      <c r="AN236">
        <f>IF($S$2=0,0,(SUMPRODUCT($K$2:$R$2,Assumptions!$B$34:$I$34)/$U$2+$J$2/$U$2*Assumptions!$A$34*G236)*K236*O235)</f>
        <v>0</v>
      </c>
      <c r="AO236">
        <f t="shared" si="178"/>
        <v>0</v>
      </c>
      <c r="AP236">
        <f t="shared" si="179"/>
        <v>0</v>
      </c>
      <c r="AQ236">
        <f>IF(B236&gt;$AJ$2,0,AQ235*(1+Assumptions!$B$43)^(1/12))</f>
        <v>0</v>
      </c>
      <c r="AR236" s="27">
        <f>IF(B236&gt;$AJ$2,0,(O235+R235)*Assumptions!$B$39/12*AQ235+AV236*Assumptions!$B$41/12)</f>
        <v>0</v>
      </c>
      <c r="AS236">
        <f t="shared" si="180"/>
        <v>0</v>
      </c>
      <c r="AT236" s="28">
        <f t="shared" si="181"/>
        <v>0</v>
      </c>
      <c r="AU236">
        <f t="shared" si="182"/>
        <v>0</v>
      </c>
      <c r="AV236" s="28">
        <f t="shared" si="183"/>
        <v>0</v>
      </c>
      <c r="AW236" s="28">
        <f t="shared" si="184"/>
        <v>0</v>
      </c>
      <c r="AX236" s="23">
        <f>HLOOKUP(YEAR(A236),Assumptions!$A$25:$AL$29,2,TRUE)/100</f>
        <v>1.1739999999999999E-2</v>
      </c>
      <c r="AY236" s="29">
        <f>1/(1+HLOOKUP(YEAR(A236),Assumptions!$A$18:$AL$20,3,TRUE))^(1/12)</f>
        <v>0.99902750864006262</v>
      </c>
      <c r="AZ236" s="26">
        <f t="shared" si="185"/>
        <v>0</v>
      </c>
      <c r="BA236">
        <f t="shared" si="186"/>
        <v>0</v>
      </c>
      <c r="BB236">
        <f t="shared" si="187"/>
        <v>0</v>
      </c>
      <c r="BC236">
        <f t="shared" si="188"/>
        <v>0</v>
      </c>
    </row>
    <row r="237" spans="1:55" x14ac:dyDescent="0.2">
      <c r="A237" s="3">
        <f t="shared" si="157"/>
        <v>49979</v>
      </c>
      <c r="B237">
        <f t="shared" si="153"/>
        <v>239</v>
      </c>
      <c r="C237">
        <f t="shared" si="196"/>
        <v>19.833333333333332</v>
      </c>
      <c r="D237">
        <f t="shared" si="197"/>
        <v>0</v>
      </c>
      <c r="E237">
        <f t="shared" si="154"/>
        <v>75</v>
      </c>
      <c r="F237">
        <f>IF(C237&gt;=$T$2,0,VLOOKUP($E237,'Mortality Table'!$A$3:$C$128,2+AF$2,FALSE))</f>
        <v>0</v>
      </c>
      <c r="G237">
        <f>F237*Assumptions!$B$1</f>
        <v>0</v>
      </c>
      <c r="H237">
        <f t="shared" si="158"/>
        <v>0</v>
      </c>
      <c r="I237">
        <f t="shared" si="191"/>
        <v>0</v>
      </c>
      <c r="J237">
        <f>IF(B237&gt;$AJ$2,0,HLOOKUP(C237,Assumptions!$A$6:$J$7,2,TRUE))</f>
        <v>0</v>
      </c>
      <c r="K237" s="4">
        <f t="shared" si="192"/>
        <v>0</v>
      </c>
      <c r="L237" s="4">
        <f t="shared" si="159"/>
        <v>0</v>
      </c>
      <c r="M237" s="4">
        <f t="shared" si="193"/>
        <v>0</v>
      </c>
      <c r="N237">
        <f t="shared" si="160"/>
        <v>0</v>
      </c>
      <c r="O237" s="21">
        <f t="shared" si="194"/>
        <v>0</v>
      </c>
      <c r="P237">
        <f>IF(B237&gt;$AJ$2,0,HLOOKUP(C237,Assumptions!$A$12:$J$13,2,TRUE))</f>
        <v>0</v>
      </c>
      <c r="Q237">
        <f t="shared" si="195"/>
        <v>0</v>
      </c>
      <c r="R237">
        <f t="shared" si="161"/>
        <v>0</v>
      </c>
      <c r="S237">
        <f t="shared" si="189"/>
        <v>0</v>
      </c>
      <c r="T237">
        <f t="shared" si="190"/>
        <v>0</v>
      </c>
      <c r="U237">
        <f t="shared" si="162"/>
        <v>0</v>
      </c>
      <c r="V237">
        <f t="shared" si="163"/>
        <v>0</v>
      </c>
      <c r="W237">
        <f t="shared" si="164"/>
        <v>0</v>
      </c>
      <c r="X237">
        <f t="shared" si="155"/>
        <v>0</v>
      </c>
      <c r="Y237">
        <f t="shared" si="165"/>
        <v>0</v>
      </c>
      <c r="Z237">
        <f t="shared" si="166"/>
        <v>0</v>
      </c>
      <c r="AA237">
        <f t="shared" si="167"/>
        <v>0</v>
      </c>
      <c r="AB237">
        <f t="shared" si="168"/>
        <v>0</v>
      </c>
      <c r="AC237" s="23">
        <f>IF(B237&gt;$AJ$2,0,HLOOKUP(YEAR(A237),Assumptions!$A$25:$AL$29,4,TRUE)/100)</f>
        <v>0</v>
      </c>
      <c r="AD237">
        <f t="shared" si="169"/>
        <v>0</v>
      </c>
      <c r="AE237">
        <f t="shared" si="170"/>
        <v>0</v>
      </c>
      <c r="AF237">
        <f t="shared" si="171"/>
        <v>0</v>
      </c>
      <c r="AG237">
        <f t="shared" si="172"/>
        <v>0</v>
      </c>
      <c r="AH237">
        <f t="shared" si="173"/>
        <v>0</v>
      </c>
      <c r="AI237">
        <f t="shared" si="174"/>
        <v>0</v>
      </c>
      <c r="AJ237">
        <f t="shared" si="175"/>
        <v>0</v>
      </c>
      <c r="AK237">
        <f t="shared" si="176"/>
        <v>0</v>
      </c>
      <c r="AL237">
        <f t="shared" si="177"/>
        <v>0</v>
      </c>
      <c r="AM237">
        <f t="shared" si="156"/>
        <v>0</v>
      </c>
      <c r="AN237">
        <f>IF($S$2=0,0,(SUMPRODUCT($K$2:$R$2,Assumptions!$B$34:$I$34)/$U$2+$J$2/$U$2*Assumptions!$A$34*G237)*K237*O236)</f>
        <v>0</v>
      </c>
      <c r="AO237">
        <f t="shared" si="178"/>
        <v>0</v>
      </c>
      <c r="AP237">
        <f t="shared" si="179"/>
        <v>0</v>
      </c>
      <c r="AQ237">
        <f>IF(B237&gt;$AJ$2,0,AQ236*(1+Assumptions!$B$43)^(1/12))</f>
        <v>0</v>
      </c>
      <c r="AR237" s="27">
        <f>IF(B237&gt;$AJ$2,0,(O236+R236)*Assumptions!$B$39/12*AQ236+AV237*Assumptions!$B$41/12)</f>
        <v>0</v>
      </c>
      <c r="AS237">
        <f t="shared" si="180"/>
        <v>0</v>
      </c>
      <c r="AT237" s="28">
        <f t="shared" si="181"/>
        <v>0</v>
      </c>
      <c r="AU237">
        <f t="shared" si="182"/>
        <v>0</v>
      </c>
      <c r="AV237" s="28">
        <f t="shared" si="183"/>
        <v>0</v>
      </c>
      <c r="AW237" s="28">
        <f t="shared" si="184"/>
        <v>0</v>
      </c>
      <c r="AX237" s="23">
        <f>HLOOKUP(YEAR(A237),Assumptions!$A$25:$AL$29,2,TRUE)/100</f>
        <v>1.1739999999999999E-2</v>
      </c>
      <c r="AY237" s="29">
        <f>1/(1+HLOOKUP(YEAR(A237),Assumptions!$A$18:$AL$20,3,TRUE))^(1/12)</f>
        <v>0.99902750864006262</v>
      </c>
      <c r="AZ237" s="26">
        <f t="shared" si="185"/>
        <v>0</v>
      </c>
      <c r="BA237">
        <f t="shared" si="186"/>
        <v>0</v>
      </c>
      <c r="BB237">
        <f t="shared" si="187"/>
        <v>0</v>
      </c>
      <c r="BC237">
        <f t="shared" si="188"/>
        <v>0</v>
      </c>
    </row>
    <row r="238" spans="1:55" x14ac:dyDescent="0.2">
      <c r="A238" s="3">
        <f t="shared" si="157"/>
        <v>50009</v>
      </c>
      <c r="B238">
        <f t="shared" si="153"/>
        <v>240</v>
      </c>
      <c r="C238">
        <f t="shared" si="196"/>
        <v>19.916666666666668</v>
      </c>
      <c r="D238">
        <f t="shared" si="197"/>
        <v>0</v>
      </c>
      <c r="E238">
        <f t="shared" si="154"/>
        <v>75</v>
      </c>
      <c r="F238">
        <f>IF(C238&gt;=$T$2,0,VLOOKUP($E238,'Mortality Table'!$A$3:$C$128,2+AF$2,FALSE))</f>
        <v>0</v>
      </c>
      <c r="G238">
        <f>F238*Assumptions!$B$1</f>
        <v>0</v>
      </c>
      <c r="H238">
        <f t="shared" si="158"/>
        <v>0</v>
      </c>
      <c r="I238">
        <f t="shared" si="191"/>
        <v>0</v>
      </c>
      <c r="J238">
        <f>IF(B238&gt;$AJ$2,0,HLOOKUP(C238,Assumptions!$A$6:$J$7,2,TRUE))</f>
        <v>0</v>
      </c>
      <c r="K238" s="4">
        <f t="shared" si="192"/>
        <v>0</v>
      </c>
      <c r="L238" s="4">
        <f t="shared" si="159"/>
        <v>0</v>
      </c>
      <c r="M238" s="4">
        <f t="shared" si="193"/>
        <v>0</v>
      </c>
      <c r="N238">
        <f t="shared" si="160"/>
        <v>0</v>
      </c>
      <c r="O238" s="21">
        <f t="shared" si="194"/>
        <v>0</v>
      </c>
      <c r="P238">
        <f>IF(B238&gt;$AJ$2,0,HLOOKUP(C238,Assumptions!$A$12:$J$13,2,TRUE))</f>
        <v>0</v>
      </c>
      <c r="Q238">
        <f t="shared" si="195"/>
        <v>0</v>
      </c>
      <c r="R238">
        <f t="shared" si="161"/>
        <v>0</v>
      </c>
      <c r="S238">
        <f t="shared" si="189"/>
        <v>0</v>
      </c>
      <c r="T238">
        <f t="shared" si="190"/>
        <v>0</v>
      </c>
      <c r="U238">
        <f t="shared" si="162"/>
        <v>0</v>
      </c>
      <c r="V238">
        <f t="shared" si="163"/>
        <v>0</v>
      </c>
      <c r="W238">
        <f t="shared" si="164"/>
        <v>0</v>
      </c>
      <c r="X238">
        <f t="shared" si="155"/>
        <v>0</v>
      </c>
      <c r="Y238">
        <f t="shared" si="165"/>
        <v>0</v>
      </c>
      <c r="Z238">
        <f t="shared" si="166"/>
        <v>0</v>
      </c>
      <c r="AA238">
        <f t="shared" si="167"/>
        <v>0</v>
      </c>
      <c r="AB238">
        <f t="shared" si="168"/>
        <v>0</v>
      </c>
      <c r="AC238" s="23">
        <f>IF(B238&gt;$AJ$2,0,HLOOKUP(YEAR(A238),Assumptions!$A$25:$AL$29,4,TRUE)/100)</f>
        <v>0</v>
      </c>
      <c r="AD238">
        <f t="shared" si="169"/>
        <v>0</v>
      </c>
      <c r="AE238">
        <f t="shared" si="170"/>
        <v>0</v>
      </c>
      <c r="AF238">
        <f t="shared" si="171"/>
        <v>0</v>
      </c>
      <c r="AG238">
        <f t="shared" si="172"/>
        <v>0</v>
      </c>
      <c r="AH238">
        <f t="shared" si="173"/>
        <v>0</v>
      </c>
      <c r="AI238">
        <f t="shared" si="174"/>
        <v>0</v>
      </c>
      <c r="AJ238">
        <f t="shared" si="175"/>
        <v>0</v>
      </c>
      <c r="AK238">
        <f t="shared" si="176"/>
        <v>0</v>
      </c>
      <c r="AL238">
        <f t="shared" si="177"/>
        <v>0</v>
      </c>
      <c r="AM238">
        <f t="shared" si="156"/>
        <v>0</v>
      </c>
      <c r="AN238">
        <f>IF($S$2=0,0,(SUMPRODUCT($K$2:$R$2,Assumptions!$B$34:$I$34)/$U$2+$J$2/$U$2*Assumptions!$A$34*G238)*K238*O237)</f>
        <v>0</v>
      </c>
      <c r="AO238">
        <f t="shared" si="178"/>
        <v>0</v>
      </c>
      <c r="AP238">
        <f t="shared" si="179"/>
        <v>0</v>
      </c>
      <c r="AQ238">
        <f>IF(B238&gt;$AJ$2,0,AQ237*(1+Assumptions!$B$43)^(1/12))</f>
        <v>0</v>
      </c>
      <c r="AR238" s="27">
        <f>IF(B238&gt;$AJ$2,0,(O237+R237)*Assumptions!$B$39/12*AQ237+AV238*Assumptions!$B$41/12)</f>
        <v>0</v>
      </c>
      <c r="AS238">
        <f t="shared" si="180"/>
        <v>0</v>
      </c>
      <c r="AT238" s="28">
        <f t="shared" si="181"/>
        <v>0</v>
      </c>
      <c r="AU238">
        <f t="shared" si="182"/>
        <v>0</v>
      </c>
      <c r="AV238" s="28">
        <f t="shared" si="183"/>
        <v>0</v>
      </c>
      <c r="AW238" s="28">
        <f t="shared" si="184"/>
        <v>0</v>
      </c>
      <c r="AX238" s="23">
        <f>HLOOKUP(YEAR(A238),Assumptions!$A$25:$AL$29,2,TRUE)/100</f>
        <v>1.1739999999999999E-2</v>
      </c>
      <c r="AY238" s="29">
        <f>1/(1+HLOOKUP(YEAR(A238),Assumptions!$A$18:$AL$20,3,TRUE))^(1/12)</f>
        <v>0.99902750864006262</v>
      </c>
      <c r="AZ238" s="26">
        <f t="shared" si="185"/>
        <v>0</v>
      </c>
      <c r="BA238">
        <f t="shared" si="186"/>
        <v>0</v>
      </c>
      <c r="BB238">
        <f t="shared" si="187"/>
        <v>0</v>
      </c>
      <c r="BC238">
        <f t="shared" si="188"/>
        <v>0</v>
      </c>
    </row>
    <row r="239" spans="1:55" x14ac:dyDescent="0.2">
      <c r="A239" s="3">
        <f t="shared" si="157"/>
        <v>50040</v>
      </c>
      <c r="B239">
        <f t="shared" si="153"/>
        <v>241</v>
      </c>
      <c r="C239">
        <f t="shared" si="196"/>
        <v>20</v>
      </c>
      <c r="D239">
        <f t="shared" si="197"/>
        <v>1</v>
      </c>
      <c r="E239">
        <f t="shared" si="154"/>
        <v>76</v>
      </c>
      <c r="F239">
        <f>IF(C239&gt;=$T$2,0,VLOOKUP($E239,'Mortality Table'!$A$3:$C$128,2+AF$2,FALSE))</f>
        <v>0</v>
      </c>
      <c r="G239">
        <f>F239*Assumptions!$B$1</f>
        <v>0</v>
      </c>
      <c r="H239">
        <f t="shared" si="158"/>
        <v>0</v>
      </c>
      <c r="I239">
        <f t="shared" si="191"/>
        <v>0</v>
      </c>
      <c r="J239">
        <f>IF(B239&gt;$AJ$2,0,HLOOKUP(C239,Assumptions!$A$6:$J$7,2,TRUE))</f>
        <v>0</v>
      </c>
      <c r="K239" s="4">
        <f t="shared" si="192"/>
        <v>0</v>
      </c>
      <c r="L239" s="4">
        <f t="shared" si="159"/>
        <v>0</v>
      </c>
      <c r="M239" s="4">
        <f t="shared" si="193"/>
        <v>0</v>
      </c>
      <c r="N239">
        <f t="shared" si="160"/>
        <v>0</v>
      </c>
      <c r="O239" s="21">
        <f t="shared" si="194"/>
        <v>0</v>
      </c>
      <c r="P239">
        <f>IF(B239&gt;$AJ$2,0,HLOOKUP(C239,Assumptions!$A$12:$J$13,2,TRUE))</f>
        <v>0</v>
      </c>
      <c r="Q239">
        <f t="shared" si="195"/>
        <v>0</v>
      </c>
      <c r="R239">
        <f t="shared" si="161"/>
        <v>0</v>
      </c>
      <c r="S239">
        <f t="shared" si="189"/>
        <v>0</v>
      </c>
      <c r="T239">
        <f t="shared" si="190"/>
        <v>0</v>
      </c>
      <c r="U239">
        <f t="shared" si="162"/>
        <v>0</v>
      </c>
      <c r="V239">
        <f t="shared" si="163"/>
        <v>0</v>
      </c>
      <c r="W239">
        <f t="shared" si="164"/>
        <v>0</v>
      </c>
      <c r="X239">
        <f t="shared" si="155"/>
        <v>0</v>
      </c>
      <c r="Y239">
        <f t="shared" si="165"/>
        <v>0</v>
      </c>
      <c r="Z239">
        <f t="shared" si="166"/>
        <v>0</v>
      </c>
      <c r="AA239">
        <f t="shared" si="167"/>
        <v>0</v>
      </c>
      <c r="AB239">
        <f t="shared" si="168"/>
        <v>0</v>
      </c>
      <c r="AC239" s="23">
        <f>IF(B239&gt;$AJ$2,0,HLOOKUP(YEAR(A239),Assumptions!$A$25:$AL$29,4,TRUE)/100)</f>
        <v>0</v>
      </c>
      <c r="AD239">
        <f t="shared" si="169"/>
        <v>0</v>
      </c>
      <c r="AE239">
        <f t="shared" si="170"/>
        <v>0</v>
      </c>
      <c r="AF239">
        <f t="shared" si="171"/>
        <v>0</v>
      </c>
      <c r="AG239">
        <f t="shared" si="172"/>
        <v>0</v>
      </c>
      <c r="AH239">
        <f t="shared" si="173"/>
        <v>0</v>
      </c>
      <c r="AI239">
        <f t="shared" si="174"/>
        <v>0</v>
      </c>
      <c r="AJ239">
        <f t="shared" si="175"/>
        <v>0</v>
      </c>
      <c r="AK239">
        <f t="shared" si="176"/>
        <v>0</v>
      </c>
      <c r="AL239">
        <f t="shared" si="177"/>
        <v>0</v>
      </c>
      <c r="AM239">
        <f t="shared" si="156"/>
        <v>0</v>
      </c>
      <c r="AN239">
        <f>IF($S$2=0,0,(SUMPRODUCT($K$2:$R$2,Assumptions!$B$34:$I$34)/$U$2+$J$2/$U$2*Assumptions!$A$34*G239)*K239*O238)</f>
        <v>0</v>
      </c>
      <c r="AO239">
        <f t="shared" si="178"/>
        <v>0</v>
      </c>
      <c r="AP239">
        <f t="shared" si="179"/>
        <v>0</v>
      </c>
      <c r="AQ239">
        <f>IF(B239&gt;$AJ$2,0,AQ238*(1+Assumptions!$B$43)^(1/12))</f>
        <v>0</v>
      </c>
      <c r="AR239" s="27">
        <f>IF(B239&gt;$AJ$2,0,(O238+R238)*Assumptions!$B$39/12*AQ238+AV239*Assumptions!$B$41/12)</f>
        <v>0</v>
      </c>
      <c r="AS239">
        <f t="shared" si="180"/>
        <v>0</v>
      </c>
      <c r="AT239" s="28">
        <f t="shared" si="181"/>
        <v>0</v>
      </c>
      <c r="AU239">
        <f t="shared" si="182"/>
        <v>0</v>
      </c>
      <c r="AV239" s="28">
        <f t="shared" si="183"/>
        <v>0</v>
      </c>
      <c r="AW239" s="28">
        <f t="shared" si="184"/>
        <v>0</v>
      </c>
      <c r="AX239" s="23">
        <f>HLOOKUP(YEAR(A239),Assumptions!$A$25:$AL$29,2,TRUE)/100</f>
        <v>1.1739999999999999E-2</v>
      </c>
      <c r="AY239" s="29">
        <f>1/(1+HLOOKUP(YEAR(A239),Assumptions!$A$18:$AL$20,3,TRUE))^(1/12)</f>
        <v>0.99902750864006262</v>
      </c>
      <c r="AZ239" s="26">
        <f t="shared" si="185"/>
        <v>0</v>
      </c>
      <c r="BA239">
        <f t="shared" si="186"/>
        <v>0</v>
      </c>
      <c r="BB239">
        <f t="shared" si="187"/>
        <v>0</v>
      </c>
      <c r="BC239">
        <f t="shared" si="188"/>
        <v>0</v>
      </c>
    </row>
    <row r="240" spans="1:55" x14ac:dyDescent="0.2">
      <c r="A240" s="3">
        <f t="shared" si="157"/>
        <v>50071</v>
      </c>
      <c r="B240">
        <f t="shared" si="153"/>
        <v>242</v>
      </c>
      <c r="C240">
        <f t="shared" si="196"/>
        <v>20.083333333333332</v>
      </c>
      <c r="D240">
        <f t="shared" si="197"/>
        <v>0</v>
      </c>
      <c r="E240">
        <f t="shared" si="154"/>
        <v>76</v>
      </c>
      <c r="F240">
        <f>IF(C240&gt;=$T$2,0,VLOOKUP($E240,'Mortality Table'!$A$3:$C$128,2+AF$2,FALSE))</f>
        <v>0</v>
      </c>
      <c r="G240">
        <f>F240*Assumptions!$B$1</f>
        <v>0</v>
      </c>
      <c r="H240">
        <f t="shared" si="158"/>
        <v>0</v>
      </c>
      <c r="I240">
        <f t="shared" si="191"/>
        <v>0</v>
      </c>
      <c r="J240">
        <f>IF(B240&gt;$AJ$2,0,HLOOKUP(C240,Assumptions!$A$6:$J$7,2,TRUE))</f>
        <v>0</v>
      </c>
      <c r="K240" s="4">
        <f t="shared" si="192"/>
        <v>0</v>
      </c>
      <c r="L240" s="4">
        <f t="shared" si="159"/>
        <v>0</v>
      </c>
      <c r="M240" s="4">
        <f t="shared" si="193"/>
        <v>0</v>
      </c>
      <c r="N240">
        <f t="shared" si="160"/>
        <v>0</v>
      </c>
      <c r="O240" s="21">
        <f t="shared" si="194"/>
        <v>0</v>
      </c>
      <c r="P240">
        <f>IF(B240&gt;$AJ$2,0,HLOOKUP(C240,Assumptions!$A$12:$J$13,2,TRUE))</f>
        <v>0</v>
      </c>
      <c r="Q240">
        <f t="shared" si="195"/>
        <v>0</v>
      </c>
      <c r="R240">
        <f t="shared" si="161"/>
        <v>0</v>
      </c>
      <c r="S240">
        <f t="shared" si="189"/>
        <v>0</v>
      </c>
      <c r="T240">
        <f t="shared" si="190"/>
        <v>0</v>
      </c>
      <c r="U240">
        <f t="shared" si="162"/>
        <v>0</v>
      </c>
      <c r="V240">
        <f t="shared" si="163"/>
        <v>0</v>
      </c>
      <c r="W240">
        <f t="shared" si="164"/>
        <v>0</v>
      </c>
      <c r="X240">
        <f t="shared" si="155"/>
        <v>0</v>
      </c>
      <c r="Y240">
        <f t="shared" si="165"/>
        <v>0</v>
      </c>
      <c r="Z240">
        <f t="shared" si="166"/>
        <v>0</v>
      </c>
      <c r="AA240">
        <f t="shared" si="167"/>
        <v>0</v>
      </c>
      <c r="AB240">
        <f t="shared" si="168"/>
        <v>0</v>
      </c>
      <c r="AC240" s="23">
        <f>IF(B240&gt;$AJ$2,0,HLOOKUP(YEAR(A240),Assumptions!$A$25:$AL$29,4,TRUE)/100)</f>
        <v>0</v>
      </c>
      <c r="AD240">
        <f t="shared" si="169"/>
        <v>0</v>
      </c>
      <c r="AE240">
        <f t="shared" si="170"/>
        <v>0</v>
      </c>
      <c r="AF240">
        <f t="shared" si="171"/>
        <v>0</v>
      </c>
      <c r="AG240">
        <f t="shared" si="172"/>
        <v>0</v>
      </c>
      <c r="AH240">
        <f t="shared" si="173"/>
        <v>0</v>
      </c>
      <c r="AI240">
        <f t="shared" si="174"/>
        <v>0</v>
      </c>
      <c r="AJ240">
        <f t="shared" si="175"/>
        <v>0</v>
      </c>
      <c r="AK240">
        <f t="shared" si="176"/>
        <v>0</v>
      </c>
      <c r="AL240">
        <f t="shared" si="177"/>
        <v>0</v>
      </c>
      <c r="AM240">
        <f t="shared" si="156"/>
        <v>0</v>
      </c>
      <c r="AN240">
        <f>IF($S$2=0,0,(SUMPRODUCT($K$2:$R$2,Assumptions!$B$34:$I$34)/$U$2+$J$2/$U$2*Assumptions!$A$34*G240)*K240*O239)</f>
        <v>0</v>
      </c>
      <c r="AO240">
        <f t="shared" si="178"/>
        <v>0</v>
      </c>
      <c r="AP240">
        <f t="shared" si="179"/>
        <v>0</v>
      </c>
      <c r="AQ240">
        <f>IF(B240&gt;$AJ$2,0,AQ239*(1+Assumptions!$B$43)^(1/12))</f>
        <v>0</v>
      </c>
      <c r="AR240" s="27">
        <f>IF(B240&gt;$AJ$2,0,(O239+R239)*Assumptions!$B$39/12*AQ239+AV240*Assumptions!$B$41/12)</f>
        <v>0</v>
      </c>
      <c r="AS240">
        <f t="shared" si="180"/>
        <v>0</v>
      </c>
      <c r="AT240" s="28">
        <f t="shared" si="181"/>
        <v>0</v>
      </c>
      <c r="AU240">
        <f t="shared" si="182"/>
        <v>0</v>
      </c>
      <c r="AV240" s="28">
        <f t="shared" si="183"/>
        <v>0</v>
      </c>
      <c r="AW240" s="28">
        <f t="shared" si="184"/>
        <v>0</v>
      </c>
      <c r="AX240" s="23">
        <f>HLOOKUP(YEAR(A240),Assumptions!$A$25:$AL$29,2,TRUE)/100</f>
        <v>1.1739999999999999E-2</v>
      </c>
      <c r="AY240" s="29">
        <f>1/(1+HLOOKUP(YEAR(A240),Assumptions!$A$18:$AL$20,3,TRUE))^(1/12)</f>
        <v>0.99902750864006262</v>
      </c>
      <c r="AZ240" s="26">
        <f t="shared" si="185"/>
        <v>0</v>
      </c>
      <c r="BA240">
        <f t="shared" si="186"/>
        <v>0</v>
      </c>
      <c r="BB240">
        <f t="shared" si="187"/>
        <v>0</v>
      </c>
      <c r="BC240">
        <f t="shared" si="188"/>
        <v>0</v>
      </c>
    </row>
    <row r="241" spans="1:55" x14ac:dyDescent="0.2">
      <c r="A241" s="3">
        <f t="shared" si="157"/>
        <v>50099</v>
      </c>
      <c r="B241">
        <f t="shared" si="153"/>
        <v>243</v>
      </c>
      <c r="C241">
        <f t="shared" si="196"/>
        <v>20.166666666666668</v>
      </c>
      <c r="D241">
        <f t="shared" si="197"/>
        <v>0</v>
      </c>
      <c r="E241">
        <f t="shared" si="154"/>
        <v>76</v>
      </c>
      <c r="F241">
        <f>IF(C241&gt;=$T$2,0,VLOOKUP($E241,'Mortality Table'!$A$3:$C$128,2+AF$2,FALSE))</f>
        <v>0</v>
      </c>
      <c r="G241">
        <f>F241*Assumptions!$B$1</f>
        <v>0</v>
      </c>
      <c r="H241">
        <f t="shared" si="158"/>
        <v>0</v>
      </c>
      <c r="I241">
        <f t="shared" si="191"/>
        <v>0</v>
      </c>
      <c r="J241">
        <f>IF(B241&gt;$AJ$2,0,HLOOKUP(C241,Assumptions!$A$6:$J$7,2,TRUE))</f>
        <v>0</v>
      </c>
      <c r="K241" s="4">
        <f t="shared" si="192"/>
        <v>0</v>
      </c>
      <c r="L241" s="4">
        <f t="shared" si="159"/>
        <v>0</v>
      </c>
      <c r="M241" s="4">
        <f t="shared" si="193"/>
        <v>0</v>
      </c>
      <c r="N241">
        <f t="shared" si="160"/>
        <v>0</v>
      </c>
      <c r="O241" s="21">
        <f t="shared" si="194"/>
        <v>0</v>
      </c>
      <c r="P241">
        <f>IF(B241&gt;$AJ$2,0,HLOOKUP(C241,Assumptions!$A$12:$J$13,2,TRUE))</f>
        <v>0</v>
      </c>
      <c r="Q241">
        <f t="shared" si="195"/>
        <v>0</v>
      </c>
      <c r="R241">
        <f t="shared" si="161"/>
        <v>0</v>
      </c>
      <c r="S241">
        <f t="shared" si="189"/>
        <v>0</v>
      </c>
      <c r="T241">
        <f t="shared" si="190"/>
        <v>0</v>
      </c>
      <c r="U241">
        <f t="shared" si="162"/>
        <v>0</v>
      </c>
      <c r="V241">
        <f t="shared" si="163"/>
        <v>0</v>
      </c>
      <c r="W241">
        <f t="shared" si="164"/>
        <v>0</v>
      </c>
      <c r="X241">
        <f t="shared" si="155"/>
        <v>0</v>
      </c>
      <c r="Y241">
        <f t="shared" si="165"/>
        <v>0</v>
      </c>
      <c r="Z241">
        <f t="shared" si="166"/>
        <v>0</v>
      </c>
      <c r="AA241">
        <f t="shared" si="167"/>
        <v>0</v>
      </c>
      <c r="AB241">
        <f t="shared" si="168"/>
        <v>0</v>
      </c>
      <c r="AC241" s="23">
        <f>IF(B241&gt;$AJ$2,0,HLOOKUP(YEAR(A241),Assumptions!$A$25:$AL$29,4,TRUE)/100)</f>
        <v>0</v>
      </c>
      <c r="AD241">
        <f t="shared" si="169"/>
        <v>0</v>
      </c>
      <c r="AE241">
        <f t="shared" si="170"/>
        <v>0</v>
      </c>
      <c r="AF241">
        <f t="shared" si="171"/>
        <v>0</v>
      </c>
      <c r="AG241">
        <f t="shared" si="172"/>
        <v>0</v>
      </c>
      <c r="AH241">
        <f t="shared" si="173"/>
        <v>0</v>
      </c>
      <c r="AI241">
        <f t="shared" si="174"/>
        <v>0</v>
      </c>
      <c r="AJ241">
        <f t="shared" si="175"/>
        <v>0</v>
      </c>
      <c r="AK241">
        <f t="shared" si="176"/>
        <v>0</v>
      </c>
      <c r="AL241">
        <f t="shared" si="177"/>
        <v>0</v>
      </c>
      <c r="AM241">
        <f t="shared" si="156"/>
        <v>0</v>
      </c>
      <c r="AN241">
        <f>IF($S$2=0,0,(SUMPRODUCT($K$2:$R$2,Assumptions!$B$34:$I$34)/$U$2+$J$2/$U$2*Assumptions!$A$34*G241)*K241*O240)</f>
        <v>0</v>
      </c>
      <c r="AO241">
        <f t="shared" si="178"/>
        <v>0</v>
      </c>
      <c r="AP241">
        <f t="shared" si="179"/>
        <v>0</v>
      </c>
      <c r="AQ241">
        <f>IF(B241&gt;$AJ$2,0,AQ240*(1+Assumptions!$B$43)^(1/12))</f>
        <v>0</v>
      </c>
      <c r="AR241" s="27">
        <f>IF(B241&gt;$AJ$2,0,(O240+R240)*Assumptions!$B$39/12*AQ240+AV241*Assumptions!$B$41/12)</f>
        <v>0</v>
      </c>
      <c r="AS241">
        <f t="shared" si="180"/>
        <v>0</v>
      </c>
      <c r="AT241" s="28">
        <f t="shared" si="181"/>
        <v>0</v>
      </c>
      <c r="AU241">
        <f t="shared" si="182"/>
        <v>0</v>
      </c>
      <c r="AV241" s="28">
        <f t="shared" si="183"/>
        <v>0</v>
      </c>
      <c r="AW241" s="28">
        <f t="shared" si="184"/>
        <v>0</v>
      </c>
      <c r="AX241" s="23">
        <f>HLOOKUP(YEAR(A241),Assumptions!$A$25:$AL$29,2,TRUE)/100</f>
        <v>1.1739999999999999E-2</v>
      </c>
      <c r="AY241" s="29">
        <f>1/(1+HLOOKUP(YEAR(A241),Assumptions!$A$18:$AL$20,3,TRUE))^(1/12)</f>
        <v>0.99902750864006262</v>
      </c>
      <c r="AZ241" s="26">
        <f t="shared" si="185"/>
        <v>0</v>
      </c>
      <c r="BA241">
        <f t="shared" si="186"/>
        <v>0</v>
      </c>
      <c r="BB241">
        <f t="shared" si="187"/>
        <v>0</v>
      </c>
      <c r="BC241">
        <f t="shared" si="188"/>
        <v>0</v>
      </c>
    </row>
    <row r="242" spans="1:55" x14ac:dyDescent="0.2">
      <c r="A242" s="3">
        <f t="shared" si="157"/>
        <v>50130</v>
      </c>
      <c r="B242">
        <f t="shared" si="153"/>
        <v>244</v>
      </c>
      <c r="C242">
        <f t="shared" si="196"/>
        <v>20.25</v>
      </c>
      <c r="D242">
        <f t="shared" si="197"/>
        <v>0</v>
      </c>
      <c r="E242">
        <f t="shared" si="154"/>
        <v>76</v>
      </c>
      <c r="F242">
        <f>IF(C242&gt;=$T$2,0,VLOOKUP($E242,'Mortality Table'!$A$3:$C$128,2+AF$2,FALSE))</f>
        <v>0</v>
      </c>
      <c r="G242">
        <f>F242*Assumptions!$B$1</f>
        <v>0</v>
      </c>
      <c r="H242">
        <f t="shared" si="158"/>
        <v>0</v>
      </c>
      <c r="I242">
        <f t="shared" si="191"/>
        <v>0</v>
      </c>
      <c r="J242">
        <f>IF(B242&gt;$AJ$2,0,HLOOKUP(C242,Assumptions!$A$6:$J$7,2,TRUE))</f>
        <v>0</v>
      </c>
      <c r="K242" s="4">
        <f t="shared" si="192"/>
        <v>0</v>
      </c>
      <c r="L242" s="4">
        <f t="shared" si="159"/>
        <v>0</v>
      </c>
      <c r="M242" s="4">
        <f t="shared" si="193"/>
        <v>0</v>
      </c>
      <c r="N242">
        <f t="shared" si="160"/>
        <v>0</v>
      </c>
      <c r="O242" s="21">
        <f t="shared" si="194"/>
        <v>0</v>
      </c>
      <c r="P242">
        <f>IF(B242&gt;$AJ$2,0,HLOOKUP(C242,Assumptions!$A$12:$J$13,2,TRUE))</f>
        <v>0</v>
      </c>
      <c r="Q242">
        <f t="shared" si="195"/>
        <v>0</v>
      </c>
      <c r="R242">
        <f t="shared" si="161"/>
        <v>0</v>
      </c>
      <c r="S242">
        <f t="shared" si="189"/>
        <v>0</v>
      </c>
      <c r="T242">
        <f t="shared" si="190"/>
        <v>0</v>
      </c>
      <c r="U242">
        <f t="shared" si="162"/>
        <v>0</v>
      </c>
      <c r="V242">
        <f t="shared" si="163"/>
        <v>0</v>
      </c>
      <c r="W242">
        <f t="shared" si="164"/>
        <v>0</v>
      </c>
      <c r="X242">
        <f t="shared" si="155"/>
        <v>0</v>
      </c>
      <c r="Y242">
        <f t="shared" si="165"/>
        <v>0</v>
      </c>
      <c r="Z242">
        <f t="shared" si="166"/>
        <v>0</v>
      </c>
      <c r="AA242">
        <f t="shared" si="167"/>
        <v>0</v>
      </c>
      <c r="AB242">
        <f t="shared" si="168"/>
        <v>0</v>
      </c>
      <c r="AC242" s="23">
        <f>IF(B242&gt;$AJ$2,0,HLOOKUP(YEAR(A242),Assumptions!$A$25:$AL$29,4,TRUE)/100)</f>
        <v>0</v>
      </c>
      <c r="AD242">
        <f t="shared" si="169"/>
        <v>0</v>
      </c>
      <c r="AE242">
        <f t="shared" si="170"/>
        <v>0</v>
      </c>
      <c r="AF242">
        <f t="shared" si="171"/>
        <v>0</v>
      </c>
      <c r="AG242">
        <f t="shared" si="172"/>
        <v>0</v>
      </c>
      <c r="AH242">
        <f t="shared" si="173"/>
        <v>0</v>
      </c>
      <c r="AI242">
        <f t="shared" si="174"/>
        <v>0</v>
      </c>
      <c r="AJ242">
        <f t="shared" si="175"/>
        <v>0</v>
      </c>
      <c r="AK242">
        <f t="shared" si="176"/>
        <v>0</v>
      </c>
      <c r="AL242">
        <f t="shared" si="177"/>
        <v>0</v>
      </c>
      <c r="AM242">
        <f t="shared" si="156"/>
        <v>0</v>
      </c>
      <c r="AN242">
        <f>IF($S$2=0,0,(SUMPRODUCT($K$2:$R$2,Assumptions!$B$34:$I$34)/$U$2+$J$2/$U$2*Assumptions!$A$34*G242)*K242*O241)</f>
        <v>0</v>
      </c>
      <c r="AO242">
        <f t="shared" si="178"/>
        <v>0</v>
      </c>
      <c r="AP242">
        <f t="shared" si="179"/>
        <v>0</v>
      </c>
      <c r="AQ242">
        <f>IF(B242&gt;$AJ$2,0,AQ241*(1+Assumptions!$B$43)^(1/12))</f>
        <v>0</v>
      </c>
      <c r="AR242" s="27">
        <f>IF(B242&gt;$AJ$2,0,(O241+R241)*Assumptions!$B$39/12*AQ241+AV242*Assumptions!$B$41/12)</f>
        <v>0</v>
      </c>
      <c r="AS242">
        <f t="shared" si="180"/>
        <v>0</v>
      </c>
      <c r="AT242" s="28">
        <f t="shared" si="181"/>
        <v>0</v>
      </c>
      <c r="AU242">
        <f t="shared" si="182"/>
        <v>0</v>
      </c>
      <c r="AV242" s="28">
        <f t="shared" si="183"/>
        <v>0</v>
      </c>
      <c r="AW242" s="28">
        <f t="shared" si="184"/>
        <v>0</v>
      </c>
      <c r="AX242" s="23">
        <f>HLOOKUP(YEAR(A242),Assumptions!$A$25:$AL$29,2,TRUE)/100</f>
        <v>1.1739999999999999E-2</v>
      </c>
      <c r="AY242" s="29">
        <f>1/(1+HLOOKUP(YEAR(A242),Assumptions!$A$18:$AL$20,3,TRUE))^(1/12)</f>
        <v>0.99902750864006262</v>
      </c>
      <c r="AZ242" s="26">
        <f t="shared" si="185"/>
        <v>0</v>
      </c>
      <c r="BA242">
        <f t="shared" si="186"/>
        <v>0</v>
      </c>
      <c r="BB242">
        <f t="shared" si="187"/>
        <v>0</v>
      </c>
      <c r="BC242">
        <f t="shared" si="188"/>
        <v>0</v>
      </c>
    </row>
    <row r="243" spans="1:55" x14ac:dyDescent="0.2">
      <c r="A243" s="3">
        <f t="shared" si="157"/>
        <v>50160</v>
      </c>
      <c r="B243">
        <f t="shared" si="153"/>
        <v>245</v>
      </c>
      <c r="C243">
        <f t="shared" si="196"/>
        <v>20.333333333333332</v>
      </c>
      <c r="D243">
        <f t="shared" si="197"/>
        <v>0</v>
      </c>
      <c r="E243">
        <f t="shared" si="154"/>
        <v>76</v>
      </c>
      <c r="F243">
        <f>IF(C243&gt;=$T$2,0,VLOOKUP($E243,'Mortality Table'!$A$3:$C$128,2+AF$2,FALSE))</f>
        <v>0</v>
      </c>
      <c r="G243">
        <f>F243*Assumptions!$B$1</f>
        <v>0</v>
      </c>
      <c r="H243">
        <f t="shared" si="158"/>
        <v>0</v>
      </c>
      <c r="I243">
        <f t="shared" si="191"/>
        <v>0</v>
      </c>
      <c r="J243">
        <f>IF(B243&gt;$AJ$2,0,HLOOKUP(C243,Assumptions!$A$6:$J$7,2,TRUE))</f>
        <v>0</v>
      </c>
      <c r="K243" s="4">
        <f t="shared" si="192"/>
        <v>0</v>
      </c>
      <c r="L243" s="4">
        <f t="shared" si="159"/>
        <v>0</v>
      </c>
      <c r="M243" s="4">
        <f t="shared" si="193"/>
        <v>0</v>
      </c>
      <c r="N243">
        <f t="shared" si="160"/>
        <v>0</v>
      </c>
      <c r="O243" s="21">
        <f t="shared" si="194"/>
        <v>0</v>
      </c>
      <c r="P243">
        <f>IF(B243&gt;$AJ$2,0,HLOOKUP(C243,Assumptions!$A$12:$J$13,2,TRUE))</f>
        <v>0</v>
      </c>
      <c r="Q243">
        <f t="shared" si="195"/>
        <v>0</v>
      </c>
      <c r="R243">
        <f t="shared" si="161"/>
        <v>0</v>
      </c>
      <c r="S243">
        <f t="shared" si="189"/>
        <v>0</v>
      </c>
      <c r="T243">
        <f t="shared" si="190"/>
        <v>0</v>
      </c>
      <c r="U243">
        <f t="shared" si="162"/>
        <v>0</v>
      </c>
      <c r="V243">
        <f t="shared" si="163"/>
        <v>0</v>
      </c>
      <c r="W243">
        <f t="shared" si="164"/>
        <v>0</v>
      </c>
      <c r="X243">
        <f t="shared" si="155"/>
        <v>0</v>
      </c>
      <c r="Y243">
        <f t="shared" si="165"/>
        <v>0</v>
      </c>
      <c r="Z243">
        <f t="shared" si="166"/>
        <v>0</v>
      </c>
      <c r="AA243">
        <f t="shared" si="167"/>
        <v>0</v>
      </c>
      <c r="AB243">
        <f t="shared" si="168"/>
        <v>0</v>
      </c>
      <c r="AC243" s="23">
        <f>IF(B243&gt;$AJ$2,0,HLOOKUP(YEAR(A243),Assumptions!$A$25:$AL$29,4,TRUE)/100)</f>
        <v>0</v>
      </c>
      <c r="AD243">
        <f t="shared" si="169"/>
        <v>0</v>
      </c>
      <c r="AE243">
        <f t="shared" si="170"/>
        <v>0</v>
      </c>
      <c r="AF243">
        <f t="shared" si="171"/>
        <v>0</v>
      </c>
      <c r="AG243">
        <f t="shared" si="172"/>
        <v>0</v>
      </c>
      <c r="AH243">
        <f t="shared" si="173"/>
        <v>0</v>
      </c>
      <c r="AI243">
        <f t="shared" si="174"/>
        <v>0</v>
      </c>
      <c r="AJ243">
        <f t="shared" si="175"/>
        <v>0</v>
      </c>
      <c r="AK243">
        <f t="shared" si="176"/>
        <v>0</v>
      </c>
      <c r="AL243">
        <f t="shared" si="177"/>
        <v>0</v>
      </c>
      <c r="AM243">
        <f t="shared" si="156"/>
        <v>0</v>
      </c>
      <c r="AN243">
        <f>IF($S$2=0,0,(SUMPRODUCT($K$2:$R$2,Assumptions!$B$34:$I$34)/$U$2+$J$2/$U$2*Assumptions!$A$34*G243)*K243*O242)</f>
        <v>0</v>
      </c>
      <c r="AO243">
        <f t="shared" si="178"/>
        <v>0</v>
      </c>
      <c r="AP243">
        <f t="shared" si="179"/>
        <v>0</v>
      </c>
      <c r="AQ243">
        <f>IF(B243&gt;$AJ$2,0,AQ242*(1+Assumptions!$B$43)^(1/12))</f>
        <v>0</v>
      </c>
      <c r="AR243" s="27">
        <f>IF(B243&gt;$AJ$2,0,(O242+R242)*Assumptions!$B$39/12*AQ242+AV243*Assumptions!$B$41/12)</f>
        <v>0</v>
      </c>
      <c r="AS243">
        <f t="shared" si="180"/>
        <v>0</v>
      </c>
      <c r="AT243" s="28">
        <f t="shared" si="181"/>
        <v>0</v>
      </c>
      <c r="AU243">
        <f t="shared" si="182"/>
        <v>0</v>
      </c>
      <c r="AV243" s="28">
        <f t="shared" si="183"/>
        <v>0</v>
      </c>
      <c r="AW243" s="28">
        <f t="shared" si="184"/>
        <v>0</v>
      </c>
      <c r="AX243" s="23">
        <f>HLOOKUP(YEAR(A243),Assumptions!$A$25:$AL$29,2,TRUE)/100</f>
        <v>1.1739999999999999E-2</v>
      </c>
      <c r="AY243" s="29">
        <f>1/(1+HLOOKUP(YEAR(A243),Assumptions!$A$18:$AL$20,3,TRUE))^(1/12)</f>
        <v>0.99902750864006262</v>
      </c>
      <c r="AZ243" s="26">
        <f t="shared" si="185"/>
        <v>0</v>
      </c>
      <c r="BA243">
        <f t="shared" si="186"/>
        <v>0</v>
      </c>
      <c r="BB243">
        <f t="shared" si="187"/>
        <v>0</v>
      </c>
      <c r="BC243">
        <f t="shared" si="188"/>
        <v>0</v>
      </c>
    </row>
    <row r="244" spans="1:55" x14ac:dyDescent="0.2">
      <c r="A244" s="3">
        <f t="shared" si="157"/>
        <v>50191</v>
      </c>
      <c r="B244">
        <f t="shared" si="153"/>
        <v>246</v>
      </c>
      <c r="C244">
        <f t="shared" si="196"/>
        <v>20.416666666666668</v>
      </c>
      <c r="D244">
        <f t="shared" si="197"/>
        <v>0</v>
      </c>
      <c r="E244">
        <f t="shared" si="154"/>
        <v>76</v>
      </c>
      <c r="F244">
        <f>IF(C244&gt;=$T$2,0,VLOOKUP($E244,'Mortality Table'!$A$3:$C$128,2+AF$2,FALSE))</f>
        <v>0</v>
      </c>
      <c r="G244">
        <f>F244*Assumptions!$B$1</f>
        <v>0</v>
      </c>
      <c r="H244">
        <f t="shared" si="158"/>
        <v>0</v>
      </c>
      <c r="I244">
        <f t="shared" si="191"/>
        <v>0</v>
      </c>
      <c r="J244">
        <f>IF(B244&gt;$AJ$2,0,HLOOKUP(C244,Assumptions!$A$6:$J$7,2,TRUE))</f>
        <v>0</v>
      </c>
      <c r="K244" s="4">
        <f t="shared" si="192"/>
        <v>0</v>
      </c>
      <c r="L244" s="4">
        <f t="shared" si="159"/>
        <v>0</v>
      </c>
      <c r="M244" s="4">
        <f t="shared" si="193"/>
        <v>0</v>
      </c>
      <c r="N244">
        <f t="shared" si="160"/>
        <v>0</v>
      </c>
      <c r="O244" s="21">
        <f t="shared" si="194"/>
        <v>0</v>
      </c>
      <c r="P244">
        <f>IF(B244&gt;$AJ$2,0,HLOOKUP(C244,Assumptions!$A$12:$J$13,2,TRUE))</f>
        <v>0</v>
      </c>
      <c r="Q244">
        <f t="shared" si="195"/>
        <v>0</v>
      </c>
      <c r="R244">
        <f t="shared" si="161"/>
        <v>0</v>
      </c>
      <c r="S244">
        <f t="shared" si="189"/>
        <v>0</v>
      </c>
      <c r="T244">
        <f t="shared" si="190"/>
        <v>0</v>
      </c>
      <c r="U244">
        <f t="shared" si="162"/>
        <v>0</v>
      </c>
      <c r="V244">
        <f t="shared" si="163"/>
        <v>0</v>
      </c>
      <c r="W244">
        <f t="shared" si="164"/>
        <v>0</v>
      </c>
      <c r="X244">
        <f t="shared" si="155"/>
        <v>0</v>
      </c>
      <c r="Y244">
        <f t="shared" si="165"/>
        <v>0</v>
      </c>
      <c r="Z244">
        <f t="shared" si="166"/>
        <v>0</v>
      </c>
      <c r="AA244">
        <f t="shared" si="167"/>
        <v>0</v>
      </c>
      <c r="AB244">
        <f t="shared" si="168"/>
        <v>0</v>
      </c>
      <c r="AC244" s="23">
        <f>IF(B244&gt;$AJ$2,0,HLOOKUP(YEAR(A244),Assumptions!$A$25:$AL$29,4,TRUE)/100)</f>
        <v>0</v>
      </c>
      <c r="AD244">
        <f t="shared" si="169"/>
        <v>0</v>
      </c>
      <c r="AE244">
        <f t="shared" si="170"/>
        <v>0</v>
      </c>
      <c r="AF244">
        <f t="shared" si="171"/>
        <v>0</v>
      </c>
      <c r="AG244">
        <f t="shared" si="172"/>
        <v>0</v>
      </c>
      <c r="AH244">
        <f t="shared" si="173"/>
        <v>0</v>
      </c>
      <c r="AI244">
        <f t="shared" si="174"/>
        <v>0</v>
      </c>
      <c r="AJ244">
        <f t="shared" si="175"/>
        <v>0</v>
      </c>
      <c r="AK244">
        <f t="shared" si="176"/>
        <v>0</v>
      </c>
      <c r="AL244">
        <f t="shared" si="177"/>
        <v>0</v>
      </c>
      <c r="AM244">
        <f t="shared" si="156"/>
        <v>0</v>
      </c>
      <c r="AN244">
        <f>IF($S$2=0,0,(SUMPRODUCT($K$2:$R$2,Assumptions!$B$34:$I$34)/$U$2+$J$2/$U$2*Assumptions!$A$34*G244)*K244*O243)</f>
        <v>0</v>
      </c>
      <c r="AO244">
        <f t="shared" si="178"/>
        <v>0</v>
      </c>
      <c r="AP244">
        <f t="shared" si="179"/>
        <v>0</v>
      </c>
      <c r="AQ244">
        <f>IF(B244&gt;$AJ$2,0,AQ243*(1+Assumptions!$B$43)^(1/12))</f>
        <v>0</v>
      </c>
      <c r="AR244" s="27">
        <f>IF(B244&gt;$AJ$2,0,(O243+R243)*Assumptions!$B$39/12*AQ243+AV244*Assumptions!$B$41/12)</f>
        <v>0</v>
      </c>
      <c r="AS244">
        <f t="shared" si="180"/>
        <v>0</v>
      </c>
      <c r="AT244" s="28">
        <f t="shared" si="181"/>
        <v>0</v>
      </c>
      <c r="AU244">
        <f t="shared" si="182"/>
        <v>0</v>
      </c>
      <c r="AV244" s="28">
        <f t="shared" si="183"/>
        <v>0</v>
      </c>
      <c r="AW244" s="28">
        <f t="shared" si="184"/>
        <v>0</v>
      </c>
      <c r="AX244" s="23">
        <f>HLOOKUP(YEAR(A244),Assumptions!$A$25:$AL$29,2,TRUE)/100</f>
        <v>1.1739999999999999E-2</v>
      </c>
      <c r="AY244" s="29">
        <f>1/(1+HLOOKUP(YEAR(A244),Assumptions!$A$18:$AL$20,3,TRUE))^(1/12)</f>
        <v>0.99902750864006262</v>
      </c>
      <c r="AZ244" s="26">
        <f t="shared" si="185"/>
        <v>0</v>
      </c>
      <c r="BA244">
        <f t="shared" si="186"/>
        <v>0</v>
      </c>
      <c r="BB244">
        <f t="shared" si="187"/>
        <v>0</v>
      </c>
      <c r="BC244">
        <f t="shared" si="188"/>
        <v>0</v>
      </c>
    </row>
    <row r="245" spans="1:55" x14ac:dyDescent="0.2">
      <c r="A245" s="3">
        <f t="shared" si="157"/>
        <v>50221</v>
      </c>
      <c r="B245">
        <f t="shared" si="153"/>
        <v>247</v>
      </c>
      <c r="C245">
        <f t="shared" si="196"/>
        <v>20.5</v>
      </c>
      <c r="D245">
        <f t="shared" si="197"/>
        <v>0</v>
      </c>
      <c r="E245">
        <f t="shared" si="154"/>
        <v>76</v>
      </c>
      <c r="F245">
        <f>IF(C245&gt;=$T$2,0,VLOOKUP($E245,'Mortality Table'!$A$3:$C$128,2+AF$2,FALSE))</f>
        <v>0</v>
      </c>
      <c r="G245">
        <f>F245*Assumptions!$B$1</f>
        <v>0</v>
      </c>
      <c r="H245">
        <f t="shared" si="158"/>
        <v>0</v>
      </c>
      <c r="I245">
        <f t="shared" si="191"/>
        <v>0</v>
      </c>
      <c r="J245">
        <f>IF(B245&gt;$AJ$2,0,HLOOKUP(C245,Assumptions!$A$6:$J$7,2,TRUE))</f>
        <v>0</v>
      </c>
      <c r="K245" s="4">
        <f t="shared" si="192"/>
        <v>0</v>
      </c>
      <c r="L245" s="4">
        <f t="shared" si="159"/>
        <v>0</v>
      </c>
      <c r="M245" s="4">
        <f t="shared" si="193"/>
        <v>0</v>
      </c>
      <c r="N245">
        <f t="shared" si="160"/>
        <v>0</v>
      </c>
      <c r="O245" s="21">
        <f t="shared" si="194"/>
        <v>0</v>
      </c>
      <c r="P245">
        <f>IF(B245&gt;$AJ$2,0,HLOOKUP(C245,Assumptions!$A$12:$J$13,2,TRUE))</f>
        <v>0</v>
      </c>
      <c r="Q245">
        <f t="shared" si="195"/>
        <v>0</v>
      </c>
      <c r="R245">
        <f t="shared" si="161"/>
        <v>0</v>
      </c>
      <c r="S245">
        <f t="shared" si="189"/>
        <v>0</v>
      </c>
      <c r="T245">
        <f t="shared" si="190"/>
        <v>0</v>
      </c>
      <c r="U245">
        <f t="shared" si="162"/>
        <v>0</v>
      </c>
      <c r="V245">
        <f t="shared" si="163"/>
        <v>0</v>
      </c>
      <c r="W245">
        <f t="shared" si="164"/>
        <v>0</v>
      </c>
      <c r="X245">
        <f t="shared" si="155"/>
        <v>0</v>
      </c>
      <c r="Y245">
        <f t="shared" si="165"/>
        <v>0</v>
      </c>
      <c r="Z245">
        <f t="shared" si="166"/>
        <v>0</v>
      </c>
      <c r="AA245">
        <f t="shared" si="167"/>
        <v>0</v>
      </c>
      <c r="AB245">
        <f t="shared" si="168"/>
        <v>0</v>
      </c>
      <c r="AC245" s="23">
        <f>IF(B245&gt;$AJ$2,0,HLOOKUP(YEAR(A245),Assumptions!$A$25:$AL$29,4,TRUE)/100)</f>
        <v>0</v>
      </c>
      <c r="AD245">
        <f t="shared" si="169"/>
        <v>0</v>
      </c>
      <c r="AE245">
        <f t="shared" si="170"/>
        <v>0</v>
      </c>
      <c r="AF245">
        <f t="shared" si="171"/>
        <v>0</v>
      </c>
      <c r="AG245">
        <f t="shared" si="172"/>
        <v>0</v>
      </c>
      <c r="AH245">
        <f t="shared" si="173"/>
        <v>0</v>
      </c>
      <c r="AI245">
        <f t="shared" si="174"/>
        <v>0</v>
      </c>
      <c r="AJ245">
        <f t="shared" si="175"/>
        <v>0</v>
      </c>
      <c r="AK245">
        <f t="shared" si="176"/>
        <v>0</v>
      </c>
      <c r="AL245">
        <f t="shared" si="177"/>
        <v>0</v>
      </c>
      <c r="AM245">
        <f t="shared" si="156"/>
        <v>0</v>
      </c>
      <c r="AN245">
        <f>IF($S$2=0,0,(SUMPRODUCT($K$2:$R$2,Assumptions!$B$34:$I$34)/$U$2+$J$2/$U$2*Assumptions!$A$34*G245)*K245*O244)</f>
        <v>0</v>
      </c>
      <c r="AO245">
        <f t="shared" si="178"/>
        <v>0</v>
      </c>
      <c r="AP245">
        <f t="shared" si="179"/>
        <v>0</v>
      </c>
      <c r="AQ245">
        <f>IF(B245&gt;$AJ$2,0,AQ244*(1+Assumptions!$B$43)^(1/12))</f>
        <v>0</v>
      </c>
      <c r="AR245" s="27">
        <f>IF(B245&gt;$AJ$2,0,(O244+R244)*Assumptions!$B$39/12*AQ244+AV245*Assumptions!$B$41/12)</f>
        <v>0</v>
      </c>
      <c r="AS245">
        <f t="shared" si="180"/>
        <v>0</v>
      </c>
      <c r="AT245" s="28">
        <f t="shared" si="181"/>
        <v>0</v>
      </c>
      <c r="AU245">
        <f t="shared" si="182"/>
        <v>0</v>
      </c>
      <c r="AV245" s="28">
        <f t="shared" si="183"/>
        <v>0</v>
      </c>
      <c r="AW245" s="28">
        <f t="shared" si="184"/>
        <v>0</v>
      </c>
      <c r="AX245" s="23">
        <f>HLOOKUP(YEAR(A245),Assumptions!$A$25:$AL$29,2,TRUE)/100</f>
        <v>1.1739999999999999E-2</v>
      </c>
      <c r="AY245" s="29">
        <f>1/(1+HLOOKUP(YEAR(A245),Assumptions!$A$18:$AL$20,3,TRUE))^(1/12)</f>
        <v>0.99902750864006262</v>
      </c>
      <c r="AZ245" s="26">
        <f t="shared" si="185"/>
        <v>0</v>
      </c>
      <c r="BA245">
        <f t="shared" si="186"/>
        <v>0</v>
      </c>
      <c r="BB245">
        <f t="shared" si="187"/>
        <v>0</v>
      </c>
      <c r="BC245">
        <f t="shared" si="188"/>
        <v>0</v>
      </c>
    </row>
    <row r="246" spans="1:55" x14ac:dyDescent="0.2">
      <c r="A246" s="3">
        <f t="shared" si="157"/>
        <v>50252</v>
      </c>
      <c r="B246">
        <f t="shared" si="153"/>
        <v>248</v>
      </c>
      <c r="C246">
        <f t="shared" si="196"/>
        <v>20.583333333333332</v>
      </c>
      <c r="D246">
        <f t="shared" si="197"/>
        <v>0</v>
      </c>
      <c r="E246">
        <f t="shared" si="154"/>
        <v>76</v>
      </c>
      <c r="F246">
        <f>IF(C246&gt;=$T$2,0,VLOOKUP($E246,'Mortality Table'!$A$3:$C$128,2+AF$2,FALSE))</f>
        <v>0</v>
      </c>
      <c r="G246">
        <f>F246*Assumptions!$B$1</f>
        <v>0</v>
      </c>
      <c r="H246">
        <f t="shared" si="158"/>
        <v>0</v>
      </c>
      <c r="I246">
        <f t="shared" si="191"/>
        <v>0</v>
      </c>
      <c r="J246">
        <f>IF(B246&gt;$AJ$2,0,HLOOKUP(C246,Assumptions!$A$6:$J$7,2,TRUE))</f>
        <v>0</v>
      </c>
      <c r="K246" s="4">
        <f t="shared" si="192"/>
        <v>0</v>
      </c>
      <c r="L246" s="4">
        <f t="shared" si="159"/>
        <v>0</v>
      </c>
      <c r="M246" s="4">
        <f t="shared" si="193"/>
        <v>0</v>
      </c>
      <c r="N246">
        <f t="shared" si="160"/>
        <v>0</v>
      </c>
      <c r="O246" s="21">
        <f t="shared" si="194"/>
        <v>0</v>
      </c>
      <c r="P246">
        <f>IF(B246&gt;$AJ$2,0,HLOOKUP(C246,Assumptions!$A$12:$J$13,2,TRUE))</f>
        <v>0</v>
      </c>
      <c r="Q246">
        <f t="shared" si="195"/>
        <v>0</v>
      </c>
      <c r="R246">
        <f t="shared" si="161"/>
        <v>0</v>
      </c>
      <c r="S246">
        <f t="shared" si="189"/>
        <v>0</v>
      </c>
      <c r="T246">
        <f t="shared" si="190"/>
        <v>0</v>
      </c>
      <c r="U246">
        <f t="shared" si="162"/>
        <v>0</v>
      </c>
      <c r="V246">
        <f t="shared" si="163"/>
        <v>0</v>
      </c>
      <c r="W246">
        <f t="shared" si="164"/>
        <v>0</v>
      </c>
      <c r="X246">
        <f t="shared" si="155"/>
        <v>0</v>
      </c>
      <c r="Y246">
        <f t="shared" si="165"/>
        <v>0</v>
      </c>
      <c r="Z246">
        <f t="shared" si="166"/>
        <v>0</v>
      </c>
      <c r="AA246">
        <f t="shared" si="167"/>
        <v>0</v>
      </c>
      <c r="AB246">
        <f t="shared" si="168"/>
        <v>0</v>
      </c>
      <c r="AC246" s="23">
        <f>IF(B246&gt;$AJ$2,0,HLOOKUP(YEAR(A246),Assumptions!$A$25:$AL$29,4,TRUE)/100)</f>
        <v>0</v>
      </c>
      <c r="AD246">
        <f t="shared" si="169"/>
        <v>0</v>
      </c>
      <c r="AE246">
        <f t="shared" si="170"/>
        <v>0</v>
      </c>
      <c r="AF246">
        <f t="shared" si="171"/>
        <v>0</v>
      </c>
      <c r="AG246">
        <f t="shared" si="172"/>
        <v>0</v>
      </c>
      <c r="AH246">
        <f t="shared" si="173"/>
        <v>0</v>
      </c>
      <c r="AI246">
        <f t="shared" si="174"/>
        <v>0</v>
      </c>
      <c r="AJ246">
        <f t="shared" si="175"/>
        <v>0</v>
      </c>
      <c r="AK246">
        <f t="shared" si="176"/>
        <v>0</v>
      </c>
      <c r="AL246">
        <f t="shared" si="177"/>
        <v>0</v>
      </c>
      <c r="AM246">
        <f t="shared" si="156"/>
        <v>0</v>
      </c>
      <c r="AN246">
        <f>IF($S$2=0,0,(SUMPRODUCT($K$2:$R$2,Assumptions!$B$34:$I$34)/$U$2+$J$2/$U$2*Assumptions!$A$34*G246)*K246*O245)</f>
        <v>0</v>
      </c>
      <c r="AO246">
        <f t="shared" si="178"/>
        <v>0</v>
      </c>
      <c r="AP246">
        <f t="shared" si="179"/>
        <v>0</v>
      </c>
      <c r="AQ246">
        <f>IF(B246&gt;$AJ$2,0,AQ245*(1+Assumptions!$B$43)^(1/12))</f>
        <v>0</v>
      </c>
      <c r="AR246" s="27">
        <f>IF(B246&gt;$AJ$2,0,(O245+R245)*Assumptions!$B$39/12*AQ245+AV246*Assumptions!$B$41/12)</f>
        <v>0</v>
      </c>
      <c r="AS246">
        <f t="shared" si="180"/>
        <v>0</v>
      </c>
      <c r="AT246" s="28">
        <f t="shared" si="181"/>
        <v>0</v>
      </c>
      <c r="AU246">
        <f t="shared" si="182"/>
        <v>0</v>
      </c>
      <c r="AV246" s="28">
        <f t="shared" si="183"/>
        <v>0</v>
      </c>
      <c r="AW246" s="28">
        <f t="shared" si="184"/>
        <v>0</v>
      </c>
      <c r="AX246" s="23">
        <f>HLOOKUP(YEAR(A246),Assumptions!$A$25:$AL$29,2,TRUE)/100</f>
        <v>1.1739999999999999E-2</v>
      </c>
      <c r="AY246" s="29">
        <f>1/(1+HLOOKUP(YEAR(A246),Assumptions!$A$18:$AL$20,3,TRUE))^(1/12)</f>
        <v>0.99902750864006262</v>
      </c>
      <c r="AZ246" s="26">
        <f t="shared" si="185"/>
        <v>0</v>
      </c>
      <c r="BA246">
        <f t="shared" si="186"/>
        <v>0</v>
      </c>
      <c r="BB246">
        <f t="shared" si="187"/>
        <v>0</v>
      </c>
      <c r="BC246">
        <f t="shared" si="188"/>
        <v>0</v>
      </c>
    </row>
    <row r="247" spans="1:55" x14ac:dyDescent="0.2">
      <c r="A247" s="3">
        <f t="shared" si="157"/>
        <v>50283</v>
      </c>
      <c r="B247">
        <f t="shared" si="153"/>
        <v>249</v>
      </c>
      <c r="C247">
        <f t="shared" si="196"/>
        <v>20.666666666666668</v>
      </c>
      <c r="D247">
        <f t="shared" si="197"/>
        <v>0</v>
      </c>
      <c r="E247">
        <f t="shared" si="154"/>
        <v>76</v>
      </c>
      <c r="F247">
        <f>IF(C247&gt;=$T$2,0,VLOOKUP($E247,'Mortality Table'!$A$3:$C$128,2+AF$2,FALSE))</f>
        <v>0</v>
      </c>
      <c r="G247">
        <f>F247*Assumptions!$B$1</f>
        <v>0</v>
      </c>
      <c r="H247">
        <f t="shared" si="158"/>
        <v>0</v>
      </c>
      <c r="I247">
        <f t="shared" si="191"/>
        <v>0</v>
      </c>
      <c r="J247">
        <f>IF(B247&gt;$AJ$2,0,HLOOKUP(C247,Assumptions!$A$6:$J$7,2,TRUE))</f>
        <v>0</v>
      </c>
      <c r="K247" s="4">
        <f t="shared" si="192"/>
        <v>0</v>
      </c>
      <c r="L247" s="4">
        <f t="shared" si="159"/>
        <v>0</v>
      </c>
      <c r="M247" s="4">
        <f t="shared" si="193"/>
        <v>0</v>
      </c>
      <c r="N247">
        <f t="shared" si="160"/>
        <v>0</v>
      </c>
      <c r="O247" s="21">
        <f t="shared" si="194"/>
        <v>0</v>
      </c>
      <c r="P247">
        <f>IF(B247&gt;$AJ$2,0,HLOOKUP(C247,Assumptions!$A$12:$J$13,2,TRUE))</f>
        <v>0</v>
      </c>
      <c r="Q247">
        <f t="shared" si="195"/>
        <v>0</v>
      </c>
      <c r="R247">
        <f t="shared" si="161"/>
        <v>0</v>
      </c>
      <c r="S247">
        <f t="shared" si="189"/>
        <v>0</v>
      </c>
      <c r="T247">
        <f t="shared" si="190"/>
        <v>0</v>
      </c>
      <c r="U247">
        <f t="shared" si="162"/>
        <v>0</v>
      </c>
      <c r="V247">
        <f t="shared" si="163"/>
        <v>0</v>
      </c>
      <c r="W247">
        <f t="shared" si="164"/>
        <v>0</v>
      </c>
      <c r="X247">
        <f t="shared" si="155"/>
        <v>0</v>
      </c>
      <c r="Y247">
        <f t="shared" si="165"/>
        <v>0</v>
      </c>
      <c r="Z247">
        <f t="shared" si="166"/>
        <v>0</v>
      </c>
      <c r="AA247">
        <f t="shared" si="167"/>
        <v>0</v>
      </c>
      <c r="AB247">
        <f t="shared" si="168"/>
        <v>0</v>
      </c>
      <c r="AC247" s="23">
        <f>IF(B247&gt;$AJ$2,0,HLOOKUP(YEAR(A247),Assumptions!$A$25:$AL$29,4,TRUE)/100)</f>
        <v>0</v>
      </c>
      <c r="AD247">
        <f t="shared" si="169"/>
        <v>0</v>
      </c>
      <c r="AE247">
        <f t="shared" si="170"/>
        <v>0</v>
      </c>
      <c r="AF247">
        <f t="shared" si="171"/>
        <v>0</v>
      </c>
      <c r="AG247">
        <f t="shared" si="172"/>
        <v>0</v>
      </c>
      <c r="AH247">
        <f t="shared" si="173"/>
        <v>0</v>
      </c>
      <c r="AI247">
        <f t="shared" si="174"/>
        <v>0</v>
      </c>
      <c r="AJ247">
        <f t="shared" si="175"/>
        <v>0</v>
      </c>
      <c r="AK247">
        <f t="shared" si="176"/>
        <v>0</v>
      </c>
      <c r="AL247">
        <f t="shared" si="177"/>
        <v>0</v>
      </c>
      <c r="AM247">
        <f t="shared" si="156"/>
        <v>0</v>
      </c>
      <c r="AN247">
        <f>IF($S$2=0,0,(SUMPRODUCT($K$2:$R$2,Assumptions!$B$34:$I$34)/$U$2+$J$2/$U$2*Assumptions!$A$34*G247)*K247*O246)</f>
        <v>0</v>
      </c>
      <c r="AO247">
        <f t="shared" si="178"/>
        <v>0</v>
      </c>
      <c r="AP247">
        <f t="shared" si="179"/>
        <v>0</v>
      </c>
      <c r="AQ247">
        <f>IF(B247&gt;$AJ$2,0,AQ246*(1+Assumptions!$B$43)^(1/12))</f>
        <v>0</v>
      </c>
      <c r="AR247" s="27">
        <f>IF(B247&gt;$AJ$2,0,(O246+R246)*Assumptions!$B$39/12*AQ246+AV247*Assumptions!$B$41/12)</f>
        <v>0</v>
      </c>
      <c r="AS247">
        <f t="shared" si="180"/>
        <v>0</v>
      </c>
      <c r="AT247" s="28">
        <f t="shared" si="181"/>
        <v>0</v>
      </c>
      <c r="AU247">
        <f t="shared" si="182"/>
        <v>0</v>
      </c>
      <c r="AV247" s="28">
        <f t="shared" si="183"/>
        <v>0</v>
      </c>
      <c r="AW247" s="28">
        <f t="shared" si="184"/>
        <v>0</v>
      </c>
      <c r="AX247" s="23">
        <f>HLOOKUP(YEAR(A247),Assumptions!$A$25:$AL$29,2,TRUE)/100</f>
        <v>1.1739999999999999E-2</v>
      </c>
      <c r="AY247" s="29">
        <f>1/(1+HLOOKUP(YEAR(A247),Assumptions!$A$18:$AL$20,3,TRUE))^(1/12)</f>
        <v>0.99902750864006262</v>
      </c>
      <c r="AZ247" s="26">
        <f t="shared" si="185"/>
        <v>0</v>
      </c>
      <c r="BA247">
        <f t="shared" si="186"/>
        <v>0</v>
      </c>
      <c r="BB247">
        <f t="shared" si="187"/>
        <v>0</v>
      </c>
      <c r="BC247">
        <f t="shared" si="188"/>
        <v>0</v>
      </c>
    </row>
    <row r="248" spans="1:55" x14ac:dyDescent="0.2">
      <c r="A248" s="3">
        <f t="shared" si="157"/>
        <v>50313</v>
      </c>
      <c r="B248">
        <f t="shared" si="153"/>
        <v>250</v>
      </c>
      <c r="C248">
        <f t="shared" si="196"/>
        <v>20.75</v>
      </c>
      <c r="D248">
        <f t="shared" si="197"/>
        <v>0</v>
      </c>
      <c r="E248">
        <f t="shared" si="154"/>
        <v>76</v>
      </c>
      <c r="F248">
        <f>IF(C248&gt;=$T$2,0,VLOOKUP($E248,'Mortality Table'!$A$3:$C$128,2+AF$2,FALSE))</f>
        <v>0</v>
      </c>
      <c r="G248">
        <f>F248*Assumptions!$B$1</f>
        <v>0</v>
      </c>
      <c r="H248">
        <f t="shared" si="158"/>
        <v>0</v>
      </c>
      <c r="I248">
        <f t="shared" si="191"/>
        <v>0</v>
      </c>
      <c r="J248">
        <f>IF(B248&gt;$AJ$2,0,HLOOKUP(C248,Assumptions!$A$6:$J$7,2,TRUE))</f>
        <v>0</v>
      </c>
      <c r="K248" s="4">
        <f t="shared" si="192"/>
        <v>0</v>
      </c>
      <c r="L248" s="4">
        <f t="shared" si="159"/>
        <v>0</v>
      </c>
      <c r="M248" s="4">
        <f t="shared" si="193"/>
        <v>0</v>
      </c>
      <c r="N248">
        <f t="shared" si="160"/>
        <v>0</v>
      </c>
      <c r="O248" s="21">
        <f t="shared" si="194"/>
        <v>0</v>
      </c>
      <c r="P248">
        <f>IF(B248&gt;$AJ$2,0,HLOOKUP(C248,Assumptions!$A$12:$J$13,2,TRUE))</f>
        <v>0</v>
      </c>
      <c r="Q248">
        <f t="shared" si="195"/>
        <v>0</v>
      </c>
      <c r="R248">
        <f t="shared" si="161"/>
        <v>0</v>
      </c>
      <c r="S248">
        <f t="shared" si="189"/>
        <v>0</v>
      </c>
      <c r="T248">
        <f t="shared" si="190"/>
        <v>0</v>
      </c>
      <c r="U248">
        <f t="shared" si="162"/>
        <v>0</v>
      </c>
      <c r="V248">
        <f t="shared" si="163"/>
        <v>0</v>
      </c>
      <c r="W248">
        <f t="shared" si="164"/>
        <v>0</v>
      </c>
      <c r="X248">
        <f t="shared" si="155"/>
        <v>0</v>
      </c>
      <c r="Y248">
        <f t="shared" si="165"/>
        <v>0</v>
      </c>
      <c r="Z248">
        <f t="shared" si="166"/>
        <v>0</v>
      </c>
      <c r="AA248">
        <f t="shared" si="167"/>
        <v>0</v>
      </c>
      <c r="AB248">
        <f t="shared" si="168"/>
        <v>0</v>
      </c>
      <c r="AC248" s="23">
        <f>IF(B248&gt;$AJ$2,0,HLOOKUP(YEAR(A248),Assumptions!$A$25:$AL$29,4,TRUE)/100)</f>
        <v>0</v>
      </c>
      <c r="AD248">
        <f t="shared" si="169"/>
        <v>0</v>
      </c>
      <c r="AE248">
        <f t="shared" si="170"/>
        <v>0</v>
      </c>
      <c r="AF248">
        <f t="shared" si="171"/>
        <v>0</v>
      </c>
      <c r="AG248">
        <f t="shared" si="172"/>
        <v>0</v>
      </c>
      <c r="AH248">
        <f t="shared" si="173"/>
        <v>0</v>
      </c>
      <c r="AI248">
        <f t="shared" si="174"/>
        <v>0</v>
      </c>
      <c r="AJ248">
        <f t="shared" si="175"/>
        <v>0</v>
      </c>
      <c r="AK248">
        <f t="shared" si="176"/>
        <v>0</v>
      </c>
      <c r="AL248">
        <f t="shared" si="177"/>
        <v>0</v>
      </c>
      <c r="AM248">
        <f t="shared" si="156"/>
        <v>0</v>
      </c>
      <c r="AN248">
        <f>IF($S$2=0,0,(SUMPRODUCT($K$2:$R$2,Assumptions!$B$34:$I$34)/$U$2+$J$2/$U$2*Assumptions!$A$34*G248)*K248*O247)</f>
        <v>0</v>
      </c>
      <c r="AO248">
        <f t="shared" si="178"/>
        <v>0</v>
      </c>
      <c r="AP248">
        <f t="shared" si="179"/>
        <v>0</v>
      </c>
      <c r="AQ248">
        <f>IF(B248&gt;$AJ$2,0,AQ247*(1+Assumptions!$B$43)^(1/12))</f>
        <v>0</v>
      </c>
      <c r="AR248" s="27">
        <f>IF(B248&gt;$AJ$2,0,(O247+R247)*Assumptions!$B$39/12*AQ247+AV248*Assumptions!$B$41/12)</f>
        <v>0</v>
      </c>
      <c r="AS248">
        <f t="shared" si="180"/>
        <v>0</v>
      </c>
      <c r="AT248" s="28">
        <f t="shared" si="181"/>
        <v>0</v>
      </c>
      <c r="AU248">
        <f t="shared" si="182"/>
        <v>0</v>
      </c>
      <c r="AV248" s="28">
        <f t="shared" si="183"/>
        <v>0</v>
      </c>
      <c r="AW248" s="28">
        <f t="shared" si="184"/>
        <v>0</v>
      </c>
      <c r="AX248" s="23">
        <f>HLOOKUP(YEAR(A248),Assumptions!$A$25:$AL$29,2,TRUE)/100</f>
        <v>1.1739999999999999E-2</v>
      </c>
      <c r="AY248" s="29">
        <f>1/(1+HLOOKUP(YEAR(A248),Assumptions!$A$18:$AL$20,3,TRUE))^(1/12)</f>
        <v>0.99902750864006262</v>
      </c>
      <c r="AZ248" s="26">
        <f t="shared" si="185"/>
        <v>0</v>
      </c>
      <c r="BA248">
        <f t="shared" si="186"/>
        <v>0</v>
      </c>
      <c r="BB248">
        <f t="shared" si="187"/>
        <v>0</v>
      </c>
      <c r="BC248">
        <f t="shared" si="188"/>
        <v>0</v>
      </c>
    </row>
    <row r="249" spans="1:55" x14ac:dyDescent="0.2">
      <c r="A249" s="3">
        <f t="shared" si="157"/>
        <v>50344</v>
      </c>
      <c r="B249">
        <f t="shared" si="153"/>
        <v>251</v>
      </c>
      <c r="C249">
        <f t="shared" si="196"/>
        <v>20.833333333333332</v>
      </c>
      <c r="D249">
        <f t="shared" si="197"/>
        <v>0</v>
      </c>
      <c r="E249">
        <f t="shared" si="154"/>
        <v>76</v>
      </c>
      <c r="F249">
        <f>IF(C249&gt;=$T$2,0,VLOOKUP($E249,'Mortality Table'!$A$3:$C$128,2+AF$2,FALSE))</f>
        <v>0</v>
      </c>
      <c r="G249">
        <f>F249*Assumptions!$B$1</f>
        <v>0</v>
      </c>
      <c r="H249">
        <f t="shared" si="158"/>
        <v>0</v>
      </c>
      <c r="I249">
        <f t="shared" si="191"/>
        <v>0</v>
      </c>
      <c r="J249">
        <f>IF(B249&gt;$AJ$2,0,HLOOKUP(C249,Assumptions!$A$6:$J$7,2,TRUE))</f>
        <v>0</v>
      </c>
      <c r="K249" s="4">
        <f t="shared" si="192"/>
        <v>0</v>
      </c>
      <c r="L249" s="4">
        <f t="shared" si="159"/>
        <v>0</v>
      </c>
      <c r="M249" s="4">
        <f t="shared" si="193"/>
        <v>0</v>
      </c>
      <c r="N249">
        <f t="shared" si="160"/>
        <v>0</v>
      </c>
      <c r="O249" s="21">
        <f t="shared" si="194"/>
        <v>0</v>
      </c>
      <c r="P249">
        <f>IF(B249&gt;$AJ$2,0,HLOOKUP(C249,Assumptions!$A$12:$J$13,2,TRUE))</f>
        <v>0</v>
      </c>
      <c r="Q249">
        <f t="shared" si="195"/>
        <v>0</v>
      </c>
      <c r="R249">
        <f t="shared" si="161"/>
        <v>0</v>
      </c>
      <c r="S249">
        <f t="shared" si="189"/>
        <v>0</v>
      </c>
      <c r="T249">
        <f t="shared" si="190"/>
        <v>0</v>
      </c>
      <c r="U249">
        <f t="shared" si="162"/>
        <v>0</v>
      </c>
      <c r="V249">
        <f t="shared" si="163"/>
        <v>0</v>
      </c>
      <c r="W249">
        <f t="shared" si="164"/>
        <v>0</v>
      </c>
      <c r="X249">
        <f t="shared" si="155"/>
        <v>0</v>
      </c>
      <c r="Y249">
        <f t="shared" si="165"/>
        <v>0</v>
      </c>
      <c r="Z249">
        <f t="shared" si="166"/>
        <v>0</v>
      </c>
      <c r="AA249">
        <f t="shared" si="167"/>
        <v>0</v>
      </c>
      <c r="AB249">
        <f t="shared" si="168"/>
        <v>0</v>
      </c>
      <c r="AC249" s="23">
        <f>IF(B249&gt;$AJ$2,0,HLOOKUP(YEAR(A249),Assumptions!$A$25:$AL$29,4,TRUE)/100)</f>
        <v>0</v>
      </c>
      <c r="AD249">
        <f t="shared" si="169"/>
        <v>0</v>
      </c>
      <c r="AE249">
        <f t="shared" si="170"/>
        <v>0</v>
      </c>
      <c r="AF249">
        <f t="shared" si="171"/>
        <v>0</v>
      </c>
      <c r="AG249">
        <f t="shared" si="172"/>
        <v>0</v>
      </c>
      <c r="AH249">
        <f t="shared" si="173"/>
        <v>0</v>
      </c>
      <c r="AI249">
        <f t="shared" si="174"/>
        <v>0</v>
      </c>
      <c r="AJ249">
        <f t="shared" si="175"/>
        <v>0</v>
      </c>
      <c r="AK249">
        <f t="shared" si="176"/>
        <v>0</v>
      </c>
      <c r="AL249">
        <f t="shared" si="177"/>
        <v>0</v>
      </c>
      <c r="AM249">
        <f t="shared" si="156"/>
        <v>0</v>
      </c>
      <c r="AN249">
        <f>IF($S$2=0,0,(SUMPRODUCT($K$2:$R$2,Assumptions!$B$34:$I$34)/$U$2+$J$2/$U$2*Assumptions!$A$34*G249)*K249*O248)</f>
        <v>0</v>
      </c>
      <c r="AO249">
        <f t="shared" si="178"/>
        <v>0</v>
      </c>
      <c r="AP249">
        <f t="shared" si="179"/>
        <v>0</v>
      </c>
      <c r="AQ249">
        <f>IF(B249&gt;$AJ$2,0,AQ248*(1+Assumptions!$B$43)^(1/12))</f>
        <v>0</v>
      </c>
      <c r="AR249" s="27">
        <f>IF(B249&gt;$AJ$2,0,(O248+R248)*Assumptions!$B$39/12*AQ248+AV249*Assumptions!$B$41/12)</f>
        <v>0</v>
      </c>
      <c r="AS249">
        <f t="shared" si="180"/>
        <v>0</v>
      </c>
      <c r="AT249" s="28">
        <f t="shared" si="181"/>
        <v>0</v>
      </c>
      <c r="AU249">
        <f t="shared" si="182"/>
        <v>0</v>
      </c>
      <c r="AV249" s="28">
        <f t="shared" si="183"/>
        <v>0</v>
      </c>
      <c r="AW249" s="28">
        <f t="shared" si="184"/>
        <v>0</v>
      </c>
      <c r="AX249" s="23">
        <f>HLOOKUP(YEAR(A249),Assumptions!$A$25:$AL$29,2,TRUE)/100</f>
        <v>1.1739999999999999E-2</v>
      </c>
      <c r="AY249" s="29">
        <f>1/(1+HLOOKUP(YEAR(A249),Assumptions!$A$18:$AL$20,3,TRUE))^(1/12)</f>
        <v>0.99902750864006262</v>
      </c>
      <c r="AZ249" s="26">
        <f t="shared" si="185"/>
        <v>0</v>
      </c>
      <c r="BA249">
        <f t="shared" si="186"/>
        <v>0</v>
      </c>
      <c r="BB249">
        <f t="shared" si="187"/>
        <v>0</v>
      </c>
      <c r="BC249">
        <f t="shared" si="188"/>
        <v>0</v>
      </c>
    </row>
    <row r="250" spans="1:55" x14ac:dyDescent="0.2">
      <c r="A250" s="3">
        <f t="shared" si="157"/>
        <v>50374</v>
      </c>
      <c r="B250">
        <f t="shared" si="153"/>
        <v>252</v>
      </c>
      <c r="C250">
        <f t="shared" si="196"/>
        <v>20.916666666666668</v>
      </c>
      <c r="D250">
        <f t="shared" si="197"/>
        <v>0</v>
      </c>
      <c r="E250">
        <f t="shared" si="154"/>
        <v>76</v>
      </c>
      <c r="F250">
        <f>IF(C250&gt;=$T$2,0,VLOOKUP($E250,'Mortality Table'!$A$3:$C$128,2+AF$2,FALSE))</f>
        <v>0</v>
      </c>
      <c r="G250">
        <f>F250*Assumptions!$B$1</f>
        <v>0</v>
      </c>
      <c r="H250">
        <f t="shared" si="158"/>
        <v>0</v>
      </c>
      <c r="I250">
        <f t="shared" si="191"/>
        <v>0</v>
      </c>
      <c r="J250">
        <f>IF(B250&gt;$AJ$2,0,HLOOKUP(C250,Assumptions!$A$6:$J$7,2,TRUE))</f>
        <v>0</v>
      </c>
      <c r="K250" s="4">
        <f t="shared" si="192"/>
        <v>0</v>
      </c>
      <c r="L250" s="4">
        <f t="shared" si="159"/>
        <v>0</v>
      </c>
      <c r="M250" s="4">
        <f t="shared" si="193"/>
        <v>0</v>
      </c>
      <c r="N250">
        <f t="shared" si="160"/>
        <v>0</v>
      </c>
      <c r="O250" s="21">
        <f t="shared" si="194"/>
        <v>0</v>
      </c>
      <c r="P250">
        <f>IF(B250&gt;$AJ$2,0,HLOOKUP(C250,Assumptions!$A$12:$J$13,2,TRUE))</f>
        <v>0</v>
      </c>
      <c r="Q250">
        <f t="shared" si="195"/>
        <v>0</v>
      </c>
      <c r="R250">
        <f t="shared" si="161"/>
        <v>0</v>
      </c>
      <c r="S250">
        <f t="shared" si="189"/>
        <v>0</v>
      </c>
      <c r="T250">
        <f t="shared" si="190"/>
        <v>0</v>
      </c>
      <c r="U250">
        <f t="shared" si="162"/>
        <v>0</v>
      </c>
      <c r="V250">
        <f t="shared" si="163"/>
        <v>0</v>
      </c>
      <c r="W250">
        <f t="shared" si="164"/>
        <v>0</v>
      </c>
      <c r="X250">
        <f t="shared" si="155"/>
        <v>0</v>
      </c>
      <c r="Y250">
        <f t="shared" si="165"/>
        <v>0</v>
      </c>
      <c r="Z250">
        <f t="shared" si="166"/>
        <v>0</v>
      </c>
      <c r="AA250">
        <f t="shared" si="167"/>
        <v>0</v>
      </c>
      <c r="AB250">
        <f t="shared" si="168"/>
        <v>0</v>
      </c>
      <c r="AC250" s="23">
        <f>IF(B250&gt;$AJ$2,0,HLOOKUP(YEAR(A250),Assumptions!$A$25:$AL$29,4,TRUE)/100)</f>
        <v>0</v>
      </c>
      <c r="AD250">
        <f t="shared" si="169"/>
        <v>0</v>
      </c>
      <c r="AE250">
        <f t="shared" si="170"/>
        <v>0</v>
      </c>
      <c r="AF250">
        <f t="shared" si="171"/>
        <v>0</v>
      </c>
      <c r="AG250">
        <f t="shared" si="172"/>
        <v>0</v>
      </c>
      <c r="AH250">
        <f t="shared" si="173"/>
        <v>0</v>
      </c>
      <c r="AI250">
        <f t="shared" si="174"/>
        <v>0</v>
      </c>
      <c r="AJ250">
        <f t="shared" si="175"/>
        <v>0</v>
      </c>
      <c r="AK250">
        <f t="shared" si="176"/>
        <v>0</v>
      </c>
      <c r="AL250">
        <f t="shared" si="177"/>
        <v>0</v>
      </c>
      <c r="AM250">
        <f t="shared" si="156"/>
        <v>0</v>
      </c>
      <c r="AN250">
        <f>IF($S$2=0,0,(SUMPRODUCT($K$2:$R$2,Assumptions!$B$34:$I$34)/$U$2+$J$2/$U$2*Assumptions!$A$34*G250)*K250*O249)</f>
        <v>0</v>
      </c>
      <c r="AO250">
        <f t="shared" si="178"/>
        <v>0</v>
      </c>
      <c r="AP250">
        <f t="shared" si="179"/>
        <v>0</v>
      </c>
      <c r="AQ250">
        <f>IF(B250&gt;$AJ$2,0,AQ249*(1+Assumptions!$B$43)^(1/12))</f>
        <v>0</v>
      </c>
      <c r="AR250" s="27">
        <f>IF(B250&gt;$AJ$2,0,(O249+R249)*Assumptions!$B$39/12*AQ249+AV250*Assumptions!$B$41/12)</f>
        <v>0</v>
      </c>
      <c r="AS250">
        <f t="shared" si="180"/>
        <v>0</v>
      </c>
      <c r="AT250" s="28">
        <f t="shared" si="181"/>
        <v>0</v>
      </c>
      <c r="AU250">
        <f t="shared" si="182"/>
        <v>0</v>
      </c>
      <c r="AV250" s="28">
        <f t="shared" si="183"/>
        <v>0</v>
      </c>
      <c r="AW250" s="28">
        <f t="shared" si="184"/>
        <v>0</v>
      </c>
      <c r="AX250" s="23">
        <f>HLOOKUP(YEAR(A250),Assumptions!$A$25:$AL$29,2,TRUE)/100</f>
        <v>1.1739999999999999E-2</v>
      </c>
      <c r="AY250" s="29">
        <f>1/(1+HLOOKUP(YEAR(A250),Assumptions!$A$18:$AL$20,3,TRUE))^(1/12)</f>
        <v>0.99902750864006262</v>
      </c>
      <c r="AZ250" s="26">
        <f t="shared" si="185"/>
        <v>0</v>
      </c>
      <c r="BA250">
        <f t="shared" si="186"/>
        <v>0</v>
      </c>
      <c r="BB250">
        <f t="shared" si="187"/>
        <v>0</v>
      </c>
      <c r="BC250">
        <f t="shared" si="188"/>
        <v>0</v>
      </c>
    </row>
    <row r="251" spans="1:55" x14ac:dyDescent="0.2">
      <c r="A251" s="3">
        <f t="shared" si="157"/>
        <v>50405</v>
      </c>
      <c r="B251">
        <f t="shared" si="153"/>
        <v>253</v>
      </c>
      <c r="C251">
        <f t="shared" si="196"/>
        <v>21</v>
      </c>
      <c r="D251">
        <f t="shared" si="197"/>
        <v>1</v>
      </c>
      <c r="E251">
        <f t="shared" si="154"/>
        <v>77</v>
      </c>
      <c r="F251">
        <f>IF(C251&gt;=$T$2,0,VLOOKUP($E251,'Mortality Table'!$A$3:$C$128,2+AF$2,FALSE))</f>
        <v>0</v>
      </c>
      <c r="G251">
        <f>F251*Assumptions!$B$1</f>
        <v>0</v>
      </c>
      <c r="H251">
        <f t="shared" si="158"/>
        <v>0</v>
      </c>
      <c r="I251">
        <f t="shared" si="191"/>
        <v>0</v>
      </c>
      <c r="J251">
        <f>IF(B251&gt;$AJ$2,0,HLOOKUP(C251,Assumptions!$A$6:$J$7,2,TRUE))</f>
        <v>0</v>
      </c>
      <c r="K251" s="4">
        <f t="shared" si="192"/>
        <v>0</v>
      </c>
      <c r="L251" s="4">
        <f t="shared" si="159"/>
        <v>0</v>
      </c>
      <c r="M251" s="4">
        <f t="shared" si="193"/>
        <v>0</v>
      </c>
      <c r="N251">
        <f t="shared" si="160"/>
        <v>0</v>
      </c>
      <c r="O251" s="21">
        <f t="shared" si="194"/>
        <v>0</v>
      </c>
      <c r="P251">
        <f>IF(B251&gt;$AJ$2,0,HLOOKUP(C251,Assumptions!$A$12:$J$13,2,TRUE))</f>
        <v>0</v>
      </c>
      <c r="Q251">
        <f t="shared" si="195"/>
        <v>0</v>
      </c>
      <c r="R251">
        <f t="shared" si="161"/>
        <v>0</v>
      </c>
      <c r="S251">
        <f t="shared" si="189"/>
        <v>0</v>
      </c>
      <c r="T251">
        <f t="shared" si="190"/>
        <v>0</v>
      </c>
      <c r="U251">
        <f t="shared" si="162"/>
        <v>0</v>
      </c>
      <c r="V251">
        <f t="shared" si="163"/>
        <v>0</v>
      </c>
      <c r="W251">
        <f t="shared" si="164"/>
        <v>0</v>
      </c>
      <c r="X251">
        <f t="shared" si="155"/>
        <v>0</v>
      </c>
      <c r="Y251">
        <f t="shared" si="165"/>
        <v>0</v>
      </c>
      <c r="Z251">
        <f t="shared" si="166"/>
        <v>0</v>
      </c>
      <c r="AA251">
        <f t="shared" si="167"/>
        <v>0</v>
      </c>
      <c r="AB251">
        <f t="shared" si="168"/>
        <v>0</v>
      </c>
      <c r="AC251" s="23">
        <f>IF(B251&gt;$AJ$2,0,HLOOKUP(YEAR(A251),Assumptions!$A$25:$AL$29,4,TRUE)/100)</f>
        <v>0</v>
      </c>
      <c r="AD251">
        <f t="shared" si="169"/>
        <v>0</v>
      </c>
      <c r="AE251">
        <f t="shared" si="170"/>
        <v>0</v>
      </c>
      <c r="AF251">
        <f t="shared" si="171"/>
        <v>0</v>
      </c>
      <c r="AG251">
        <f t="shared" si="172"/>
        <v>0</v>
      </c>
      <c r="AH251">
        <f t="shared" si="173"/>
        <v>0</v>
      </c>
      <c r="AI251">
        <f t="shared" si="174"/>
        <v>0</v>
      </c>
      <c r="AJ251">
        <f t="shared" si="175"/>
        <v>0</v>
      </c>
      <c r="AK251">
        <f t="shared" si="176"/>
        <v>0</v>
      </c>
      <c r="AL251">
        <f t="shared" si="177"/>
        <v>0</v>
      </c>
      <c r="AM251">
        <f t="shared" si="156"/>
        <v>0</v>
      </c>
      <c r="AN251">
        <f>IF($S$2=0,0,(SUMPRODUCT($K$2:$R$2,Assumptions!$B$34:$I$34)/$U$2+$J$2/$U$2*Assumptions!$A$34*G251)*K251*O250)</f>
        <v>0</v>
      </c>
      <c r="AO251">
        <f t="shared" si="178"/>
        <v>0</v>
      </c>
      <c r="AP251">
        <f t="shared" si="179"/>
        <v>0</v>
      </c>
      <c r="AQ251">
        <f>IF(B251&gt;$AJ$2,0,AQ250*(1+Assumptions!$B$43)^(1/12))</f>
        <v>0</v>
      </c>
      <c r="AR251" s="27">
        <f>IF(B251&gt;$AJ$2,0,(O250+R250)*Assumptions!$B$39/12*AQ250+AV251*Assumptions!$B$41/12)</f>
        <v>0</v>
      </c>
      <c r="AS251">
        <f t="shared" si="180"/>
        <v>0</v>
      </c>
      <c r="AT251" s="28">
        <f t="shared" si="181"/>
        <v>0</v>
      </c>
      <c r="AU251">
        <f t="shared" si="182"/>
        <v>0</v>
      </c>
      <c r="AV251" s="28">
        <f t="shared" si="183"/>
        <v>0</v>
      </c>
      <c r="AW251" s="28">
        <f t="shared" si="184"/>
        <v>0</v>
      </c>
      <c r="AX251" s="23">
        <f>HLOOKUP(YEAR(A251),Assumptions!$A$25:$AL$29,2,TRUE)/100</f>
        <v>1.1739999999999999E-2</v>
      </c>
      <c r="AY251" s="29">
        <f>1/(1+HLOOKUP(YEAR(A251),Assumptions!$A$18:$AL$20,3,TRUE))^(1/12)</f>
        <v>0.99902750864006262</v>
      </c>
      <c r="AZ251" s="26">
        <f t="shared" si="185"/>
        <v>0</v>
      </c>
      <c r="BA251">
        <f t="shared" si="186"/>
        <v>0</v>
      </c>
      <c r="BB251">
        <f t="shared" si="187"/>
        <v>0</v>
      </c>
      <c r="BC251">
        <f t="shared" si="188"/>
        <v>0</v>
      </c>
    </row>
    <row r="252" spans="1:55" x14ac:dyDescent="0.2">
      <c r="A252" s="3">
        <f t="shared" si="157"/>
        <v>50436</v>
      </c>
      <c r="B252">
        <f t="shared" si="153"/>
        <v>254</v>
      </c>
      <c r="C252">
        <f t="shared" si="196"/>
        <v>21.083333333333332</v>
      </c>
      <c r="D252">
        <f t="shared" si="197"/>
        <v>0</v>
      </c>
      <c r="E252">
        <f t="shared" si="154"/>
        <v>77</v>
      </c>
      <c r="F252">
        <f>IF(C252&gt;=$T$2,0,VLOOKUP($E252,'Mortality Table'!$A$3:$C$128,2+AF$2,FALSE))</f>
        <v>0</v>
      </c>
      <c r="G252">
        <f>F252*Assumptions!$B$1</f>
        <v>0</v>
      </c>
      <c r="H252">
        <f t="shared" si="158"/>
        <v>0</v>
      </c>
      <c r="I252">
        <f t="shared" si="191"/>
        <v>0</v>
      </c>
      <c r="J252">
        <f>IF(B252&gt;$AJ$2,0,HLOOKUP(C252,Assumptions!$A$6:$J$7,2,TRUE))</f>
        <v>0</v>
      </c>
      <c r="K252" s="4">
        <f t="shared" si="192"/>
        <v>0</v>
      </c>
      <c r="L252" s="4">
        <f t="shared" si="159"/>
        <v>0</v>
      </c>
      <c r="M252" s="4">
        <f t="shared" si="193"/>
        <v>0</v>
      </c>
      <c r="N252">
        <f t="shared" si="160"/>
        <v>0</v>
      </c>
      <c r="O252" s="21">
        <f t="shared" si="194"/>
        <v>0</v>
      </c>
      <c r="P252">
        <f>IF(B252&gt;$AJ$2,0,HLOOKUP(C252,Assumptions!$A$12:$J$13,2,TRUE))</f>
        <v>0</v>
      </c>
      <c r="Q252">
        <f t="shared" si="195"/>
        <v>0</v>
      </c>
      <c r="R252">
        <f t="shared" si="161"/>
        <v>0</v>
      </c>
      <c r="S252">
        <f t="shared" si="189"/>
        <v>0</v>
      </c>
      <c r="T252">
        <f t="shared" si="190"/>
        <v>0</v>
      </c>
      <c r="U252">
        <f t="shared" si="162"/>
        <v>0</v>
      </c>
      <c r="V252">
        <f t="shared" si="163"/>
        <v>0</v>
      </c>
      <c r="W252">
        <f t="shared" si="164"/>
        <v>0</v>
      </c>
      <c r="X252">
        <f t="shared" si="155"/>
        <v>0</v>
      </c>
      <c r="Y252">
        <f t="shared" si="165"/>
        <v>0</v>
      </c>
      <c r="Z252">
        <f t="shared" si="166"/>
        <v>0</v>
      </c>
      <c r="AA252">
        <f t="shared" si="167"/>
        <v>0</v>
      </c>
      <c r="AB252">
        <f t="shared" si="168"/>
        <v>0</v>
      </c>
      <c r="AC252" s="23">
        <f>IF(B252&gt;$AJ$2,0,HLOOKUP(YEAR(A252),Assumptions!$A$25:$AL$29,4,TRUE)/100)</f>
        <v>0</v>
      </c>
      <c r="AD252">
        <f t="shared" si="169"/>
        <v>0</v>
      </c>
      <c r="AE252">
        <f t="shared" si="170"/>
        <v>0</v>
      </c>
      <c r="AF252">
        <f t="shared" si="171"/>
        <v>0</v>
      </c>
      <c r="AG252">
        <f t="shared" si="172"/>
        <v>0</v>
      </c>
      <c r="AH252">
        <f t="shared" si="173"/>
        <v>0</v>
      </c>
      <c r="AI252">
        <f t="shared" si="174"/>
        <v>0</v>
      </c>
      <c r="AJ252">
        <f t="shared" si="175"/>
        <v>0</v>
      </c>
      <c r="AK252">
        <f t="shared" si="176"/>
        <v>0</v>
      </c>
      <c r="AL252">
        <f t="shared" si="177"/>
        <v>0</v>
      </c>
      <c r="AM252">
        <f t="shared" si="156"/>
        <v>0</v>
      </c>
      <c r="AN252">
        <f>IF($S$2=0,0,(SUMPRODUCT($K$2:$R$2,Assumptions!$B$34:$I$34)/$U$2+$J$2/$U$2*Assumptions!$A$34*G252)*K252*O251)</f>
        <v>0</v>
      </c>
      <c r="AO252">
        <f t="shared" si="178"/>
        <v>0</v>
      </c>
      <c r="AP252">
        <f t="shared" si="179"/>
        <v>0</v>
      </c>
      <c r="AQ252">
        <f>IF(B252&gt;$AJ$2,0,AQ251*(1+Assumptions!$B$43)^(1/12))</f>
        <v>0</v>
      </c>
      <c r="AR252" s="27">
        <f>IF(B252&gt;$AJ$2,0,(O251+R251)*Assumptions!$B$39/12*AQ251+AV252*Assumptions!$B$41/12)</f>
        <v>0</v>
      </c>
      <c r="AS252">
        <f t="shared" si="180"/>
        <v>0</v>
      </c>
      <c r="AT252" s="28">
        <f t="shared" si="181"/>
        <v>0</v>
      </c>
      <c r="AU252">
        <f t="shared" si="182"/>
        <v>0</v>
      </c>
      <c r="AV252" s="28">
        <f t="shared" si="183"/>
        <v>0</v>
      </c>
      <c r="AW252" s="28">
        <f t="shared" si="184"/>
        <v>0</v>
      </c>
      <c r="AX252" s="23">
        <f>HLOOKUP(YEAR(A252),Assumptions!$A$25:$AL$29,2,TRUE)/100</f>
        <v>1.1739999999999999E-2</v>
      </c>
      <c r="AY252" s="29">
        <f>1/(1+HLOOKUP(YEAR(A252),Assumptions!$A$18:$AL$20,3,TRUE))^(1/12)</f>
        <v>0.99902750864006262</v>
      </c>
      <c r="AZ252" s="26">
        <f t="shared" si="185"/>
        <v>0</v>
      </c>
      <c r="BA252">
        <f t="shared" si="186"/>
        <v>0</v>
      </c>
      <c r="BB252">
        <f t="shared" si="187"/>
        <v>0</v>
      </c>
      <c r="BC252">
        <f t="shared" si="188"/>
        <v>0</v>
      </c>
    </row>
    <row r="253" spans="1:55" x14ac:dyDescent="0.2">
      <c r="A253" s="3">
        <f t="shared" si="157"/>
        <v>50464</v>
      </c>
      <c r="B253">
        <f t="shared" si="153"/>
        <v>255</v>
      </c>
      <c r="C253">
        <f t="shared" si="196"/>
        <v>21.166666666666668</v>
      </c>
      <c r="D253">
        <f t="shared" si="197"/>
        <v>0</v>
      </c>
      <c r="E253">
        <f t="shared" si="154"/>
        <v>77</v>
      </c>
      <c r="F253">
        <f>IF(C253&gt;=$T$2,0,VLOOKUP($E253,'Mortality Table'!$A$3:$C$128,2+AF$2,FALSE))</f>
        <v>0</v>
      </c>
      <c r="G253">
        <f>F253*Assumptions!$B$1</f>
        <v>0</v>
      </c>
      <c r="H253">
        <f t="shared" si="158"/>
        <v>0</v>
      </c>
      <c r="I253">
        <f t="shared" si="191"/>
        <v>0</v>
      </c>
      <c r="J253">
        <f>IF(B253&gt;$AJ$2,0,HLOOKUP(C253,Assumptions!$A$6:$J$7,2,TRUE))</f>
        <v>0</v>
      </c>
      <c r="K253" s="4">
        <f t="shared" si="192"/>
        <v>0</v>
      </c>
      <c r="L253" s="4">
        <f t="shared" si="159"/>
        <v>0</v>
      </c>
      <c r="M253" s="4">
        <f t="shared" si="193"/>
        <v>0</v>
      </c>
      <c r="N253">
        <f t="shared" si="160"/>
        <v>0</v>
      </c>
      <c r="O253" s="21">
        <f t="shared" si="194"/>
        <v>0</v>
      </c>
      <c r="P253">
        <f>IF(B253&gt;$AJ$2,0,HLOOKUP(C253,Assumptions!$A$12:$J$13,2,TRUE))</f>
        <v>0</v>
      </c>
      <c r="Q253">
        <f t="shared" si="195"/>
        <v>0</v>
      </c>
      <c r="R253">
        <f t="shared" si="161"/>
        <v>0</v>
      </c>
      <c r="S253">
        <f t="shared" si="189"/>
        <v>0</v>
      </c>
      <c r="T253">
        <f t="shared" si="190"/>
        <v>0</v>
      </c>
      <c r="U253">
        <f t="shared" si="162"/>
        <v>0</v>
      </c>
      <c r="V253">
        <f t="shared" si="163"/>
        <v>0</v>
      </c>
      <c r="W253">
        <f t="shared" si="164"/>
        <v>0</v>
      </c>
      <c r="X253">
        <f t="shared" si="155"/>
        <v>0</v>
      </c>
      <c r="Y253">
        <f t="shared" si="165"/>
        <v>0</v>
      </c>
      <c r="Z253">
        <f t="shared" si="166"/>
        <v>0</v>
      </c>
      <c r="AA253">
        <f t="shared" si="167"/>
        <v>0</v>
      </c>
      <c r="AB253">
        <f t="shared" si="168"/>
        <v>0</v>
      </c>
      <c r="AC253" s="23">
        <f>IF(B253&gt;$AJ$2,0,HLOOKUP(YEAR(A253),Assumptions!$A$25:$AL$29,4,TRUE)/100)</f>
        <v>0</v>
      </c>
      <c r="AD253">
        <f t="shared" si="169"/>
        <v>0</v>
      </c>
      <c r="AE253">
        <f t="shared" si="170"/>
        <v>0</v>
      </c>
      <c r="AF253">
        <f t="shared" si="171"/>
        <v>0</v>
      </c>
      <c r="AG253">
        <f t="shared" si="172"/>
        <v>0</v>
      </c>
      <c r="AH253">
        <f t="shared" si="173"/>
        <v>0</v>
      </c>
      <c r="AI253">
        <f t="shared" si="174"/>
        <v>0</v>
      </c>
      <c r="AJ253">
        <f t="shared" si="175"/>
        <v>0</v>
      </c>
      <c r="AK253">
        <f t="shared" si="176"/>
        <v>0</v>
      </c>
      <c r="AL253">
        <f t="shared" si="177"/>
        <v>0</v>
      </c>
      <c r="AM253">
        <f t="shared" si="156"/>
        <v>0</v>
      </c>
      <c r="AN253">
        <f>IF($S$2=0,0,(SUMPRODUCT($K$2:$R$2,Assumptions!$B$34:$I$34)/$U$2+$J$2/$U$2*Assumptions!$A$34*G253)*K253*O252)</f>
        <v>0</v>
      </c>
      <c r="AO253">
        <f t="shared" si="178"/>
        <v>0</v>
      </c>
      <c r="AP253">
        <f t="shared" si="179"/>
        <v>0</v>
      </c>
      <c r="AQ253">
        <f>IF(B253&gt;$AJ$2,0,AQ252*(1+Assumptions!$B$43)^(1/12))</f>
        <v>0</v>
      </c>
      <c r="AR253" s="27">
        <f>IF(B253&gt;$AJ$2,0,(O252+R252)*Assumptions!$B$39/12*AQ252+AV253*Assumptions!$B$41/12)</f>
        <v>0</v>
      </c>
      <c r="AS253">
        <f t="shared" si="180"/>
        <v>0</v>
      </c>
      <c r="AT253" s="28">
        <f t="shared" si="181"/>
        <v>0</v>
      </c>
      <c r="AU253">
        <f t="shared" si="182"/>
        <v>0</v>
      </c>
      <c r="AV253" s="28">
        <f t="shared" si="183"/>
        <v>0</v>
      </c>
      <c r="AW253" s="28">
        <f t="shared" si="184"/>
        <v>0</v>
      </c>
      <c r="AX253" s="23">
        <f>HLOOKUP(YEAR(A253),Assumptions!$A$25:$AL$29,2,TRUE)/100</f>
        <v>1.1739999999999999E-2</v>
      </c>
      <c r="AY253" s="29">
        <f>1/(1+HLOOKUP(YEAR(A253),Assumptions!$A$18:$AL$20,3,TRUE))^(1/12)</f>
        <v>0.99902750864006262</v>
      </c>
      <c r="AZ253" s="26">
        <f t="shared" si="185"/>
        <v>0</v>
      </c>
      <c r="BA253">
        <f t="shared" si="186"/>
        <v>0</v>
      </c>
      <c r="BB253">
        <f t="shared" si="187"/>
        <v>0</v>
      </c>
      <c r="BC253">
        <f t="shared" si="188"/>
        <v>0</v>
      </c>
    </row>
    <row r="254" spans="1:55" x14ac:dyDescent="0.2">
      <c r="A254" s="3">
        <f t="shared" si="157"/>
        <v>50495</v>
      </c>
      <c r="B254">
        <f t="shared" si="153"/>
        <v>256</v>
      </c>
      <c r="C254">
        <f t="shared" si="196"/>
        <v>21.25</v>
      </c>
      <c r="D254">
        <f t="shared" si="197"/>
        <v>0</v>
      </c>
      <c r="E254">
        <f t="shared" si="154"/>
        <v>77</v>
      </c>
      <c r="F254">
        <f>IF(C254&gt;=$T$2,0,VLOOKUP($E254,'Mortality Table'!$A$3:$C$128,2+AF$2,FALSE))</f>
        <v>0</v>
      </c>
      <c r="G254">
        <f>F254*Assumptions!$B$1</f>
        <v>0</v>
      </c>
      <c r="H254">
        <f t="shared" si="158"/>
        <v>0</v>
      </c>
      <c r="I254">
        <f t="shared" si="191"/>
        <v>0</v>
      </c>
      <c r="J254">
        <f>IF(B254&gt;$AJ$2,0,HLOOKUP(C254,Assumptions!$A$6:$J$7,2,TRUE))</f>
        <v>0</v>
      </c>
      <c r="K254" s="4">
        <f t="shared" si="192"/>
        <v>0</v>
      </c>
      <c r="L254" s="4">
        <f t="shared" si="159"/>
        <v>0</v>
      </c>
      <c r="M254" s="4">
        <f t="shared" si="193"/>
        <v>0</v>
      </c>
      <c r="N254">
        <f t="shared" si="160"/>
        <v>0</v>
      </c>
      <c r="O254" s="21">
        <f t="shared" si="194"/>
        <v>0</v>
      </c>
      <c r="P254">
        <f>IF(B254&gt;$AJ$2,0,HLOOKUP(C254,Assumptions!$A$12:$J$13,2,TRUE))</f>
        <v>0</v>
      </c>
      <c r="Q254">
        <f t="shared" si="195"/>
        <v>0</v>
      </c>
      <c r="R254">
        <f t="shared" si="161"/>
        <v>0</v>
      </c>
      <c r="S254">
        <f t="shared" si="189"/>
        <v>0</v>
      </c>
      <c r="T254">
        <f t="shared" si="190"/>
        <v>0</v>
      </c>
      <c r="U254">
        <f t="shared" si="162"/>
        <v>0</v>
      </c>
      <c r="V254">
        <f t="shared" si="163"/>
        <v>0</v>
      </c>
      <c r="W254">
        <f t="shared" si="164"/>
        <v>0</v>
      </c>
      <c r="X254">
        <f t="shared" si="155"/>
        <v>0</v>
      </c>
      <c r="Y254">
        <f t="shared" si="165"/>
        <v>0</v>
      </c>
      <c r="Z254">
        <f t="shared" si="166"/>
        <v>0</v>
      </c>
      <c r="AA254">
        <f t="shared" si="167"/>
        <v>0</v>
      </c>
      <c r="AB254">
        <f t="shared" si="168"/>
        <v>0</v>
      </c>
      <c r="AC254" s="23">
        <f>IF(B254&gt;$AJ$2,0,HLOOKUP(YEAR(A254),Assumptions!$A$25:$AL$29,4,TRUE)/100)</f>
        <v>0</v>
      </c>
      <c r="AD254">
        <f t="shared" si="169"/>
        <v>0</v>
      </c>
      <c r="AE254">
        <f t="shared" si="170"/>
        <v>0</v>
      </c>
      <c r="AF254">
        <f t="shared" si="171"/>
        <v>0</v>
      </c>
      <c r="AG254">
        <f t="shared" si="172"/>
        <v>0</v>
      </c>
      <c r="AH254">
        <f t="shared" si="173"/>
        <v>0</v>
      </c>
      <c r="AI254">
        <f t="shared" si="174"/>
        <v>0</v>
      </c>
      <c r="AJ254">
        <f t="shared" si="175"/>
        <v>0</v>
      </c>
      <c r="AK254">
        <f t="shared" si="176"/>
        <v>0</v>
      </c>
      <c r="AL254">
        <f t="shared" si="177"/>
        <v>0</v>
      </c>
      <c r="AM254">
        <f t="shared" si="156"/>
        <v>0</v>
      </c>
      <c r="AN254">
        <f>IF($S$2=0,0,(SUMPRODUCT($K$2:$R$2,Assumptions!$B$34:$I$34)/$U$2+$J$2/$U$2*Assumptions!$A$34*G254)*K254*O253)</f>
        <v>0</v>
      </c>
      <c r="AO254">
        <f t="shared" si="178"/>
        <v>0</v>
      </c>
      <c r="AP254">
        <f t="shared" si="179"/>
        <v>0</v>
      </c>
      <c r="AQ254">
        <f>IF(B254&gt;$AJ$2,0,AQ253*(1+Assumptions!$B$43)^(1/12))</f>
        <v>0</v>
      </c>
      <c r="AR254" s="27">
        <f>IF(B254&gt;$AJ$2,0,(O253+R253)*Assumptions!$B$39/12*AQ253+AV254*Assumptions!$B$41/12)</f>
        <v>0</v>
      </c>
      <c r="AS254">
        <f t="shared" si="180"/>
        <v>0</v>
      </c>
      <c r="AT254" s="28">
        <f t="shared" si="181"/>
        <v>0</v>
      </c>
      <c r="AU254">
        <f t="shared" si="182"/>
        <v>0</v>
      </c>
      <c r="AV254" s="28">
        <f t="shared" si="183"/>
        <v>0</v>
      </c>
      <c r="AW254" s="28">
        <f t="shared" si="184"/>
        <v>0</v>
      </c>
      <c r="AX254" s="23">
        <f>HLOOKUP(YEAR(A254),Assumptions!$A$25:$AL$29,2,TRUE)/100</f>
        <v>1.1739999999999999E-2</v>
      </c>
      <c r="AY254" s="29">
        <f>1/(1+HLOOKUP(YEAR(A254),Assumptions!$A$18:$AL$20,3,TRUE))^(1/12)</f>
        <v>0.99902750864006262</v>
      </c>
      <c r="AZ254" s="26">
        <f t="shared" si="185"/>
        <v>0</v>
      </c>
      <c r="BA254">
        <f t="shared" si="186"/>
        <v>0</v>
      </c>
      <c r="BB254">
        <f t="shared" si="187"/>
        <v>0</v>
      </c>
      <c r="BC254">
        <f t="shared" si="188"/>
        <v>0</v>
      </c>
    </row>
    <row r="255" spans="1:55" x14ac:dyDescent="0.2">
      <c r="A255" s="3">
        <f t="shared" si="157"/>
        <v>50525</v>
      </c>
      <c r="B255">
        <f t="shared" si="153"/>
        <v>257</v>
      </c>
      <c r="C255">
        <f t="shared" si="196"/>
        <v>21.333333333333332</v>
      </c>
      <c r="D255">
        <f t="shared" si="197"/>
        <v>0</v>
      </c>
      <c r="E255">
        <f t="shared" si="154"/>
        <v>77</v>
      </c>
      <c r="F255">
        <f>IF(C255&gt;=$T$2,0,VLOOKUP($E255,'Mortality Table'!$A$3:$C$128,2+AF$2,FALSE))</f>
        <v>0</v>
      </c>
      <c r="G255">
        <f>F255*Assumptions!$B$1</f>
        <v>0</v>
      </c>
      <c r="H255">
        <f t="shared" si="158"/>
        <v>0</v>
      </c>
      <c r="I255">
        <f t="shared" si="191"/>
        <v>0</v>
      </c>
      <c r="J255">
        <f>IF(B255&gt;$AJ$2,0,HLOOKUP(C255,Assumptions!$A$6:$J$7,2,TRUE))</f>
        <v>0</v>
      </c>
      <c r="K255" s="4">
        <f t="shared" si="192"/>
        <v>0</v>
      </c>
      <c r="L255" s="4">
        <f t="shared" si="159"/>
        <v>0</v>
      </c>
      <c r="M255" s="4">
        <f t="shared" si="193"/>
        <v>0</v>
      </c>
      <c r="N255">
        <f t="shared" si="160"/>
        <v>0</v>
      </c>
      <c r="O255" s="21">
        <f t="shared" si="194"/>
        <v>0</v>
      </c>
      <c r="P255">
        <f>IF(B255&gt;$AJ$2,0,HLOOKUP(C255,Assumptions!$A$12:$J$13,2,TRUE))</f>
        <v>0</v>
      </c>
      <c r="Q255">
        <f t="shared" si="195"/>
        <v>0</v>
      </c>
      <c r="R255">
        <f t="shared" si="161"/>
        <v>0</v>
      </c>
      <c r="S255">
        <f t="shared" si="189"/>
        <v>0</v>
      </c>
      <c r="T255">
        <f t="shared" si="190"/>
        <v>0</v>
      </c>
      <c r="U255">
        <f t="shared" si="162"/>
        <v>0</v>
      </c>
      <c r="V255">
        <f t="shared" si="163"/>
        <v>0</v>
      </c>
      <c r="W255">
        <f t="shared" si="164"/>
        <v>0</v>
      </c>
      <c r="X255">
        <f t="shared" si="155"/>
        <v>0</v>
      </c>
      <c r="Y255">
        <f t="shared" si="165"/>
        <v>0</v>
      </c>
      <c r="Z255">
        <f t="shared" si="166"/>
        <v>0</v>
      </c>
      <c r="AA255">
        <f t="shared" si="167"/>
        <v>0</v>
      </c>
      <c r="AB255">
        <f t="shared" si="168"/>
        <v>0</v>
      </c>
      <c r="AC255" s="23">
        <f>IF(B255&gt;$AJ$2,0,HLOOKUP(YEAR(A255),Assumptions!$A$25:$AL$29,4,TRUE)/100)</f>
        <v>0</v>
      </c>
      <c r="AD255">
        <f t="shared" si="169"/>
        <v>0</v>
      </c>
      <c r="AE255">
        <f t="shared" si="170"/>
        <v>0</v>
      </c>
      <c r="AF255">
        <f t="shared" si="171"/>
        <v>0</v>
      </c>
      <c r="AG255">
        <f t="shared" si="172"/>
        <v>0</v>
      </c>
      <c r="AH255">
        <f t="shared" si="173"/>
        <v>0</v>
      </c>
      <c r="AI255">
        <f t="shared" si="174"/>
        <v>0</v>
      </c>
      <c r="AJ255">
        <f t="shared" si="175"/>
        <v>0</v>
      </c>
      <c r="AK255">
        <f t="shared" si="176"/>
        <v>0</v>
      </c>
      <c r="AL255">
        <f t="shared" si="177"/>
        <v>0</v>
      </c>
      <c r="AM255">
        <f t="shared" si="156"/>
        <v>0</v>
      </c>
      <c r="AN255">
        <f>IF($S$2=0,0,(SUMPRODUCT($K$2:$R$2,Assumptions!$B$34:$I$34)/$U$2+$J$2/$U$2*Assumptions!$A$34*G255)*K255*O254)</f>
        <v>0</v>
      </c>
      <c r="AO255">
        <f t="shared" si="178"/>
        <v>0</v>
      </c>
      <c r="AP255">
        <f t="shared" si="179"/>
        <v>0</v>
      </c>
      <c r="AQ255">
        <f>IF(B255&gt;$AJ$2,0,AQ254*(1+Assumptions!$B$43)^(1/12))</f>
        <v>0</v>
      </c>
      <c r="AR255" s="27">
        <f>IF(B255&gt;$AJ$2,0,(O254+R254)*Assumptions!$B$39/12*AQ254+AV255*Assumptions!$B$41/12)</f>
        <v>0</v>
      </c>
      <c r="AS255">
        <f t="shared" si="180"/>
        <v>0</v>
      </c>
      <c r="AT255" s="28">
        <f t="shared" si="181"/>
        <v>0</v>
      </c>
      <c r="AU255">
        <f t="shared" si="182"/>
        <v>0</v>
      </c>
      <c r="AV255" s="28">
        <f t="shared" si="183"/>
        <v>0</v>
      </c>
      <c r="AW255" s="28">
        <f t="shared" si="184"/>
        <v>0</v>
      </c>
      <c r="AX255" s="23">
        <f>HLOOKUP(YEAR(A255),Assumptions!$A$25:$AL$29,2,TRUE)/100</f>
        <v>1.1739999999999999E-2</v>
      </c>
      <c r="AY255" s="29">
        <f>1/(1+HLOOKUP(YEAR(A255),Assumptions!$A$18:$AL$20,3,TRUE))^(1/12)</f>
        <v>0.99902750864006262</v>
      </c>
      <c r="AZ255" s="26">
        <f t="shared" si="185"/>
        <v>0</v>
      </c>
      <c r="BA255">
        <f t="shared" si="186"/>
        <v>0</v>
      </c>
      <c r="BB255">
        <f t="shared" si="187"/>
        <v>0</v>
      </c>
      <c r="BC255">
        <f t="shared" si="188"/>
        <v>0</v>
      </c>
    </row>
    <row r="256" spans="1:55" x14ac:dyDescent="0.2">
      <c r="A256" s="3">
        <f t="shared" si="157"/>
        <v>50556</v>
      </c>
      <c r="B256">
        <f t="shared" si="153"/>
        <v>258</v>
      </c>
      <c r="C256">
        <f t="shared" si="196"/>
        <v>21.416666666666668</v>
      </c>
      <c r="D256">
        <f t="shared" si="197"/>
        <v>0</v>
      </c>
      <c r="E256">
        <f t="shared" si="154"/>
        <v>77</v>
      </c>
      <c r="F256">
        <f>IF(C256&gt;=$T$2,0,VLOOKUP($E256,'Mortality Table'!$A$3:$C$128,2+AF$2,FALSE))</f>
        <v>0</v>
      </c>
      <c r="G256">
        <f>F256*Assumptions!$B$1</f>
        <v>0</v>
      </c>
      <c r="H256">
        <f t="shared" si="158"/>
        <v>0</v>
      </c>
      <c r="I256">
        <f t="shared" si="191"/>
        <v>0</v>
      </c>
      <c r="J256">
        <f>IF(B256&gt;$AJ$2,0,HLOOKUP(C256,Assumptions!$A$6:$J$7,2,TRUE))</f>
        <v>0</v>
      </c>
      <c r="K256" s="4">
        <f t="shared" si="192"/>
        <v>0</v>
      </c>
      <c r="L256" s="4">
        <f t="shared" si="159"/>
        <v>0</v>
      </c>
      <c r="M256" s="4">
        <f t="shared" si="193"/>
        <v>0</v>
      </c>
      <c r="N256">
        <f t="shared" si="160"/>
        <v>0</v>
      </c>
      <c r="O256" s="21">
        <f t="shared" si="194"/>
        <v>0</v>
      </c>
      <c r="P256">
        <f>IF(B256&gt;$AJ$2,0,HLOOKUP(C256,Assumptions!$A$12:$J$13,2,TRUE))</f>
        <v>0</v>
      </c>
      <c r="Q256">
        <f t="shared" si="195"/>
        <v>0</v>
      </c>
      <c r="R256">
        <f t="shared" si="161"/>
        <v>0</v>
      </c>
      <c r="S256">
        <f t="shared" si="189"/>
        <v>0</v>
      </c>
      <c r="T256">
        <f t="shared" si="190"/>
        <v>0</v>
      </c>
      <c r="U256">
        <f t="shared" si="162"/>
        <v>0</v>
      </c>
      <c r="V256">
        <f t="shared" si="163"/>
        <v>0</v>
      </c>
      <c r="W256">
        <f t="shared" si="164"/>
        <v>0</v>
      </c>
      <c r="X256">
        <f t="shared" si="155"/>
        <v>0</v>
      </c>
      <c r="Y256">
        <f t="shared" si="165"/>
        <v>0</v>
      </c>
      <c r="Z256">
        <f t="shared" si="166"/>
        <v>0</v>
      </c>
      <c r="AA256">
        <f t="shared" si="167"/>
        <v>0</v>
      </c>
      <c r="AB256">
        <f t="shared" si="168"/>
        <v>0</v>
      </c>
      <c r="AC256" s="23">
        <f>IF(B256&gt;$AJ$2,0,HLOOKUP(YEAR(A256),Assumptions!$A$25:$AL$29,4,TRUE)/100)</f>
        <v>0</v>
      </c>
      <c r="AD256">
        <f t="shared" si="169"/>
        <v>0</v>
      </c>
      <c r="AE256">
        <f t="shared" si="170"/>
        <v>0</v>
      </c>
      <c r="AF256">
        <f t="shared" si="171"/>
        <v>0</v>
      </c>
      <c r="AG256">
        <f t="shared" si="172"/>
        <v>0</v>
      </c>
      <c r="AH256">
        <f t="shared" si="173"/>
        <v>0</v>
      </c>
      <c r="AI256">
        <f t="shared" si="174"/>
        <v>0</v>
      </c>
      <c r="AJ256">
        <f t="shared" si="175"/>
        <v>0</v>
      </c>
      <c r="AK256">
        <f t="shared" si="176"/>
        <v>0</v>
      </c>
      <c r="AL256">
        <f t="shared" si="177"/>
        <v>0</v>
      </c>
      <c r="AM256">
        <f t="shared" si="156"/>
        <v>0</v>
      </c>
      <c r="AN256">
        <f>IF($S$2=0,0,(SUMPRODUCT($K$2:$R$2,Assumptions!$B$34:$I$34)/$U$2+$J$2/$U$2*Assumptions!$A$34*G256)*K256*O255)</f>
        <v>0</v>
      </c>
      <c r="AO256">
        <f t="shared" si="178"/>
        <v>0</v>
      </c>
      <c r="AP256">
        <f t="shared" si="179"/>
        <v>0</v>
      </c>
      <c r="AQ256">
        <f>IF(B256&gt;$AJ$2,0,AQ255*(1+Assumptions!$B$43)^(1/12))</f>
        <v>0</v>
      </c>
      <c r="AR256" s="27">
        <f>IF(B256&gt;$AJ$2,0,(O255+R255)*Assumptions!$B$39/12*AQ255+AV256*Assumptions!$B$41/12)</f>
        <v>0</v>
      </c>
      <c r="AS256">
        <f t="shared" si="180"/>
        <v>0</v>
      </c>
      <c r="AT256" s="28">
        <f t="shared" si="181"/>
        <v>0</v>
      </c>
      <c r="AU256">
        <f t="shared" si="182"/>
        <v>0</v>
      </c>
      <c r="AV256" s="28">
        <f t="shared" si="183"/>
        <v>0</v>
      </c>
      <c r="AW256" s="28">
        <f t="shared" si="184"/>
        <v>0</v>
      </c>
      <c r="AX256" s="23">
        <f>HLOOKUP(YEAR(A256),Assumptions!$A$25:$AL$29,2,TRUE)/100</f>
        <v>1.1739999999999999E-2</v>
      </c>
      <c r="AY256" s="29">
        <f>1/(1+HLOOKUP(YEAR(A256),Assumptions!$A$18:$AL$20,3,TRUE))^(1/12)</f>
        <v>0.99902750864006262</v>
      </c>
      <c r="AZ256" s="26">
        <f t="shared" si="185"/>
        <v>0</v>
      </c>
      <c r="BA256">
        <f t="shared" si="186"/>
        <v>0</v>
      </c>
      <c r="BB256">
        <f t="shared" si="187"/>
        <v>0</v>
      </c>
      <c r="BC256">
        <f t="shared" si="188"/>
        <v>0</v>
      </c>
    </row>
    <row r="257" spans="1:55" x14ac:dyDescent="0.2">
      <c r="A257" s="3">
        <f t="shared" si="157"/>
        <v>50586</v>
      </c>
      <c r="B257">
        <f t="shared" si="153"/>
        <v>259</v>
      </c>
      <c r="C257">
        <f t="shared" si="196"/>
        <v>21.5</v>
      </c>
      <c r="D257">
        <f t="shared" si="197"/>
        <v>0</v>
      </c>
      <c r="E257">
        <f t="shared" si="154"/>
        <v>77</v>
      </c>
      <c r="F257">
        <f>IF(C257&gt;=$T$2,0,VLOOKUP($E257,'Mortality Table'!$A$3:$C$128,2+AF$2,FALSE))</f>
        <v>0</v>
      </c>
      <c r="G257">
        <f>F257*Assumptions!$B$1</f>
        <v>0</v>
      </c>
      <c r="H257">
        <f t="shared" si="158"/>
        <v>0</v>
      </c>
      <c r="I257">
        <f t="shared" si="191"/>
        <v>0</v>
      </c>
      <c r="J257">
        <f>IF(B257&gt;$AJ$2,0,HLOOKUP(C257,Assumptions!$A$6:$J$7,2,TRUE))</f>
        <v>0</v>
      </c>
      <c r="K257" s="4">
        <f t="shared" si="192"/>
        <v>0</v>
      </c>
      <c r="L257" s="4">
        <f t="shared" si="159"/>
        <v>0</v>
      </c>
      <c r="M257" s="4">
        <f t="shared" si="193"/>
        <v>0</v>
      </c>
      <c r="N257">
        <f t="shared" si="160"/>
        <v>0</v>
      </c>
      <c r="O257" s="21">
        <f t="shared" si="194"/>
        <v>0</v>
      </c>
      <c r="P257">
        <f>IF(B257&gt;$AJ$2,0,HLOOKUP(C257,Assumptions!$A$12:$J$13,2,TRUE))</f>
        <v>0</v>
      </c>
      <c r="Q257">
        <f t="shared" si="195"/>
        <v>0</v>
      </c>
      <c r="R257">
        <f t="shared" si="161"/>
        <v>0</v>
      </c>
      <c r="S257">
        <f t="shared" si="189"/>
        <v>0</v>
      </c>
      <c r="T257">
        <f t="shared" si="190"/>
        <v>0</v>
      </c>
      <c r="U257">
        <f t="shared" si="162"/>
        <v>0</v>
      </c>
      <c r="V257">
        <f t="shared" si="163"/>
        <v>0</v>
      </c>
      <c r="W257">
        <f t="shared" si="164"/>
        <v>0</v>
      </c>
      <c r="X257">
        <f t="shared" si="155"/>
        <v>0</v>
      </c>
      <c r="Y257">
        <f t="shared" si="165"/>
        <v>0</v>
      </c>
      <c r="Z257">
        <f t="shared" si="166"/>
        <v>0</v>
      </c>
      <c r="AA257">
        <f t="shared" si="167"/>
        <v>0</v>
      </c>
      <c r="AB257">
        <f t="shared" si="168"/>
        <v>0</v>
      </c>
      <c r="AC257" s="23">
        <f>IF(B257&gt;$AJ$2,0,HLOOKUP(YEAR(A257),Assumptions!$A$25:$AL$29,4,TRUE)/100)</f>
        <v>0</v>
      </c>
      <c r="AD257">
        <f t="shared" si="169"/>
        <v>0</v>
      </c>
      <c r="AE257">
        <f t="shared" si="170"/>
        <v>0</v>
      </c>
      <c r="AF257">
        <f t="shared" si="171"/>
        <v>0</v>
      </c>
      <c r="AG257">
        <f t="shared" si="172"/>
        <v>0</v>
      </c>
      <c r="AH257">
        <f t="shared" si="173"/>
        <v>0</v>
      </c>
      <c r="AI257">
        <f t="shared" si="174"/>
        <v>0</v>
      </c>
      <c r="AJ257">
        <f t="shared" si="175"/>
        <v>0</v>
      </c>
      <c r="AK257">
        <f t="shared" si="176"/>
        <v>0</v>
      </c>
      <c r="AL257">
        <f t="shared" si="177"/>
        <v>0</v>
      </c>
      <c r="AM257">
        <f t="shared" si="156"/>
        <v>0</v>
      </c>
      <c r="AN257">
        <f>IF($S$2=0,0,(SUMPRODUCT($K$2:$R$2,Assumptions!$B$34:$I$34)/$U$2+$J$2/$U$2*Assumptions!$A$34*G257)*K257*O256)</f>
        <v>0</v>
      </c>
      <c r="AO257">
        <f t="shared" si="178"/>
        <v>0</v>
      </c>
      <c r="AP257">
        <f t="shared" si="179"/>
        <v>0</v>
      </c>
      <c r="AQ257">
        <f>IF(B257&gt;$AJ$2,0,AQ256*(1+Assumptions!$B$43)^(1/12))</f>
        <v>0</v>
      </c>
      <c r="AR257" s="27">
        <f>IF(B257&gt;$AJ$2,0,(O256+R256)*Assumptions!$B$39/12*AQ256+AV257*Assumptions!$B$41/12)</f>
        <v>0</v>
      </c>
      <c r="AS257">
        <f t="shared" si="180"/>
        <v>0</v>
      </c>
      <c r="AT257" s="28">
        <f t="shared" si="181"/>
        <v>0</v>
      </c>
      <c r="AU257">
        <f t="shared" si="182"/>
        <v>0</v>
      </c>
      <c r="AV257" s="28">
        <f t="shared" si="183"/>
        <v>0</v>
      </c>
      <c r="AW257" s="28">
        <f t="shared" si="184"/>
        <v>0</v>
      </c>
      <c r="AX257" s="23">
        <f>HLOOKUP(YEAR(A257),Assumptions!$A$25:$AL$29,2,TRUE)/100</f>
        <v>1.1739999999999999E-2</v>
      </c>
      <c r="AY257" s="29">
        <f>1/(1+HLOOKUP(YEAR(A257),Assumptions!$A$18:$AL$20,3,TRUE))^(1/12)</f>
        <v>0.99902750864006262</v>
      </c>
      <c r="AZ257" s="26">
        <f t="shared" si="185"/>
        <v>0</v>
      </c>
      <c r="BA257">
        <f t="shared" si="186"/>
        <v>0</v>
      </c>
      <c r="BB257">
        <f t="shared" si="187"/>
        <v>0</v>
      </c>
      <c r="BC257">
        <f t="shared" si="188"/>
        <v>0</v>
      </c>
    </row>
    <row r="258" spans="1:55" x14ac:dyDescent="0.2">
      <c r="A258" s="3">
        <f t="shared" si="157"/>
        <v>50617</v>
      </c>
      <c r="B258">
        <f t="shared" si="153"/>
        <v>260</v>
      </c>
      <c r="C258">
        <f t="shared" si="196"/>
        <v>21.583333333333332</v>
      </c>
      <c r="D258">
        <f t="shared" si="197"/>
        <v>0</v>
      </c>
      <c r="E258">
        <f t="shared" si="154"/>
        <v>77</v>
      </c>
      <c r="F258">
        <f>IF(C258&gt;=$T$2,0,VLOOKUP($E258,'Mortality Table'!$A$3:$C$128,2+AF$2,FALSE))</f>
        <v>0</v>
      </c>
      <c r="G258">
        <f>F258*Assumptions!$B$1</f>
        <v>0</v>
      </c>
      <c r="H258">
        <f t="shared" si="158"/>
        <v>0</v>
      </c>
      <c r="I258">
        <f t="shared" si="191"/>
        <v>0</v>
      </c>
      <c r="J258">
        <f>IF(B258&gt;$AJ$2,0,HLOOKUP(C258,Assumptions!$A$6:$J$7,2,TRUE))</f>
        <v>0</v>
      </c>
      <c r="K258" s="4">
        <f t="shared" si="192"/>
        <v>0</v>
      </c>
      <c r="L258" s="4">
        <f t="shared" si="159"/>
        <v>0</v>
      </c>
      <c r="M258" s="4">
        <f t="shared" si="193"/>
        <v>0</v>
      </c>
      <c r="N258">
        <f t="shared" si="160"/>
        <v>0</v>
      </c>
      <c r="O258" s="21">
        <f t="shared" si="194"/>
        <v>0</v>
      </c>
      <c r="P258">
        <f>IF(B258&gt;$AJ$2,0,HLOOKUP(C258,Assumptions!$A$12:$J$13,2,TRUE))</f>
        <v>0</v>
      </c>
      <c r="Q258">
        <f t="shared" si="195"/>
        <v>0</v>
      </c>
      <c r="R258">
        <f t="shared" si="161"/>
        <v>0</v>
      </c>
      <c r="S258">
        <f t="shared" si="189"/>
        <v>0</v>
      </c>
      <c r="T258">
        <f t="shared" si="190"/>
        <v>0</v>
      </c>
      <c r="U258">
        <f t="shared" si="162"/>
        <v>0</v>
      </c>
      <c r="V258">
        <f t="shared" si="163"/>
        <v>0</v>
      </c>
      <c r="W258">
        <f t="shared" si="164"/>
        <v>0</v>
      </c>
      <c r="X258">
        <f t="shared" si="155"/>
        <v>0</v>
      </c>
      <c r="Y258">
        <f t="shared" si="165"/>
        <v>0</v>
      </c>
      <c r="Z258">
        <f t="shared" si="166"/>
        <v>0</v>
      </c>
      <c r="AA258">
        <f t="shared" si="167"/>
        <v>0</v>
      </c>
      <c r="AB258">
        <f t="shared" si="168"/>
        <v>0</v>
      </c>
      <c r="AC258" s="23">
        <f>IF(B258&gt;$AJ$2,0,HLOOKUP(YEAR(A258),Assumptions!$A$25:$AL$29,4,TRUE)/100)</f>
        <v>0</v>
      </c>
      <c r="AD258">
        <f t="shared" si="169"/>
        <v>0</v>
      </c>
      <c r="AE258">
        <f t="shared" si="170"/>
        <v>0</v>
      </c>
      <c r="AF258">
        <f t="shared" si="171"/>
        <v>0</v>
      </c>
      <c r="AG258">
        <f t="shared" si="172"/>
        <v>0</v>
      </c>
      <c r="AH258">
        <f t="shared" si="173"/>
        <v>0</v>
      </c>
      <c r="AI258">
        <f t="shared" si="174"/>
        <v>0</v>
      </c>
      <c r="AJ258">
        <f t="shared" si="175"/>
        <v>0</v>
      </c>
      <c r="AK258">
        <f t="shared" si="176"/>
        <v>0</v>
      </c>
      <c r="AL258">
        <f t="shared" si="177"/>
        <v>0</v>
      </c>
      <c r="AM258">
        <f t="shared" si="156"/>
        <v>0</v>
      </c>
      <c r="AN258">
        <f>IF($S$2=0,0,(SUMPRODUCT($K$2:$R$2,Assumptions!$B$34:$I$34)/$U$2+$J$2/$U$2*Assumptions!$A$34*G258)*K258*O257)</f>
        <v>0</v>
      </c>
      <c r="AO258">
        <f t="shared" si="178"/>
        <v>0</v>
      </c>
      <c r="AP258">
        <f t="shared" si="179"/>
        <v>0</v>
      </c>
      <c r="AQ258">
        <f>IF(B258&gt;$AJ$2,0,AQ257*(1+Assumptions!$B$43)^(1/12))</f>
        <v>0</v>
      </c>
      <c r="AR258" s="27">
        <f>IF(B258&gt;$AJ$2,0,(O257+R257)*Assumptions!$B$39/12*AQ257+AV258*Assumptions!$B$41/12)</f>
        <v>0</v>
      </c>
      <c r="AS258">
        <f t="shared" si="180"/>
        <v>0</v>
      </c>
      <c r="AT258" s="28">
        <f t="shared" si="181"/>
        <v>0</v>
      </c>
      <c r="AU258">
        <f t="shared" si="182"/>
        <v>0</v>
      </c>
      <c r="AV258" s="28">
        <f t="shared" si="183"/>
        <v>0</v>
      </c>
      <c r="AW258" s="28">
        <f t="shared" si="184"/>
        <v>0</v>
      </c>
      <c r="AX258" s="23">
        <f>HLOOKUP(YEAR(A258),Assumptions!$A$25:$AL$29,2,TRUE)/100</f>
        <v>1.1739999999999999E-2</v>
      </c>
      <c r="AY258" s="29">
        <f>1/(1+HLOOKUP(YEAR(A258),Assumptions!$A$18:$AL$20,3,TRUE))^(1/12)</f>
        <v>0.99902750864006262</v>
      </c>
      <c r="AZ258" s="26">
        <f t="shared" si="185"/>
        <v>0</v>
      </c>
      <c r="BA258">
        <f t="shared" si="186"/>
        <v>0</v>
      </c>
      <c r="BB258">
        <f t="shared" si="187"/>
        <v>0</v>
      </c>
      <c r="BC258">
        <f t="shared" si="188"/>
        <v>0</v>
      </c>
    </row>
    <row r="259" spans="1:55" x14ac:dyDescent="0.2">
      <c r="A259" s="3">
        <f t="shared" si="157"/>
        <v>50648</v>
      </c>
      <c r="B259">
        <f t="shared" si="153"/>
        <v>261</v>
      </c>
      <c r="C259">
        <f t="shared" si="196"/>
        <v>21.666666666666668</v>
      </c>
      <c r="D259">
        <f t="shared" si="197"/>
        <v>0</v>
      </c>
      <c r="E259">
        <f t="shared" si="154"/>
        <v>77</v>
      </c>
      <c r="F259">
        <f>IF(C259&gt;=$T$2,0,VLOOKUP($E259,'Mortality Table'!$A$3:$C$128,2+AF$2,FALSE))</f>
        <v>0</v>
      </c>
      <c r="G259">
        <f>F259*Assumptions!$B$1</f>
        <v>0</v>
      </c>
      <c r="H259">
        <f t="shared" si="158"/>
        <v>0</v>
      </c>
      <c r="I259">
        <f t="shared" si="191"/>
        <v>0</v>
      </c>
      <c r="J259">
        <f>IF(B259&gt;$AJ$2,0,HLOOKUP(C259,Assumptions!$A$6:$J$7,2,TRUE))</f>
        <v>0</v>
      </c>
      <c r="K259" s="4">
        <f t="shared" si="192"/>
        <v>0</v>
      </c>
      <c r="L259" s="4">
        <f t="shared" si="159"/>
        <v>0</v>
      </c>
      <c r="M259" s="4">
        <f t="shared" si="193"/>
        <v>0</v>
      </c>
      <c r="N259">
        <f t="shared" si="160"/>
        <v>0</v>
      </c>
      <c r="O259" s="21">
        <f t="shared" si="194"/>
        <v>0</v>
      </c>
      <c r="P259">
        <f>IF(B259&gt;$AJ$2,0,HLOOKUP(C259,Assumptions!$A$12:$J$13,2,TRUE))</f>
        <v>0</v>
      </c>
      <c r="Q259">
        <f t="shared" si="195"/>
        <v>0</v>
      </c>
      <c r="R259">
        <f t="shared" si="161"/>
        <v>0</v>
      </c>
      <c r="S259">
        <f t="shared" si="189"/>
        <v>0</v>
      </c>
      <c r="T259">
        <f t="shared" si="190"/>
        <v>0</v>
      </c>
      <c r="U259">
        <f t="shared" si="162"/>
        <v>0</v>
      </c>
      <c r="V259">
        <f t="shared" si="163"/>
        <v>0</v>
      </c>
      <c r="W259">
        <f t="shared" si="164"/>
        <v>0</v>
      </c>
      <c r="X259">
        <f t="shared" si="155"/>
        <v>0</v>
      </c>
      <c r="Y259">
        <f t="shared" si="165"/>
        <v>0</v>
      </c>
      <c r="Z259">
        <f t="shared" si="166"/>
        <v>0</v>
      </c>
      <c r="AA259">
        <f t="shared" si="167"/>
        <v>0</v>
      </c>
      <c r="AB259">
        <f t="shared" si="168"/>
        <v>0</v>
      </c>
      <c r="AC259" s="23">
        <f>IF(B259&gt;$AJ$2,0,HLOOKUP(YEAR(A259),Assumptions!$A$25:$AL$29,4,TRUE)/100)</f>
        <v>0</v>
      </c>
      <c r="AD259">
        <f t="shared" si="169"/>
        <v>0</v>
      </c>
      <c r="AE259">
        <f t="shared" si="170"/>
        <v>0</v>
      </c>
      <c r="AF259">
        <f t="shared" si="171"/>
        <v>0</v>
      </c>
      <c r="AG259">
        <f t="shared" si="172"/>
        <v>0</v>
      </c>
      <c r="AH259">
        <f t="shared" si="173"/>
        <v>0</v>
      </c>
      <c r="AI259">
        <f t="shared" si="174"/>
        <v>0</v>
      </c>
      <c r="AJ259">
        <f t="shared" si="175"/>
        <v>0</v>
      </c>
      <c r="AK259">
        <f t="shared" si="176"/>
        <v>0</v>
      </c>
      <c r="AL259">
        <f t="shared" si="177"/>
        <v>0</v>
      </c>
      <c r="AM259">
        <f t="shared" si="156"/>
        <v>0</v>
      </c>
      <c r="AN259">
        <f>IF($S$2=0,0,(SUMPRODUCT($K$2:$R$2,Assumptions!$B$34:$I$34)/$U$2+$J$2/$U$2*Assumptions!$A$34*G259)*K259*O258)</f>
        <v>0</v>
      </c>
      <c r="AO259">
        <f t="shared" si="178"/>
        <v>0</v>
      </c>
      <c r="AP259">
        <f t="shared" si="179"/>
        <v>0</v>
      </c>
      <c r="AQ259">
        <f>IF(B259&gt;$AJ$2,0,AQ258*(1+Assumptions!$B$43)^(1/12))</f>
        <v>0</v>
      </c>
      <c r="AR259" s="27">
        <f>IF(B259&gt;$AJ$2,0,(O258+R258)*Assumptions!$B$39/12*AQ258+AV259*Assumptions!$B$41/12)</f>
        <v>0</v>
      </c>
      <c r="AS259">
        <f t="shared" si="180"/>
        <v>0</v>
      </c>
      <c r="AT259" s="28">
        <f t="shared" si="181"/>
        <v>0</v>
      </c>
      <c r="AU259">
        <f t="shared" si="182"/>
        <v>0</v>
      </c>
      <c r="AV259" s="28">
        <f t="shared" si="183"/>
        <v>0</v>
      </c>
      <c r="AW259" s="28">
        <f t="shared" si="184"/>
        <v>0</v>
      </c>
      <c r="AX259" s="23">
        <f>HLOOKUP(YEAR(A259),Assumptions!$A$25:$AL$29,2,TRUE)/100</f>
        <v>1.1739999999999999E-2</v>
      </c>
      <c r="AY259" s="29">
        <f>1/(1+HLOOKUP(YEAR(A259),Assumptions!$A$18:$AL$20,3,TRUE))^(1/12)</f>
        <v>0.99902750864006262</v>
      </c>
      <c r="AZ259" s="26">
        <f t="shared" si="185"/>
        <v>0</v>
      </c>
      <c r="BA259">
        <f t="shared" si="186"/>
        <v>0</v>
      </c>
      <c r="BB259">
        <f t="shared" si="187"/>
        <v>0</v>
      </c>
      <c r="BC259">
        <f t="shared" si="188"/>
        <v>0</v>
      </c>
    </row>
    <row r="260" spans="1:55" x14ac:dyDescent="0.2">
      <c r="A260" s="3">
        <f t="shared" si="157"/>
        <v>50678</v>
      </c>
      <c r="B260">
        <f t="shared" si="153"/>
        <v>262</v>
      </c>
      <c r="C260">
        <f t="shared" si="196"/>
        <v>21.75</v>
      </c>
      <c r="D260">
        <f t="shared" si="197"/>
        <v>0</v>
      </c>
      <c r="E260">
        <f t="shared" si="154"/>
        <v>77</v>
      </c>
      <c r="F260">
        <f>IF(C260&gt;=$T$2,0,VLOOKUP($E260,'Mortality Table'!$A$3:$C$128,2+AF$2,FALSE))</f>
        <v>0</v>
      </c>
      <c r="G260">
        <f>F260*Assumptions!$B$1</f>
        <v>0</v>
      </c>
      <c r="H260">
        <f t="shared" si="158"/>
        <v>0</v>
      </c>
      <c r="I260">
        <f t="shared" si="191"/>
        <v>0</v>
      </c>
      <c r="J260">
        <f>IF(B260&gt;$AJ$2,0,HLOOKUP(C260,Assumptions!$A$6:$J$7,2,TRUE))</f>
        <v>0</v>
      </c>
      <c r="K260" s="4">
        <f t="shared" si="192"/>
        <v>0</v>
      </c>
      <c r="L260" s="4">
        <f t="shared" si="159"/>
        <v>0</v>
      </c>
      <c r="M260" s="4">
        <f t="shared" si="193"/>
        <v>0</v>
      </c>
      <c r="N260">
        <f t="shared" si="160"/>
        <v>0</v>
      </c>
      <c r="O260" s="21">
        <f t="shared" si="194"/>
        <v>0</v>
      </c>
      <c r="P260">
        <f>IF(B260&gt;$AJ$2,0,HLOOKUP(C260,Assumptions!$A$12:$J$13,2,TRUE))</f>
        <v>0</v>
      </c>
      <c r="Q260">
        <f t="shared" si="195"/>
        <v>0</v>
      </c>
      <c r="R260">
        <f t="shared" si="161"/>
        <v>0</v>
      </c>
      <c r="S260">
        <f t="shared" si="189"/>
        <v>0</v>
      </c>
      <c r="T260">
        <f t="shared" si="190"/>
        <v>0</v>
      </c>
      <c r="U260">
        <f t="shared" si="162"/>
        <v>0</v>
      </c>
      <c r="V260">
        <f t="shared" si="163"/>
        <v>0</v>
      </c>
      <c r="W260">
        <f t="shared" si="164"/>
        <v>0</v>
      </c>
      <c r="X260">
        <f t="shared" si="155"/>
        <v>0</v>
      </c>
      <c r="Y260">
        <f t="shared" si="165"/>
        <v>0</v>
      </c>
      <c r="Z260">
        <f t="shared" si="166"/>
        <v>0</v>
      </c>
      <c r="AA260">
        <f t="shared" si="167"/>
        <v>0</v>
      </c>
      <c r="AB260">
        <f t="shared" si="168"/>
        <v>0</v>
      </c>
      <c r="AC260" s="23">
        <f>IF(B260&gt;$AJ$2,0,HLOOKUP(YEAR(A260),Assumptions!$A$25:$AL$29,4,TRUE)/100)</f>
        <v>0</v>
      </c>
      <c r="AD260">
        <f t="shared" si="169"/>
        <v>0</v>
      </c>
      <c r="AE260">
        <f t="shared" si="170"/>
        <v>0</v>
      </c>
      <c r="AF260">
        <f t="shared" si="171"/>
        <v>0</v>
      </c>
      <c r="AG260">
        <f t="shared" si="172"/>
        <v>0</v>
      </c>
      <c r="AH260">
        <f t="shared" si="173"/>
        <v>0</v>
      </c>
      <c r="AI260">
        <f t="shared" si="174"/>
        <v>0</v>
      </c>
      <c r="AJ260">
        <f t="shared" si="175"/>
        <v>0</v>
      </c>
      <c r="AK260">
        <f t="shared" si="176"/>
        <v>0</v>
      </c>
      <c r="AL260">
        <f t="shared" si="177"/>
        <v>0</v>
      </c>
      <c r="AM260">
        <f t="shared" si="156"/>
        <v>0</v>
      </c>
      <c r="AN260">
        <f>IF($S$2=0,0,(SUMPRODUCT($K$2:$R$2,Assumptions!$B$34:$I$34)/$U$2+$J$2/$U$2*Assumptions!$A$34*G260)*K260*O259)</f>
        <v>0</v>
      </c>
      <c r="AO260">
        <f t="shared" si="178"/>
        <v>0</v>
      </c>
      <c r="AP260">
        <f t="shared" si="179"/>
        <v>0</v>
      </c>
      <c r="AQ260">
        <f>IF(B260&gt;$AJ$2,0,AQ259*(1+Assumptions!$B$43)^(1/12))</f>
        <v>0</v>
      </c>
      <c r="AR260" s="27">
        <f>IF(B260&gt;$AJ$2,0,(O259+R259)*Assumptions!$B$39/12*AQ259+AV260*Assumptions!$B$41/12)</f>
        <v>0</v>
      </c>
      <c r="AS260">
        <f t="shared" si="180"/>
        <v>0</v>
      </c>
      <c r="AT260" s="28">
        <f t="shared" si="181"/>
        <v>0</v>
      </c>
      <c r="AU260">
        <f t="shared" si="182"/>
        <v>0</v>
      </c>
      <c r="AV260" s="28">
        <f t="shared" si="183"/>
        <v>0</v>
      </c>
      <c r="AW260" s="28">
        <f t="shared" si="184"/>
        <v>0</v>
      </c>
      <c r="AX260" s="23">
        <f>HLOOKUP(YEAR(A260),Assumptions!$A$25:$AL$29,2,TRUE)/100</f>
        <v>1.1739999999999999E-2</v>
      </c>
      <c r="AY260" s="29">
        <f>1/(1+HLOOKUP(YEAR(A260),Assumptions!$A$18:$AL$20,3,TRUE))^(1/12)</f>
        <v>0.99902750864006262</v>
      </c>
      <c r="AZ260" s="26">
        <f t="shared" si="185"/>
        <v>0</v>
      </c>
      <c r="BA260">
        <f t="shared" si="186"/>
        <v>0</v>
      </c>
      <c r="BB260">
        <f t="shared" si="187"/>
        <v>0</v>
      </c>
      <c r="BC260">
        <f t="shared" si="188"/>
        <v>0</v>
      </c>
    </row>
    <row r="261" spans="1:55" x14ac:dyDescent="0.2">
      <c r="A261" s="3">
        <f t="shared" si="157"/>
        <v>50709</v>
      </c>
      <c r="B261">
        <f t="shared" si="153"/>
        <v>263</v>
      </c>
      <c r="C261">
        <f t="shared" si="196"/>
        <v>21.833333333333332</v>
      </c>
      <c r="D261">
        <f t="shared" si="197"/>
        <v>0</v>
      </c>
      <c r="E261">
        <f t="shared" si="154"/>
        <v>77</v>
      </c>
      <c r="F261">
        <f>IF(C261&gt;=$T$2,0,VLOOKUP($E261,'Mortality Table'!$A$3:$C$128,2+AF$2,FALSE))</f>
        <v>0</v>
      </c>
      <c r="G261">
        <f>F261*Assumptions!$B$1</f>
        <v>0</v>
      </c>
      <c r="H261">
        <f t="shared" si="158"/>
        <v>0</v>
      </c>
      <c r="I261">
        <f t="shared" si="191"/>
        <v>0</v>
      </c>
      <c r="J261">
        <f>IF(B261&gt;$AJ$2,0,HLOOKUP(C261,Assumptions!$A$6:$J$7,2,TRUE))</f>
        <v>0</v>
      </c>
      <c r="K261" s="4">
        <f t="shared" si="192"/>
        <v>0</v>
      </c>
      <c r="L261" s="4">
        <f t="shared" si="159"/>
        <v>0</v>
      </c>
      <c r="M261" s="4">
        <f t="shared" si="193"/>
        <v>0</v>
      </c>
      <c r="N261">
        <f t="shared" si="160"/>
        <v>0</v>
      </c>
      <c r="O261" s="21">
        <f t="shared" si="194"/>
        <v>0</v>
      </c>
      <c r="P261">
        <f>IF(B261&gt;$AJ$2,0,HLOOKUP(C261,Assumptions!$A$12:$J$13,2,TRUE))</f>
        <v>0</v>
      </c>
      <c r="Q261">
        <f t="shared" si="195"/>
        <v>0</v>
      </c>
      <c r="R261">
        <f t="shared" si="161"/>
        <v>0</v>
      </c>
      <c r="S261">
        <f t="shared" si="189"/>
        <v>0</v>
      </c>
      <c r="T261">
        <f t="shared" si="190"/>
        <v>0</v>
      </c>
      <c r="U261">
        <f t="shared" si="162"/>
        <v>0</v>
      </c>
      <c r="V261">
        <f t="shared" si="163"/>
        <v>0</v>
      </c>
      <c r="W261">
        <f t="shared" si="164"/>
        <v>0</v>
      </c>
      <c r="X261">
        <f t="shared" si="155"/>
        <v>0</v>
      </c>
      <c r="Y261">
        <f t="shared" si="165"/>
        <v>0</v>
      </c>
      <c r="Z261">
        <f t="shared" si="166"/>
        <v>0</v>
      </c>
      <c r="AA261">
        <f t="shared" si="167"/>
        <v>0</v>
      </c>
      <c r="AB261">
        <f t="shared" si="168"/>
        <v>0</v>
      </c>
      <c r="AC261" s="23">
        <f>IF(B261&gt;$AJ$2,0,HLOOKUP(YEAR(A261),Assumptions!$A$25:$AL$29,4,TRUE)/100)</f>
        <v>0</v>
      </c>
      <c r="AD261">
        <f t="shared" si="169"/>
        <v>0</v>
      </c>
      <c r="AE261">
        <f t="shared" si="170"/>
        <v>0</v>
      </c>
      <c r="AF261">
        <f t="shared" si="171"/>
        <v>0</v>
      </c>
      <c r="AG261">
        <f t="shared" si="172"/>
        <v>0</v>
      </c>
      <c r="AH261">
        <f t="shared" si="173"/>
        <v>0</v>
      </c>
      <c r="AI261">
        <f t="shared" si="174"/>
        <v>0</v>
      </c>
      <c r="AJ261">
        <f t="shared" si="175"/>
        <v>0</v>
      </c>
      <c r="AK261">
        <f t="shared" si="176"/>
        <v>0</v>
      </c>
      <c r="AL261">
        <f t="shared" si="177"/>
        <v>0</v>
      </c>
      <c r="AM261">
        <f t="shared" si="156"/>
        <v>0</v>
      </c>
      <c r="AN261">
        <f>IF($S$2=0,0,(SUMPRODUCT($K$2:$R$2,Assumptions!$B$34:$I$34)/$U$2+$J$2/$U$2*Assumptions!$A$34*G261)*K261*O260)</f>
        <v>0</v>
      </c>
      <c r="AO261">
        <f t="shared" si="178"/>
        <v>0</v>
      </c>
      <c r="AP261">
        <f t="shared" si="179"/>
        <v>0</v>
      </c>
      <c r="AQ261">
        <f>IF(B261&gt;$AJ$2,0,AQ260*(1+Assumptions!$B$43)^(1/12))</f>
        <v>0</v>
      </c>
      <c r="AR261" s="27">
        <f>IF(B261&gt;$AJ$2,0,(O260+R260)*Assumptions!$B$39/12*AQ260+AV261*Assumptions!$B$41/12)</f>
        <v>0</v>
      </c>
      <c r="AS261">
        <f t="shared" si="180"/>
        <v>0</v>
      </c>
      <c r="AT261" s="28">
        <f t="shared" si="181"/>
        <v>0</v>
      </c>
      <c r="AU261">
        <f t="shared" si="182"/>
        <v>0</v>
      </c>
      <c r="AV261" s="28">
        <f t="shared" si="183"/>
        <v>0</v>
      </c>
      <c r="AW261" s="28">
        <f t="shared" si="184"/>
        <v>0</v>
      </c>
      <c r="AX261" s="23">
        <f>HLOOKUP(YEAR(A261),Assumptions!$A$25:$AL$29,2,TRUE)/100</f>
        <v>1.1739999999999999E-2</v>
      </c>
      <c r="AY261" s="29">
        <f>1/(1+HLOOKUP(YEAR(A261),Assumptions!$A$18:$AL$20,3,TRUE))^(1/12)</f>
        <v>0.99902750864006262</v>
      </c>
      <c r="AZ261" s="26">
        <f t="shared" si="185"/>
        <v>0</v>
      </c>
      <c r="BA261">
        <f t="shared" si="186"/>
        <v>0</v>
      </c>
      <c r="BB261">
        <f t="shared" si="187"/>
        <v>0</v>
      </c>
      <c r="BC261">
        <f t="shared" si="188"/>
        <v>0</v>
      </c>
    </row>
    <row r="262" spans="1:55" x14ac:dyDescent="0.2">
      <c r="A262" s="3">
        <f t="shared" si="157"/>
        <v>50739</v>
      </c>
      <c r="B262">
        <f t="shared" si="153"/>
        <v>264</v>
      </c>
      <c r="C262">
        <f t="shared" si="196"/>
        <v>21.916666666666668</v>
      </c>
      <c r="D262">
        <f t="shared" si="197"/>
        <v>0</v>
      </c>
      <c r="E262">
        <f t="shared" si="154"/>
        <v>77</v>
      </c>
      <c r="F262">
        <f>IF(C262&gt;=$T$2,0,VLOOKUP($E262,'Mortality Table'!$A$3:$C$128,2+AF$2,FALSE))</f>
        <v>0</v>
      </c>
      <c r="G262">
        <f>F262*Assumptions!$B$1</f>
        <v>0</v>
      </c>
      <c r="H262">
        <f t="shared" si="158"/>
        <v>0</v>
      </c>
      <c r="I262">
        <f t="shared" si="191"/>
        <v>0</v>
      </c>
      <c r="J262">
        <f>IF(B262&gt;$AJ$2,0,HLOOKUP(C262,Assumptions!$A$6:$J$7,2,TRUE))</f>
        <v>0</v>
      </c>
      <c r="K262" s="4">
        <f t="shared" si="192"/>
        <v>0</v>
      </c>
      <c r="L262" s="4">
        <f t="shared" si="159"/>
        <v>0</v>
      </c>
      <c r="M262" s="4">
        <f t="shared" si="193"/>
        <v>0</v>
      </c>
      <c r="N262">
        <f t="shared" si="160"/>
        <v>0</v>
      </c>
      <c r="O262" s="21">
        <f t="shared" si="194"/>
        <v>0</v>
      </c>
      <c r="P262">
        <f>IF(B262&gt;$AJ$2,0,HLOOKUP(C262,Assumptions!$A$12:$J$13,2,TRUE))</f>
        <v>0</v>
      </c>
      <c r="Q262">
        <f t="shared" si="195"/>
        <v>0</v>
      </c>
      <c r="R262">
        <f t="shared" si="161"/>
        <v>0</v>
      </c>
      <c r="S262">
        <f t="shared" si="189"/>
        <v>0</v>
      </c>
      <c r="T262">
        <f t="shared" si="190"/>
        <v>0</v>
      </c>
      <c r="U262">
        <f t="shared" si="162"/>
        <v>0</v>
      </c>
      <c r="V262">
        <f t="shared" si="163"/>
        <v>0</v>
      </c>
      <c r="W262">
        <f t="shared" si="164"/>
        <v>0</v>
      </c>
      <c r="X262">
        <f t="shared" si="155"/>
        <v>0</v>
      </c>
      <c r="Y262">
        <f t="shared" si="165"/>
        <v>0</v>
      </c>
      <c r="Z262">
        <f t="shared" si="166"/>
        <v>0</v>
      </c>
      <c r="AA262">
        <f t="shared" si="167"/>
        <v>0</v>
      </c>
      <c r="AB262">
        <f t="shared" si="168"/>
        <v>0</v>
      </c>
      <c r="AC262" s="23">
        <f>IF(B262&gt;$AJ$2,0,HLOOKUP(YEAR(A262),Assumptions!$A$25:$AL$29,4,TRUE)/100)</f>
        <v>0</v>
      </c>
      <c r="AD262">
        <f t="shared" si="169"/>
        <v>0</v>
      </c>
      <c r="AE262">
        <f t="shared" si="170"/>
        <v>0</v>
      </c>
      <c r="AF262">
        <f t="shared" si="171"/>
        <v>0</v>
      </c>
      <c r="AG262">
        <f t="shared" si="172"/>
        <v>0</v>
      </c>
      <c r="AH262">
        <f t="shared" si="173"/>
        <v>0</v>
      </c>
      <c r="AI262">
        <f t="shared" si="174"/>
        <v>0</v>
      </c>
      <c r="AJ262">
        <f t="shared" si="175"/>
        <v>0</v>
      </c>
      <c r="AK262">
        <f t="shared" si="176"/>
        <v>0</v>
      </c>
      <c r="AL262">
        <f t="shared" si="177"/>
        <v>0</v>
      </c>
      <c r="AM262">
        <f t="shared" si="156"/>
        <v>0</v>
      </c>
      <c r="AN262">
        <f>IF($S$2=0,0,(SUMPRODUCT($K$2:$R$2,Assumptions!$B$34:$I$34)/$U$2+$J$2/$U$2*Assumptions!$A$34*G262)*K262*O261)</f>
        <v>0</v>
      </c>
      <c r="AO262">
        <f t="shared" si="178"/>
        <v>0</v>
      </c>
      <c r="AP262">
        <f t="shared" si="179"/>
        <v>0</v>
      </c>
      <c r="AQ262">
        <f>IF(B262&gt;$AJ$2,0,AQ261*(1+Assumptions!$B$43)^(1/12))</f>
        <v>0</v>
      </c>
      <c r="AR262" s="27">
        <f>IF(B262&gt;$AJ$2,0,(O261+R261)*Assumptions!$B$39/12*AQ261+AV262*Assumptions!$B$41/12)</f>
        <v>0</v>
      </c>
      <c r="AS262">
        <f t="shared" si="180"/>
        <v>0</v>
      </c>
      <c r="AT262" s="28">
        <f t="shared" si="181"/>
        <v>0</v>
      </c>
      <c r="AU262">
        <f t="shared" si="182"/>
        <v>0</v>
      </c>
      <c r="AV262" s="28">
        <f t="shared" si="183"/>
        <v>0</v>
      </c>
      <c r="AW262" s="28">
        <f t="shared" si="184"/>
        <v>0</v>
      </c>
      <c r="AX262" s="23">
        <f>HLOOKUP(YEAR(A262),Assumptions!$A$25:$AL$29,2,TRUE)/100</f>
        <v>1.1739999999999999E-2</v>
      </c>
      <c r="AY262" s="29">
        <f>1/(1+HLOOKUP(YEAR(A262),Assumptions!$A$18:$AL$20,3,TRUE))^(1/12)</f>
        <v>0.99902750864006262</v>
      </c>
      <c r="AZ262" s="26">
        <f t="shared" si="185"/>
        <v>0</v>
      </c>
      <c r="BA262">
        <f t="shared" si="186"/>
        <v>0</v>
      </c>
      <c r="BB262">
        <f t="shared" si="187"/>
        <v>0</v>
      </c>
      <c r="BC262">
        <f t="shared" si="188"/>
        <v>0</v>
      </c>
    </row>
    <row r="263" spans="1:55" x14ac:dyDescent="0.2">
      <c r="A263" s="3">
        <f t="shared" si="157"/>
        <v>50770</v>
      </c>
      <c r="B263">
        <f t="shared" si="153"/>
        <v>265</v>
      </c>
      <c r="C263">
        <f t="shared" si="196"/>
        <v>22</v>
      </c>
      <c r="D263">
        <f t="shared" si="197"/>
        <v>1</v>
      </c>
      <c r="E263">
        <f t="shared" si="154"/>
        <v>78</v>
      </c>
      <c r="F263">
        <f>IF(C263&gt;=$T$2,0,VLOOKUP($E263,'Mortality Table'!$A$3:$C$128,2+AF$2,FALSE))</f>
        <v>0</v>
      </c>
      <c r="G263">
        <f>F263*Assumptions!$B$1</f>
        <v>0</v>
      </c>
      <c r="H263">
        <f t="shared" si="158"/>
        <v>0</v>
      </c>
      <c r="I263">
        <f t="shared" si="191"/>
        <v>0</v>
      </c>
      <c r="J263">
        <f>IF(B263&gt;$AJ$2,0,HLOOKUP(C263,Assumptions!$A$6:$J$7,2,TRUE))</f>
        <v>0</v>
      </c>
      <c r="K263" s="4">
        <f t="shared" si="192"/>
        <v>0</v>
      </c>
      <c r="L263" s="4">
        <f t="shared" si="159"/>
        <v>0</v>
      </c>
      <c r="M263" s="4">
        <f t="shared" si="193"/>
        <v>0</v>
      </c>
      <c r="N263">
        <f t="shared" si="160"/>
        <v>0</v>
      </c>
      <c r="O263" s="21">
        <f t="shared" si="194"/>
        <v>0</v>
      </c>
      <c r="P263">
        <f>IF(B263&gt;$AJ$2,0,HLOOKUP(C263,Assumptions!$A$12:$J$13,2,TRUE))</f>
        <v>0</v>
      </c>
      <c r="Q263">
        <f t="shared" si="195"/>
        <v>0</v>
      </c>
      <c r="R263">
        <f t="shared" si="161"/>
        <v>0</v>
      </c>
      <c r="S263">
        <f t="shared" si="189"/>
        <v>0</v>
      </c>
      <c r="T263">
        <f t="shared" si="190"/>
        <v>0</v>
      </c>
      <c r="U263">
        <f t="shared" si="162"/>
        <v>0</v>
      </c>
      <c r="V263">
        <f t="shared" si="163"/>
        <v>0</v>
      </c>
      <c r="W263">
        <f t="shared" si="164"/>
        <v>0</v>
      </c>
      <c r="X263">
        <f t="shared" si="155"/>
        <v>0</v>
      </c>
      <c r="Y263">
        <f t="shared" si="165"/>
        <v>0</v>
      </c>
      <c r="Z263">
        <f t="shared" si="166"/>
        <v>0</v>
      </c>
      <c r="AA263">
        <f t="shared" si="167"/>
        <v>0</v>
      </c>
      <c r="AB263">
        <f t="shared" si="168"/>
        <v>0</v>
      </c>
      <c r="AC263" s="23">
        <f>IF(B263&gt;$AJ$2,0,HLOOKUP(YEAR(A263),Assumptions!$A$25:$AL$29,4,TRUE)/100)</f>
        <v>0</v>
      </c>
      <c r="AD263">
        <f t="shared" si="169"/>
        <v>0</v>
      </c>
      <c r="AE263">
        <f t="shared" si="170"/>
        <v>0</v>
      </c>
      <c r="AF263">
        <f t="shared" si="171"/>
        <v>0</v>
      </c>
      <c r="AG263">
        <f t="shared" si="172"/>
        <v>0</v>
      </c>
      <c r="AH263">
        <f t="shared" si="173"/>
        <v>0</v>
      </c>
      <c r="AI263">
        <f t="shared" si="174"/>
        <v>0</v>
      </c>
      <c r="AJ263">
        <f t="shared" si="175"/>
        <v>0</v>
      </c>
      <c r="AK263">
        <f t="shared" si="176"/>
        <v>0</v>
      </c>
      <c r="AL263">
        <f t="shared" si="177"/>
        <v>0</v>
      </c>
      <c r="AM263">
        <f t="shared" si="156"/>
        <v>0</v>
      </c>
      <c r="AN263">
        <f>IF($S$2=0,0,(SUMPRODUCT($K$2:$R$2,Assumptions!$B$34:$I$34)/$U$2+$J$2/$U$2*Assumptions!$A$34*G263)*K263*O262)</f>
        <v>0</v>
      </c>
      <c r="AO263">
        <f t="shared" si="178"/>
        <v>0</v>
      </c>
      <c r="AP263">
        <f t="shared" si="179"/>
        <v>0</v>
      </c>
      <c r="AQ263">
        <f>IF(B263&gt;$AJ$2,0,AQ262*(1+Assumptions!$B$43)^(1/12))</f>
        <v>0</v>
      </c>
      <c r="AR263" s="27">
        <f>IF(B263&gt;$AJ$2,0,(O262+R262)*Assumptions!$B$39/12*AQ262+AV263*Assumptions!$B$41/12)</f>
        <v>0</v>
      </c>
      <c r="AS263">
        <f t="shared" si="180"/>
        <v>0</v>
      </c>
      <c r="AT263" s="28">
        <f t="shared" si="181"/>
        <v>0</v>
      </c>
      <c r="AU263">
        <f t="shared" si="182"/>
        <v>0</v>
      </c>
      <c r="AV263" s="28">
        <f t="shared" si="183"/>
        <v>0</v>
      </c>
      <c r="AW263" s="28">
        <f t="shared" si="184"/>
        <v>0</v>
      </c>
      <c r="AX263" s="23">
        <f>HLOOKUP(YEAR(A263),Assumptions!$A$25:$AL$29,2,TRUE)/100</f>
        <v>1.1739999999999999E-2</v>
      </c>
      <c r="AY263" s="29">
        <f>1/(1+HLOOKUP(YEAR(A263),Assumptions!$A$18:$AL$20,3,TRUE))^(1/12)</f>
        <v>0.99902750864006262</v>
      </c>
      <c r="AZ263" s="26">
        <f t="shared" si="185"/>
        <v>0</v>
      </c>
      <c r="BA263">
        <f t="shared" si="186"/>
        <v>0</v>
      </c>
      <c r="BB263">
        <f t="shared" si="187"/>
        <v>0</v>
      </c>
      <c r="BC263">
        <f t="shared" si="188"/>
        <v>0</v>
      </c>
    </row>
    <row r="264" spans="1:55" x14ac:dyDescent="0.2">
      <c r="A264" s="3">
        <f t="shared" si="157"/>
        <v>50801</v>
      </c>
      <c r="B264">
        <f t="shared" si="153"/>
        <v>266</v>
      </c>
      <c r="C264">
        <f t="shared" si="196"/>
        <v>22.083333333333332</v>
      </c>
      <c r="D264">
        <f t="shared" si="197"/>
        <v>0</v>
      </c>
      <c r="E264">
        <f t="shared" si="154"/>
        <v>78</v>
      </c>
      <c r="F264">
        <f>IF(C264&gt;=$T$2,0,VLOOKUP($E264,'Mortality Table'!$A$3:$C$128,2+AF$2,FALSE))</f>
        <v>0</v>
      </c>
      <c r="G264">
        <f>F264*Assumptions!$B$1</f>
        <v>0</v>
      </c>
      <c r="H264">
        <f t="shared" si="158"/>
        <v>0</v>
      </c>
      <c r="I264">
        <f t="shared" si="191"/>
        <v>0</v>
      </c>
      <c r="J264">
        <f>IF(B264&gt;$AJ$2,0,HLOOKUP(C264,Assumptions!$A$6:$J$7,2,TRUE))</f>
        <v>0</v>
      </c>
      <c r="K264" s="4">
        <f t="shared" si="192"/>
        <v>0</v>
      </c>
      <c r="L264" s="4">
        <f t="shared" si="159"/>
        <v>0</v>
      </c>
      <c r="M264" s="4">
        <f t="shared" si="193"/>
        <v>0</v>
      </c>
      <c r="N264">
        <f t="shared" si="160"/>
        <v>0</v>
      </c>
      <c r="O264" s="21">
        <f t="shared" si="194"/>
        <v>0</v>
      </c>
      <c r="P264">
        <f>IF(B264&gt;$AJ$2,0,HLOOKUP(C264,Assumptions!$A$12:$J$13,2,TRUE))</f>
        <v>0</v>
      </c>
      <c r="Q264">
        <f t="shared" si="195"/>
        <v>0</v>
      </c>
      <c r="R264">
        <f t="shared" si="161"/>
        <v>0</v>
      </c>
      <c r="S264">
        <f t="shared" si="189"/>
        <v>0</v>
      </c>
      <c r="T264">
        <f t="shared" si="190"/>
        <v>0</v>
      </c>
      <c r="U264">
        <f t="shared" si="162"/>
        <v>0</v>
      </c>
      <c r="V264">
        <f t="shared" si="163"/>
        <v>0</v>
      </c>
      <c r="W264">
        <f t="shared" si="164"/>
        <v>0</v>
      </c>
      <c r="X264">
        <f t="shared" si="155"/>
        <v>0</v>
      </c>
      <c r="Y264">
        <f t="shared" si="165"/>
        <v>0</v>
      </c>
      <c r="Z264">
        <f t="shared" si="166"/>
        <v>0</v>
      </c>
      <c r="AA264">
        <f t="shared" si="167"/>
        <v>0</v>
      </c>
      <c r="AB264">
        <f t="shared" si="168"/>
        <v>0</v>
      </c>
      <c r="AC264" s="23">
        <f>IF(B264&gt;$AJ$2,0,HLOOKUP(YEAR(A264),Assumptions!$A$25:$AL$29,4,TRUE)/100)</f>
        <v>0</v>
      </c>
      <c r="AD264">
        <f t="shared" si="169"/>
        <v>0</v>
      </c>
      <c r="AE264">
        <f t="shared" si="170"/>
        <v>0</v>
      </c>
      <c r="AF264">
        <f t="shared" si="171"/>
        <v>0</v>
      </c>
      <c r="AG264">
        <f t="shared" si="172"/>
        <v>0</v>
      </c>
      <c r="AH264">
        <f t="shared" si="173"/>
        <v>0</v>
      </c>
      <c r="AI264">
        <f t="shared" si="174"/>
        <v>0</v>
      </c>
      <c r="AJ264">
        <f t="shared" si="175"/>
        <v>0</v>
      </c>
      <c r="AK264">
        <f t="shared" si="176"/>
        <v>0</v>
      </c>
      <c r="AL264">
        <f t="shared" si="177"/>
        <v>0</v>
      </c>
      <c r="AM264">
        <f t="shared" si="156"/>
        <v>0</v>
      </c>
      <c r="AN264">
        <f>IF($S$2=0,0,(SUMPRODUCT($K$2:$R$2,Assumptions!$B$34:$I$34)/$U$2+$J$2/$U$2*Assumptions!$A$34*G264)*K264*O263)</f>
        <v>0</v>
      </c>
      <c r="AO264">
        <f t="shared" si="178"/>
        <v>0</v>
      </c>
      <c r="AP264">
        <f t="shared" si="179"/>
        <v>0</v>
      </c>
      <c r="AQ264">
        <f>IF(B264&gt;$AJ$2,0,AQ263*(1+Assumptions!$B$43)^(1/12))</f>
        <v>0</v>
      </c>
      <c r="AR264" s="27">
        <f>IF(B264&gt;$AJ$2,0,(O263+R263)*Assumptions!$B$39/12*AQ263+AV264*Assumptions!$B$41/12)</f>
        <v>0</v>
      </c>
      <c r="AS264">
        <f t="shared" si="180"/>
        <v>0</v>
      </c>
      <c r="AT264" s="28">
        <f t="shared" si="181"/>
        <v>0</v>
      </c>
      <c r="AU264">
        <f t="shared" si="182"/>
        <v>0</v>
      </c>
      <c r="AV264" s="28">
        <f t="shared" si="183"/>
        <v>0</v>
      </c>
      <c r="AW264" s="28">
        <f t="shared" si="184"/>
        <v>0</v>
      </c>
      <c r="AX264" s="23">
        <f>HLOOKUP(YEAR(A264),Assumptions!$A$25:$AL$29,2,TRUE)/100</f>
        <v>1.1739999999999999E-2</v>
      </c>
      <c r="AY264" s="29">
        <f>1/(1+HLOOKUP(YEAR(A264),Assumptions!$A$18:$AL$20,3,TRUE))^(1/12)</f>
        <v>0.99902750864006262</v>
      </c>
      <c r="AZ264" s="26">
        <f t="shared" si="185"/>
        <v>0</v>
      </c>
      <c r="BA264">
        <f t="shared" si="186"/>
        <v>0</v>
      </c>
      <c r="BB264">
        <f t="shared" si="187"/>
        <v>0</v>
      </c>
      <c r="BC264">
        <f t="shared" si="188"/>
        <v>0</v>
      </c>
    </row>
    <row r="265" spans="1:55" x14ac:dyDescent="0.2">
      <c r="A265" s="3">
        <f t="shared" si="157"/>
        <v>50829</v>
      </c>
      <c r="B265">
        <f t="shared" si="153"/>
        <v>267</v>
      </c>
      <c r="C265">
        <f t="shared" si="196"/>
        <v>22.166666666666668</v>
      </c>
      <c r="D265">
        <f t="shared" si="197"/>
        <v>0</v>
      </c>
      <c r="E265">
        <f t="shared" si="154"/>
        <v>78</v>
      </c>
      <c r="F265">
        <f>IF(C265&gt;=$T$2,0,VLOOKUP($E265,'Mortality Table'!$A$3:$C$128,2+AF$2,FALSE))</f>
        <v>0</v>
      </c>
      <c r="G265">
        <f>F265*Assumptions!$B$1</f>
        <v>0</v>
      </c>
      <c r="H265">
        <f t="shared" si="158"/>
        <v>0</v>
      </c>
      <c r="I265">
        <f t="shared" si="191"/>
        <v>0</v>
      </c>
      <c r="J265">
        <f>IF(B265&gt;$AJ$2,0,HLOOKUP(C265,Assumptions!$A$6:$J$7,2,TRUE))</f>
        <v>0</v>
      </c>
      <c r="K265" s="4">
        <f t="shared" si="192"/>
        <v>0</v>
      </c>
      <c r="L265" s="4">
        <f t="shared" si="159"/>
        <v>0</v>
      </c>
      <c r="M265" s="4">
        <f t="shared" si="193"/>
        <v>0</v>
      </c>
      <c r="N265">
        <f t="shared" si="160"/>
        <v>0</v>
      </c>
      <c r="O265" s="21">
        <f t="shared" si="194"/>
        <v>0</v>
      </c>
      <c r="P265">
        <f>IF(B265&gt;$AJ$2,0,HLOOKUP(C265,Assumptions!$A$12:$J$13,2,TRUE))</f>
        <v>0</v>
      </c>
      <c r="Q265">
        <f t="shared" si="195"/>
        <v>0</v>
      </c>
      <c r="R265">
        <f t="shared" si="161"/>
        <v>0</v>
      </c>
      <c r="S265">
        <f t="shared" si="189"/>
        <v>0</v>
      </c>
      <c r="T265">
        <f t="shared" si="190"/>
        <v>0</v>
      </c>
      <c r="U265">
        <f t="shared" si="162"/>
        <v>0</v>
      </c>
      <c r="V265">
        <f t="shared" si="163"/>
        <v>0</v>
      </c>
      <c r="W265">
        <f t="shared" si="164"/>
        <v>0</v>
      </c>
      <c r="X265">
        <f t="shared" si="155"/>
        <v>0</v>
      </c>
      <c r="Y265">
        <f t="shared" si="165"/>
        <v>0</v>
      </c>
      <c r="Z265">
        <f t="shared" si="166"/>
        <v>0</v>
      </c>
      <c r="AA265">
        <f t="shared" si="167"/>
        <v>0</v>
      </c>
      <c r="AB265">
        <f t="shared" si="168"/>
        <v>0</v>
      </c>
      <c r="AC265" s="23">
        <f>IF(B265&gt;$AJ$2,0,HLOOKUP(YEAR(A265),Assumptions!$A$25:$AL$29,4,TRUE)/100)</f>
        <v>0</v>
      </c>
      <c r="AD265">
        <f t="shared" si="169"/>
        <v>0</v>
      </c>
      <c r="AE265">
        <f t="shared" si="170"/>
        <v>0</v>
      </c>
      <c r="AF265">
        <f t="shared" si="171"/>
        <v>0</v>
      </c>
      <c r="AG265">
        <f t="shared" si="172"/>
        <v>0</v>
      </c>
      <c r="AH265">
        <f t="shared" si="173"/>
        <v>0</v>
      </c>
      <c r="AI265">
        <f t="shared" si="174"/>
        <v>0</v>
      </c>
      <c r="AJ265">
        <f t="shared" si="175"/>
        <v>0</v>
      </c>
      <c r="AK265">
        <f t="shared" si="176"/>
        <v>0</v>
      </c>
      <c r="AL265">
        <f t="shared" si="177"/>
        <v>0</v>
      </c>
      <c r="AM265">
        <f t="shared" si="156"/>
        <v>0</v>
      </c>
      <c r="AN265">
        <f>IF($S$2=0,0,(SUMPRODUCT($K$2:$R$2,Assumptions!$B$34:$I$34)/$U$2+$J$2/$U$2*Assumptions!$A$34*G265)*K265*O264)</f>
        <v>0</v>
      </c>
      <c r="AO265">
        <f t="shared" si="178"/>
        <v>0</v>
      </c>
      <c r="AP265">
        <f t="shared" si="179"/>
        <v>0</v>
      </c>
      <c r="AQ265">
        <f>IF(B265&gt;$AJ$2,0,AQ264*(1+Assumptions!$B$43)^(1/12))</f>
        <v>0</v>
      </c>
      <c r="AR265" s="27">
        <f>IF(B265&gt;$AJ$2,0,(O264+R264)*Assumptions!$B$39/12*AQ264+AV265*Assumptions!$B$41/12)</f>
        <v>0</v>
      </c>
      <c r="AS265">
        <f t="shared" si="180"/>
        <v>0</v>
      </c>
      <c r="AT265" s="28">
        <f t="shared" si="181"/>
        <v>0</v>
      </c>
      <c r="AU265">
        <f t="shared" si="182"/>
        <v>0</v>
      </c>
      <c r="AV265" s="28">
        <f t="shared" si="183"/>
        <v>0</v>
      </c>
      <c r="AW265" s="28">
        <f t="shared" si="184"/>
        <v>0</v>
      </c>
      <c r="AX265" s="23">
        <f>HLOOKUP(YEAR(A265),Assumptions!$A$25:$AL$29,2,TRUE)/100</f>
        <v>1.1739999999999999E-2</v>
      </c>
      <c r="AY265" s="29">
        <f>1/(1+HLOOKUP(YEAR(A265),Assumptions!$A$18:$AL$20,3,TRUE))^(1/12)</f>
        <v>0.99902750864006262</v>
      </c>
      <c r="AZ265" s="26">
        <f t="shared" si="185"/>
        <v>0</v>
      </c>
      <c r="BA265">
        <f t="shared" si="186"/>
        <v>0</v>
      </c>
      <c r="BB265">
        <f t="shared" si="187"/>
        <v>0</v>
      </c>
      <c r="BC265">
        <f t="shared" si="188"/>
        <v>0</v>
      </c>
    </row>
    <row r="266" spans="1:55" x14ac:dyDescent="0.2">
      <c r="A266" s="3">
        <f t="shared" si="157"/>
        <v>50860</v>
      </c>
      <c r="B266">
        <f t="shared" si="153"/>
        <v>268</v>
      </c>
      <c r="C266">
        <f t="shared" si="196"/>
        <v>22.25</v>
      </c>
      <c r="D266">
        <f t="shared" si="197"/>
        <v>0</v>
      </c>
      <c r="E266">
        <f t="shared" si="154"/>
        <v>78</v>
      </c>
      <c r="F266">
        <f>IF(C266&gt;=$T$2,0,VLOOKUP($E266,'Mortality Table'!$A$3:$C$128,2+AF$2,FALSE))</f>
        <v>0</v>
      </c>
      <c r="G266">
        <f>F266*Assumptions!$B$1</f>
        <v>0</v>
      </c>
      <c r="H266">
        <f t="shared" si="158"/>
        <v>0</v>
      </c>
      <c r="I266">
        <f t="shared" si="191"/>
        <v>0</v>
      </c>
      <c r="J266">
        <f>IF(B266&gt;$AJ$2,0,HLOOKUP(C266,Assumptions!$A$6:$J$7,2,TRUE))</f>
        <v>0</v>
      </c>
      <c r="K266" s="4">
        <f t="shared" si="192"/>
        <v>0</v>
      </c>
      <c r="L266" s="4">
        <f t="shared" si="159"/>
        <v>0</v>
      </c>
      <c r="M266" s="4">
        <f t="shared" si="193"/>
        <v>0</v>
      </c>
      <c r="N266">
        <f t="shared" si="160"/>
        <v>0</v>
      </c>
      <c r="O266" s="21">
        <f t="shared" si="194"/>
        <v>0</v>
      </c>
      <c r="P266">
        <f>IF(B266&gt;$AJ$2,0,HLOOKUP(C266,Assumptions!$A$12:$J$13,2,TRUE))</f>
        <v>0</v>
      </c>
      <c r="Q266">
        <f t="shared" si="195"/>
        <v>0</v>
      </c>
      <c r="R266">
        <f t="shared" si="161"/>
        <v>0</v>
      </c>
      <c r="S266">
        <f t="shared" si="189"/>
        <v>0</v>
      </c>
      <c r="T266">
        <f t="shared" si="190"/>
        <v>0</v>
      </c>
      <c r="U266">
        <f t="shared" si="162"/>
        <v>0</v>
      </c>
      <c r="V266">
        <f t="shared" si="163"/>
        <v>0</v>
      </c>
      <c r="W266">
        <f t="shared" si="164"/>
        <v>0</v>
      </c>
      <c r="X266">
        <f t="shared" si="155"/>
        <v>0</v>
      </c>
      <c r="Y266">
        <f t="shared" si="165"/>
        <v>0</v>
      </c>
      <c r="Z266">
        <f t="shared" si="166"/>
        <v>0</v>
      </c>
      <c r="AA266">
        <f t="shared" si="167"/>
        <v>0</v>
      </c>
      <c r="AB266">
        <f t="shared" si="168"/>
        <v>0</v>
      </c>
      <c r="AC266" s="23">
        <f>IF(B266&gt;$AJ$2,0,HLOOKUP(YEAR(A266),Assumptions!$A$25:$AL$29,4,TRUE)/100)</f>
        <v>0</v>
      </c>
      <c r="AD266">
        <f t="shared" si="169"/>
        <v>0</v>
      </c>
      <c r="AE266">
        <f t="shared" si="170"/>
        <v>0</v>
      </c>
      <c r="AF266">
        <f t="shared" si="171"/>
        <v>0</v>
      </c>
      <c r="AG266">
        <f t="shared" si="172"/>
        <v>0</v>
      </c>
      <c r="AH266">
        <f t="shared" si="173"/>
        <v>0</v>
      </c>
      <c r="AI266">
        <f t="shared" si="174"/>
        <v>0</v>
      </c>
      <c r="AJ266">
        <f t="shared" si="175"/>
        <v>0</v>
      </c>
      <c r="AK266">
        <f t="shared" si="176"/>
        <v>0</v>
      </c>
      <c r="AL266">
        <f t="shared" si="177"/>
        <v>0</v>
      </c>
      <c r="AM266">
        <f t="shared" si="156"/>
        <v>0</v>
      </c>
      <c r="AN266">
        <f>IF($S$2=0,0,(SUMPRODUCT($K$2:$R$2,Assumptions!$B$34:$I$34)/$U$2+$J$2/$U$2*Assumptions!$A$34*G266)*K266*O265)</f>
        <v>0</v>
      </c>
      <c r="AO266">
        <f t="shared" si="178"/>
        <v>0</v>
      </c>
      <c r="AP266">
        <f t="shared" si="179"/>
        <v>0</v>
      </c>
      <c r="AQ266">
        <f>IF(B266&gt;$AJ$2,0,AQ265*(1+Assumptions!$B$43)^(1/12))</f>
        <v>0</v>
      </c>
      <c r="AR266" s="27">
        <f>IF(B266&gt;$AJ$2,0,(O265+R265)*Assumptions!$B$39/12*AQ265+AV266*Assumptions!$B$41/12)</f>
        <v>0</v>
      </c>
      <c r="AS266">
        <f t="shared" si="180"/>
        <v>0</v>
      </c>
      <c r="AT266" s="28">
        <f t="shared" si="181"/>
        <v>0</v>
      </c>
      <c r="AU266">
        <f t="shared" si="182"/>
        <v>0</v>
      </c>
      <c r="AV266" s="28">
        <f t="shared" si="183"/>
        <v>0</v>
      </c>
      <c r="AW266" s="28">
        <f t="shared" si="184"/>
        <v>0</v>
      </c>
      <c r="AX266" s="23">
        <f>HLOOKUP(YEAR(A266),Assumptions!$A$25:$AL$29,2,TRUE)/100</f>
        <v>1.1739999999999999E-2</v>
      </c>
      <c r="AY266" s="29">
        <f>1/(1+HLOOKUP(YEAR(A266),Assumptions!$A$18:$AL$20,3,TRUE))^(1/12)</f>
        <v>0.99902750864006262</v>
      </c>
      <c r="AZ266" s="26">
        <f t="shared" si="185"/>
        <v>0</v>
      </c>
      <c r="BA266">
        <f t="shared" si="186"/>
        <v>0</v>
      </c>
      <c r="BB266">
        <f t="shared" si="187"/>
        <v>0</v>
      </c>
      <c r="BC266">
        <f t="shared" si="188"/>
        <v>0</v>
      </c>
    </row>
    <row r="267" spans="1:55" x14ac:dyDescent="0.2">
      <c r="A267" s="3">
        <f t="shared" si="157"/>
        <v>50890</v>
      </c>
      <c r="B267">
        <f t="shared" si="153"/>
        <v>269</v>
      </c>
      <c r="C267">
        <f t="shared" si="196"/>
        <v>22.333333333333332</v>
      </c>
      <c r="D267">
        <f t="shared" si="197"/>
        <v>0</v>
      </c>
      <c r="E267">
        <f t="shared" si="154"/>
        <v>78</v>
      </c>
      <c r="F267">
        <f>IF(C267&gt;=$T$2,0,VLOOKUP($E267,'Mortality Table'!$A$3:$C$128,2+AF$2,FALSE))</f>
        <v>0</v>
      </c>
      <c r="G267">
        <f>F267*Assumptions!$B$1</f>
        <v>0</v>
      </c>
      <c r="H267">
        <f t="shared" si="158"/>
        <v>0</v>
      </c>
      <c r="I267">
        <f t="shared" si="191"/>
        <v>0</v>
      </c>
      <c r="J267">
        <f>IF(B267&gt;$AJ$2,0,HLOOKUP(C267,Assumptions!$A$6:$J$7,2,TRUE))</f>
        <v>0</v>
      </c>
      <c r="K267" s="4">
        <f t="shared" si="192"/>
        <v>0</v>
      </c>
      <c r="L267" s="4">
        <f t="shared" si="159"/>
        <v>0</v>
      </c>
      <c r="M267" s="4">
        <f t="shared" si="193"/>
        <v>0</v>
      </c>
      <c r="N267">
        <f t="shared" si="160"/>
        <v>0</v>
      </c>
      <c r="O267" s="21">
        <f t="shared" si="194"/>
        <v>0</v>
      </c>
      <c r="P267">
        <f>IF(B267&gt;$AJ$2,0,HLOOKUP(C267,Assumptions!$A$12:$J$13,2,TRUE))</f>
        <v>0</v>
      </c>
      <c r="Q267">
        <f t="shared" si="195"/>
        <v>0</v>
      </c>
      <c r="R267">
        <f t="shared" si="161"/>
        <v>0</v>
      </c>
      <c r="S267">
        <f t="shared" si="189"/>
        <v>0</v>
      </c>
      <c r="T267">
        <f t="shared" si="190"/>
        <v>0</v>
      </c>
      <c r="U267">
        <f t="shared" si="162"/>
        <v>0</v>
      </c>
      <c r="V267">
        <f t="shared" si="163"/>
        <v>0</v>
      </c>
      <c r="W267">
        <f t="shared" si="164"/>
        <v>0</v>
      </c>
      <c r="X267">
        <f t="shared" si="155"/>
        <v>0</v>
      </c>
      <c r="Y267">
        <f t="shared" si="165"/>
        <v>0</v>
      </c>
      <c r="Z267">
        <f t="shared" si="166"/>
        <v>0</v>
      </c>
      <c r="AA267">
        <f t="shared" si="167"/>
        <v>0</v>
      </c>
      <c r="AB267">
        <f t="shared" si="168"/>
        <v>0</v>
      </c>
      <c r="AC267" s="23">
        <f>IF(B267&gt;$AJ$2,0,HLOOKUP(YEAR(A267),Assumptions!$A$25:$AL$29,4,TRUE)/100)</f>
        <v>0</v>
      </c>
      <c r="AD267">
        <f t="shared" si="169"/>
        <v>0</v>
      </c>
      <c r="AE267">
        <f t="shared" si="170"/>
        <v>0</v>
      </c>
      <c r="AF267">
        <f t="shared" si="171"/>
        <v>0</v>
      </c>
      <c r="AG267">
        <f t="shared" si="172"/>
        <v>0</v>
      </c>
      <c r="AH267">
        <f t="shared" si="173"/>
        <v>0</v>
      </c>
      <c r="AI267">
        <f t="shared" si="174"/>
        <v>0</v>
      </c>
      <c r="AJ267">
        <f t="shared" si="175"/>
        <v>0</v>
      </c>
      <c r="AK267">
        <f t="shared" si="176"/>
        <v>0</v>
      </c>
      <c r="AL267">
        <f t="shared" si="177"/>
        <v>0</v>
      </c>
      <c r="AM267">
        <f t="shared" si="156"/>
        <v>0</v>
      </c>
      <c r="AN267">
        <f>IF($S$2=0,0,(SUMPRODUCT($K$2:$R$2,Assumptions!$B$34:$I$34)/$U$2+$J$2/$U$2*Assumptions!$A$34*G267)*K267*O266)</f>
        <v>0</v>
      </c>
      <c r="AO267">
        <f t="shared" si="178"/>
        <v>0</v>
      </c>
      <c r="AP267">
        <f t="shared" si="179"/>
        <v>0</v>
      </c>
      <c r="AQ267">
        <f>IF(B267&gt;$AJ$2,0,AQ266*(1+Assumptions!$B$43)^(1/12))</f>
        <v>0</v>
      </c>
      <c r="AR267" s="27">
        <f>IF(B267&gt;$AJ$2,0,(O266+R266)*Assumptions!$B$39/12*AQ266+AV267*Assumptions!$B$41/12)</f>
        <v>0</v>
      </c>
      <c r="AS267">
        <f t="shared" si="180"/>
        <v>0</v>
      </c>
      <c r="AT267" s="28">
        <f t="shared" si="181"/>
        <v>0</v>
      </c>
      <c r="AU267">
        <f t="shared" si="182"/>
        <v>0</v>
      </c>
      <c r="AV267" s="28">
        <f t="shared" si="183"/>
        <v>0</v>
      </c>
      <c r="AW267" s="28">
        <f t="shared" si="184"/>
        <v>0</v>
      </c>
      <c r="AX267" s="23">
        <f>HLOOKUP(YEAR(A267),Assumptions!$A$25:$AL$29,2,TRUE)/100</f>
        <v>1.1739999999999999E-2</v>
      </c>
      <c r="AY267" s="29">
        <f>1/(1+HLOOKUP(YEAR(A267),Assumptions!$A$18:$AL$20,3,TRUE))^(1/12)</f>
        <v>0.99902750864006262</v>
      </c>
      <c r="AZ267" s="26">
        <f t="shared" si="185"/>
        <v>0</v>
      </c>
      <c r="BA267">
        <f t="shared" si="186"/>
        <v>0</v>
      </c>
      <c r="BB267">
        <f t="shared" si="187"/>
        <v>0</v>
      </c>
      <c r="BC267">
        <f t="shared" si="188"/>
        <v>0</v>
      </c>
    </row>
    <row r="268" spans="1:55" x14ac:dyDescent="0.2">
      <c r="A268" s="3">
        <f t="shared" si="157"/>
        <v>50921</v>
      </c>
      <c r="B268">
        <f t="shared" ref="B268:B331" si="198">B267+1</f>
        <v>270</v>
      </c>
      <c r="C268">
        <f t="shared" si="196"/>
        <v>22.416666666666668</v>
      </c>
      <c r="D268">
        <f t="shared" si="197"/>
        <v>0</v>
      </c>
      <c r="E268">
        <f t="shared" ref="E268:E331" si="199">$C$2+INT($C268)</f>
        <v>78</v>
      </c>
      <c r="F268">
        <f>IF(C268&gt;=$T$2,0,VLOOKUP($E268,'Mortality Table'!$A$3:$C$128,2+AF$2,FALSE))</f>
        <v>0</v>
      </c>
      <c r="G268">
        <f>F268*Assumptions!$B$1</f>
        <v>0</v>
      </c>
      <c r="H268">
        <f t="shared" si="158"/>
        <v>0</v>
      </c>
      <c r="I268">
        <f t="shared" si="191"/>
        <v>0</v>
      </c>
      <c r="J268">
        <f>IF(B268&gt;$AJ$2,0,HLOOKUP(C268,Assumptions!$A$6:$J$7,2,TRUE))</f>
        <v>0</v>
      </c>
      <c r="K268" s="4">
        <f t="shared" si="192"/>
        <v>0</v>
      </c>
      <c r="L268" s="4">
        <f t="shared" si="159"/>
        <v>0</v>
      </c>
      <c r="M268" s="4">
        <f t="shared" si="193"/>
        <v>0</v>
      </c>
      <c r="N268">
        <f t="shared" si="160"/>
        <v>0</v>
      </c>
      <c r="O268" s="21">
        <f t="shared" si="194"/>
        <v>0</v>
      </c>
      <c r="P268">
        <f>IF(B268&gt;$AJ$2,0,HLOOKUP(C268,Assumptions!$A$12:$J$13,2,TRUE))</f>
        <v>0</v>
      </c>
      <c r="Q268">
        <f t="shared" si="195"/>
        <v>0</v>
      </c>
      <c r="R268">
        <f t="shared" si="161"/>
        <v>0</v>
      </c>
      <c r="S268">
        <f t="shared" si="189"/>
        <v>0</v>
      </c>
      <c r="T268">
        <f t="shared" si="190"/>
        <v>0</v>
      </c>
      <c r="U268">
        <f t="shared" si="162"/>
        <v>0</v>
      </c>
      <c r="V268">
        <f t="shared" si="163"/>
        <v>0</v>
      </c>
      <c r="W268">
        <f t="shared" si="164"/>
        <v>0</v>
      </c>
      <c r="X268">
        <f t="shared" ref="X268:X331" si="200">U268/$U$2*K268*O267</f>
        <v>0</v>
      </c>
      <c r="Y268">
        <f t="shared" si="165"/>
        <v>0</v>
      </c>
      <c r="Z268">
        <f t="shared" si="166"/>
        <v>0</v>
      </c>
      <c r="AA268">
        <f t="shared" si="167"/>
        <v>0</v>
      </c>
      <c r="AB268">
        <f t="shared" si="168"/>
        <v>0</v>
      </c>
      <c r="AC268" s="23">
        <f>IF(B268&gt;$AJ$2,0,HLOOKUP(YEAR(A268),Assumptions!$A$25:$AL$29,4,TRUE)/100)</f>
        <v>0</v>
      </c>
      <c r="AD268">
        <f t="shared" si="169"/>
        <v>0</v>
      </c>
      <c r="AE268">
        <f t="shared" si="170"/>
        <v>0</v>
      </c>
      <c r="AF268">
        <f t="shared" si="171"/>
        <v>0</v>
      </c>
      <c r="AG268">
        <f t="shared" si="172"/>
        <v>0</v>
      </c>
      <c r="AH268">
        <f t="shared" si="173"/>
        <v>0</v>
      </c>
      <c r="AI268">
        <f t="shared" si="174"/>
        <v>0</v>
      </c>
      <c r="AJ268">
        <f t="shared" si="175"/>
        <v>0</v>
      </c>
      <c r="AK268">
        <f t="shared" si="176"/>
        <v>0</v>
      </c>
      <c r="AL268">
        <f t="shared" si="177"/>
        <v>0</v>
      </c>
      <c r="AM268">
        <f t="shared" ref="AM268:AM331" si="201">IF($AJ$2+1=B268,O267*(Z267+AD267+MAX(0,IF(MONTH(A268)=1,AB267-AD267-Z267,0)))+R267*(AF267+AH267),0)</f>
        <v>0</v>
      </c>
      <c r="AN268">
        <f>IF($S$2=0,0,(SUMPRODUCT($K$2:$R$2,Assumptions!$B$34:$I$34)/$U$2+$J$2/$U$2*Assumptions!$A$34*G268)*K268*O267)</f>
        <v>0</v>
      </c>
      <c r="AO268">
        <f t="shared" si="178"/>
        <v>0</v>
      </c>
      <c r="AP268">
        <f t="shared" si="179"/>
        <v>0</v>
      </c>
      <c r="AQ268">
        <f>IF(B268&gt;$AJ$2,0,AQ267*(1+Assumptions!$B$43)^(1/12))</f>
        <v>0</v>
      </c>
      <c r="AR268" s="27">
        <f>IF(B268&gt;$AJ$2,0,(O267+R267)*Assumptions!$B$39/12*AQ267+AV268*Assumptions!$B$41/12)</f>
        <v>0</v>
      </c>
      <c r="AS268">
        <f t="shared" si="180"/>
        <v>0</v>
      </c>
      <c r="AT268" s="28">
        <f t="shared" si="181"/>
        <v>0</v>
      </c>
      <c r="AU268">
        <f t="shared" si="182"/>
        <v>0</v>
      </c>
      <c r="AV268" s="28">
        <f t="shared" si="183"/>
        <v>0</v>
      </c>
      <c r="AW268" s="28">
        <f t="shared" si="184"/>
        <v>0</v>
      </c>
      <c r="AX268" s="23">
        <f>HLOOKUP(YEAR(A268),Assumptions!$A$25:$AL$29,2,TRUE)/100</f>
        <v>1.1739999999999999E-2</v>
      </c>
      <c r="AY268" s="29">
        <f>1/(1+HLOOKUP(YEAR(A268),Assumptions!$A$18:$AL$20,3,TRUE))^(1/12)</f>
        <v>0.99902750864006262</v>
      </c>
      <c r="AZ268" s="26">
        <f t="shared" si="185"/>
        <v>0</v>
      </c>
      <c r="BA268">
        <f t="shared" si="186"/>
        <v>0</v>
      </c>
      <c r="BB268">
        <f t="shared" si="187"/>
        <v>0</v>
      </c>
      <c r="BC268">
        <f t="shared" si="188"/>
        <v>0</v>
      </c>
    </row>
    <row r="269" spans="1:55" x14ac:dyDescent="0.2">
      <c r="A269" s="3">
        <f t="shared" ref="A269:A332" si="202">DATE(YEAR(A268),MONTH(A268)+2,1)-1</f>
        <v>50951</v>
      </c>
      <c r="B269">
        <f t="shared" si="198"/>
        <v>271</v>
      </c>
      <c r="C269">
        <f t="shared" si="196"/>
        <v>22.5</v>
      </c>
      <c r="D269">
        <f t="shared" si="197"/>
        <v>0</v>
      </c>
      <c r="E269">
        <f t="shared" si="199"/>
        <v>78</v>
      </c>
      <c r="F269">
        <f>IF(C269&gt;=$T$2,0,VLOOKUP($E269,'Mortality Table'!$A$3:$C$128,2+AF$2,FALSE))</f>
        <v>0</v>
      </c>
      <c r="G269">
        <f>F269*Assumptions!$B$1</f>
        <v>0</v>
      </c>
      <c r="H269">
        <f t="shared" ref="H269:H332" si="203">(1-(1-G269)^(1/12))</f>
        <v>0</v>
      </c>
      <c r="I269">
        <f t="shared" si="191"/>
        <v>0</v>
      </c>
      <c r="J269">
        <f>IF(B269&gt;$AJ$2,0,HLOOKUP(C269,Assumptions!$A$6:$J$7,2,TRUE))</f>
        <v>0</v>
      </c>
      <c r="K269" s="4">
        <f t="shared" si="192"/>
        <v>0</v>
      </c>
      <c r="L269" s="4">
        <f t="shared" ref="L269:L332" si="204">IF(B269&gt;$AJ$2,0,IF(B269=$AJ$2,1/$U$2,IF(K270=0,0,1/$U$2)))</f>
        <v>0</v>
      </c>
      <c r="M269" s="4">
        <f t="shared" si="193"/>
        <v>0</v>
      </c>
      <c r="N269">
        <f t="shared" ref="N269:N332" si="205">M269*O268*(1-H269/2)</f>
        <v>0</v>
      </c>
      <c r="O269" s="21">
        <f t="shared" si="194"/>
        <v>0</v>
      </c>
      <c r="P269">
        <f>IF(B269&gt;$AJ$2,0,HLOOKUP(C269,Assumptions!$A$12:$J$13,2,TRUE))</f>
        <v>0</v>
      </c>
      <c r="Q269">
        <f t="shared" si="195"/>
        <v>0</v>
      </c>
      <c r="R269">
        <f t="shared" ref="R269:R332" si="206">IF(B269&gt;$AJ$2,0,Q269+R268-S269-T269)</f>
        <v>0</v>
      </c>
      <c r="S269">
        <f t="shared" si="189"/>
        <v>0</v>
      </c>
      <c r="T269">
        <f t="shared" si="190"/>
        <v>0</v>
      </c>
      <c r="U269">
        <f t="shared" ref="U269:U332" si="207">IF(B269&gt;$AJ$2,0,U268*(1+$I$2/100)^D269)</f>
        <v>0</v>
      </c>
      <c r="V269">
        <f t="shared" ref="V269:V332" si="208">IF(B269&gt;$AJ$2,0,IF(E269&lt;=75,SUM($J$2:$R$2),0))</f>
        <v>0</v>
      </c>
      <c r="W269">
        <f t="shared" ref="W269:W332" si="209">IF(B269&gt;$AJ$2,0,($G$2+IF(B269&lt;13,$D$2,IF(B269&lt;25,$E$2,IF(B269&lt;37,$F$2,0))))/100)</f>
        <v>0</v>
      </c>
      <c r="X269">
        <f t="shared" si="200"/>
        <v>0</v>
      </c>
      <c r="Y269">
        <f t="shared" ref="Y269:Y332" si="210">IF($W$2=0,0,(U269-V269)*(1-W269)/$U$2*K269)</f>
        <v>0</v>
      </c>
      <c r="Z269">
        <f t="shared" ref="Z269:Z332" si="211">IF(B269&gt;$AJ$2,0,(Z268+Y269)*(1+$V$2/100)^(1/12))</f>
        <v>0</v>
      </c>
      <c r="AA269">
        <f t="shared" ref="AA269:AA332" si="212">IF(B269&gt;$AJ$2,0,MAX(0,IF(MONTH(A269)=1,AB268-AD268-Z268,0)))</f>
        <v>0</v>
      </c>
      <c r="AB269">
        <f t="shared" ref="AB269:AB332" si="213">IF(B269&gt;$AJ$2,0,(AB268+Y269)*(1+MAX(AC269,$V$2/100))^(1/12))</f>
        <v>0</v>
      </c>
      <c r="AC269" s="23">
        <f>IF(B269&gt;$AJ$2,0,HLOOKUP(YEAR(A269),Assumptions!$A$25:$AL$29,4,TRUE)/100)</f>
        <v>0</v>
      </c>
      <c r="AD269">
        <f t="shared" ref="AD269:AD332" si="214">IF(B269&gt;$AJ$2,0,AD268+AA269)*(1+$V$2/100)^(1/12)</f>
        <v>0</v>
      </c>
      <c r="AE269">
        <f t="shared" ref="AE269:AE332" si="215">IF(B269&gt;$AJ$2,0,IF(R269=0,0,(AF269*(R269-Q269)+Q269*Z269)/R269))</f>
        <v>0</v>
      </c>
      <c r="AF269">
        <f t="shared" ref="AF269:AF332" si="216">IF(B269&gt;$AJ$2,0,AE268*(1+$V$2/100)^(1/12))</f>
        <v>0</v>
      </c>
      <c r="AG269">
        <f t="shared" ref="AG269:AG332" si="217">IF(B269&gt;$AJ$2,0,IF(R269=0,0,(AG268*(R269-Q269)*(1+MAX(AC269,$V$2/100))^(1/12)+Q269*AB269)/R269))</f>
        <v>0</v>
      </c>
      <c r="AH269">
        <f t="shared" ref="AH269:AH332" si="218">IF(B269&gt;$AJ$2,0,IF(R269=0,0,(AI269*(R269-Q269)+Q269*AD269)/R269))</f>
        <v>0</v>
      </c>
      <c r="AI269">
        <f t="shared" ref="AI269:AI332" si="219">IF(B269&gt;$AJ$2,0,(AH268+AJ269)*(1+$V$2/100)^(1/12))</f>
        <v>0</v>
      </c>
      <c r="AJ269">
        <f t="shared" ref="AJ269:AJ332" si="220">IF(B269&gt;$AJ$2,0,MAX(0,IF(MONTH(A269)=1,AG268-AE268-AH268)))</f>
        <v>0</v>
      </c>
      <c r="AK269">
        <f t="shared" ref="AK269:AK332" si="221">I269*(Z269+AD269)+S269*(AF269+AI269)</f>
        <v>0</v>
      </c>
      <c r="AL269">
        <f t="shared" ref="AL269:AL332" si="222">N269*(Z269+AD269+BC269)+T269*(AE269+AH269)</f>
        <v>0</v>
      </c>
      <c r="AM269">
        <f t="shared" si="201"/>
        <v>0</v>
      </c>
      <c r="AN269">
        <f>IF($S$2=0,0,(SUMPRODUCT($K$2:$R$2,Assumptions!$B$34:$I$34)/$U$2+$J$2/$U$2*Assumptions!$A$34*G269)*K269*O268)</f>
        <v>0</v>
      </c>
      <c r="AO269">
        <f t="shared" ref="AO269:AO332" si="223">($P$2+$R$2)/$U$2*K269*O268</f>
        <v>0</v>
      </c>
      <c r="AP269">
        <f t="shared" ref="AP269:AP332" si="224">IF(B269&lt;=12,(X269-AO269)*$AB$2+AO269*0.06,IF(B269&lt;=24,(X269-AO269)*$AC$2+AO269*0.06,IF(B269&lt;=36,(X269-AO269)*$AD$2+AO269*0.06,0)))</f>
        <v>0</v>
      </c>
      <c r="AQ269">
        <f>IF(B269&gt;$AJ$2,0,AQ268*(1+Assumptions!$B$43)^(1/12))</f>
        <v>0</v>
      </c>
      <c r="AR269" s="27">
        <f>IF(B269&gt;$AJ$2,0,(O268+R268)*Assumptions!$B$39/12*AQ268+AV269*Assumptions!$B$41/12)</f>
        <v>0</v>
      </c>
      <c r="AS269">
        <f t="shared" ref="AS269:AS332" si="225">IF(B269&gt;$AJ$2,0,Y269*K269*O268)</f>
        <v>0</v>
      </c>
      <c r="AT269" s="28">
        <f t="shared" ref="AT269:AT332" si="226">IF(B269&gt;$AJ$2,0,O269*(Z269+AD269+AA270+BC269)+R269*(AE269+AH269+AJ270))</f>
        <v>0</v>
      </c>
      <c r="AU269">
        <f t="shared" ref="AU269:AU332" si="227">IF(B269&gt;$AJ$2,0,IF(MONTH(A269)=12,0,AU268+AW269*((1+AX269)^(1/12)-1)-BB269*((1+$V$2/100)^(1/12)-1)))</f>
        <v>0</v>
      </c>
      <c r="AV269" s="28">
        <f t="shared" ref="AV269:AV332" si="228">IF(B269&gt;$AJ$2,0,AT268+AS269-AN269+AU268)</f>
        <v>0</v>
      </c>
      <c r="AW269" s="28">
        <f t="shared" ref="AW269:AW332" si="229">IF(B269&gt;$AJ$2,0,AT268+X269+AU268-AN269-AP269-AR269)</f>
        <v>0</v>
      </c>
      <c r="AX269" s="23">
        <f>HLOOKUP(YEAR(A269),Assumptions!$A$25:$AL$29,2,TRUE)/100</f>
        <v>1.1739999999999999E-2</v>
      </c>
      <c r="AY269" s="29">
        <f>1/(1+HLOOKUP(YEAR(A269),Assumptions!$A$18:$AL$20,3,TRUE))^(1/12)</f>
        <v>0.99902750864006262</v>
      </c>
      <c r="AZ269" s="26">
        <f t="shared" ref="AZ269:AZ332" si="230">(AZ270+BA270+AR270+AP270-X270)*AY270</f>
        <v>0</v>
      </c>
      <c r="BA269">
        <f t="shared" ref="BA269:BA332" si="231">AK269+AL269+AM269+AN269</f>
        <v>0</v>
      </c>
      <c r="BB269">
        <f t="shared" ref="BB269:BB332" si="232">IF(B269&gt;$AJ$2,0,AT268-BC268*O268+AS269-AN269)</f>
        <v>0</v>
      </c>
      <c r="BC269">
        <f t="shared" ref="BC269:BC332" si="233">IF($W$2=0,0,IF(B269&gt;$AJ$2,0,BC268+V269/$U$2*K269-$U$2/12*V269/$U$2))</f>
        <v>0</v>
      </c>
    </row>
    <row r="270" spans="1:55" x14ac:dyDescent="0.2">
      <c r="A270" s="3">
        <f t="shared" si="202"/>
        <v>50982</v>
      </c>
      <c r="B270">
        <f t="shared" si="198"/>
        <v>272</v>
      </c>
      <c r="C270">
        <f t="shared" si="196"/>
        <v>22.583333333333332</v>
      </c>
      <c r="D270">
        <f t="shared" si="197"/>
        <v>0</v>
      </c>
      <c r="E270">
        <f t="shared" si="199"/>
        <v>78</v>
      </c>
      <c r="F270">
        <f>IF(C270&gt;=$T$2,0,VLOOKUP($E270,'Mortality Table'!$A$3:$C$128,2+AF$2,FALSE))</f>
        <v>0</v>
      </c>
      <c r="G270">
        <f>F270*Assumptions!$B$1</f>
        <v>0</v>
      </c>
      <c r="H270">
        <f t="shared" si="203"/>
        <v>0</v>
      </c>
      <c r="I270">
        <f t="shared" si="191"/>
        <v>0</v>
      </c>
      <c r="J270">
        <f>IF(B270&gt;$AJ$2,0,HLOOKUP(C270,Assumptions!$A$6:$J$7,2,TRUE))</f>
        <v>0</v>
      </c>
      <c r="K270" s="4">
        <f t="shared" si="192"/>
        <v>0</v>
      </c>
      <c r="L270" s="4">
        <f t="shared" si="204"/>
        <v>0</v>
      </c>
      <c r="M270" s="4">
        <f t="shared" si="193"/>
        <v>0</v>
      </c>
      <c r="N270">
        <f t="shared" si="205"/>
        <v>0</v>
      </c>
      <c r="O270" s="21">
        <f t="shared" si="194"/>
        <v>0</v>
      </c>
      <c r="P270">
        <f>IF(B270&gt;$AJ$2,0,HLOOKUP(C270,Assumptions!$A$12:$J$13,2,TRUE))</f>
        <v>0</v>
      </c>
      <c r="Q270">
        <f t="shared" si="195"/>
        <v>0</v>
      </c>
      <c r="R270">
        <f t="shared" si="206"/>
        <v>0</v>
      </c>
      <c r="S270">
        <f t="shared" ref="S270:S333" si="234">H270*R269*(1-M270/2)</f>
        <v>0</v>
      </c>
      <c r="T270">
        <f t="shared" ref="T270:T333" si="235">M270*R269*(1-H270/2)</f>
        <v>0</v>
      </c>
      <c r="U270">
        <f t="shared" si="207"/>
        <v>0</v>
      </c>
      <c r="V270">
        <f t="shared" si="208"/>
        <v>0</v>
      </c>
      <c r="W270">
        <f t="shared" si="209"/>
        <v>0</v>
      </c>
      <c r="X270">
        <f t="shared" si="200"/>
        <v>0</v>
      </c>
      <c r="Y270">
        <f t="shared" si="210"/>
        <v>0</v>
      </c>
      <c r="Z270">
        <f t="shared" si="211"/>
        <v>0</v>
      </c>
      <c r="AA270">
        <f t="shared" si="212"/>
        <v>0</v>
      </c>
      <c r="AB270">
        <f t="shared" si="213"/>
        <v>0</v>
      </c>
      <c r="AC270" s="23">
        <f>IF(B270&gt;$AJ$2,0,HLOOKUP(YEAR(A270),Assumptions!$A$25:$AL$29,4,TRUE)/100)</f>
        <v>0</v>
      </c>
      <c r="AD270">
        <f t="shared" si="214"/>
        <v>0</v>
      </c>
      <c r="AE270">
        <f t="shared" si="215"/>
        <v>0</v>
      </c>
      <c r="AF270">
        <f t="shared" si="216"/>
        <v>0</v>
      </c>
      <c r="AG270">
        <f t="shared" si="217"/>
        <v>0</v>
      </c>
      <c r="AH270">
        <f t="shared" si="218"/>
        <v>0</v>
      </c>
      <c r="AI270">
        <f t="shared" si="219"/>
        <v>0</v>
      </c>
      <c r="AJ270">
        <f t="shared" si="220"/>
        <v>0</v>
      </c>
      <c r="AK270">
        <f t="shared" si="221"/>
        <v>0</v>
      </c>
      <c r="AL270">
        <f t="shared" si="222"/>
        <v>0</v>
      </c>
      <c r="AM270">
        <f t="shared" si="201"/>
        <v>0</v>
      </c>
      <c r="AN270">
        <f>IF($S$2=0,0,(SUMPRODUCT($K$2:$R$2,Assumptions!$B$34:$I$34)/$U$2+$J$2/$U$2*Assumptions!$A$34*G270)*K270*O269)</f>
        <v>0</v>
      </c>
      <c r="AO270">
        <f t="shared" si="223"/>
        <v>0</v>
      </c>
      <c r="AP270">
        <f t="shared" si="224"/>
        <v>0</v>
      </c>
      <c r="AQ270">
        <f>IF(B270&gt;$AJ$2,0,AQ269*(1+Assumptions!$B$43)^(1/12))</f>
        <v>0</v>
      </c>
      <c r="AR270" s="27">
        <f>IF(B270&gt;$AJ$2,0,(O269+R269)*Assumptions!$B$39/12*AQ269+AV270*Assumptions!$B$41/12)</f>
        <v>0</v>
      </c>
      <c r="AS270">
        <f t="shared" si="225"/>
        <v>0</v>
      </c>
      <c r="AT270" s="28">
        <f t="shared" si="226"/>
        <v>0</v>
      </c>
      <c r="AU270">
        <f t="shared" si="227"/>
        <v>0</v>
      </c>
      <c r="AV270" s="28">
        <f t="shared" si="228"/>
        <v>0</v>
      </c>
      <c r="AW270" s="28">
        <f t="shared" si="229"/>
        <v>0</v>
      </c>
      <c r="AX270" s="23">
        <f>HLOOKUP(YEAR(A270),Assumptions!$A$25:$AL$29,2,TRUE)/100</f>
        <v>1.1739999999999999E-2</v>
      </c>
      <c r="AY270" s="29">
        <f>1/(1+HLOOKUP(YEAR(A270),Assumptions!$A$18:$AL$20,3,TRUE))^(1/12)</f>
        <v>0.99902750864006262</v>
      </c>
      <c r="AZ270" s="26">
        <f t="shared" si="230"/>
        <v>0</v>
      </c>
      <c r="BA270">
        <f t="shared" si="231"/>
        <v>0</v>
      </c>
      <c r="BB270">
        <f t="shared" si="232"/>
        <v>0</v>
      </c>
      <c r="BC270">
        <f t="shared" si="233"/>
        <v>0</v>
      </c>
    </row>
    <row r="271" spans="1:55" x14ac:dyDescent="0.2">
      <c r="A271" s="3">
        <f t="shared" si="202"/>
        <v>51013</v>
      </c>
      <c r="B271">
        <f t="shared" si="198"/>
        <v>273</v>
      </c>
      <c r="C271">
        <f t="shared" si="196"/>
        <v>22.666666666666668</v>
      </c>
      <c r="D271">
        <f t="shared" si="197"/>
        <v>0</v>
      </c>
      <c r="E271">
        <f t="shared" si="199"/>
        <v>78</v>
      </c>
      <c r="F271">
        <f>IF(C271&gt;=$T$2,0,VLOOKUP($E271,'Mortality Table'!$A$3:$C$128,2+AF$2,FALSE))</f>
        <v>0</v>
      </c>
      <c r="G271">
        <f>F271*Assumptions!$B$1</f>
        <v>0</v>
      </c>
      <c r="H271">
        <f t="shared" si="203"/>
        <v>0</v>
      </c>
      <c r="I271">
        <f t="shared" si="191"/>
        <v>0</v>
      </c>
      <c r="J271">
        <f>IF(B271&gt;$AJ$2,0,HLOOKUP(C271,Assumptions!$A$6:$J$7,2,TRUE))</f>
        <v>0</v>
      </c>
      <c r="K271" s="4">
        <f t="shared" si="192"/>
        <v>0</v>
      </c>
      <c r="L271" s="4">
        <f t="shared" si="204"/>
        <v>0</v>
      </c>
      <c r="M271" s="4">
        <f t="shared" si="193"/>
        <v>0</v>
      </c>
      <c r="N271">
        <f t="shared" si="205"/>
        <v>0</v>
      </c>
      <c r="O271" s="21">
        <f t="shared" si="194"/>
        <v>0</v>
      </c>
      <c r="P271">
        <f>IF(B271&gt;$AJ$2,0,HLOOKUP(C271,Assumptions!$A$12:$J$13,2,TRUE))</f>
        <v>0</v>
      </c>
      <c r="Q271">
        <f t="shared" si="195"/>
        <v>0</v>
      </c>
      <c r="R271">
        <f t="shared" si="206"/>
        <v>0</v>
      </c>
      <c r="S271">
        <f t="shared" si="234"/>
        <v>0</v>
      </c>
      <c r="T271">
        <f t="shared" si="235"/>
        <v>0</v>
      </c>
      <c r="U271">
        <f t="shared" si="207"/>
        <v>0</v>
      </c>
      <c r="V271">
        <f t="shared" si="208"/>
        <v>0</v>
      </c>
      <c r="W271">
        <f t="shared" si="209"/>
        <v>0</v>
      </c>
      <c r="X271">
        <f t="shared" si="200"/>
        <v>0</v>
      </c>
      <c r="Y271">
        <f t="shared" si="210"/>
        <v>0</v>
      </c>
      <c r="Z271">
        <f t="shared" si="211"/>
        <v>0</v>
      </c>
      <c r="AA271">
        <f t="shared" si="212"/>
        <v>0</v>
      </c>
      <c r="AB271">
        <f t="shared" si="213"/>
        <v>0</v>
      </c>
      <c r="AC271" s="23">
        <f>IF(B271&gt;$AJ$2,0,HLOOKUP(YEAR(A271),Assumptions!$A$25:$AL$29,4,TRUE)/100)</f>
        <v>0</v>
      </c>
      <c r="AD271">
        <f t="shared" si="214"/>
        <v>0</v>
      </c>
      <c r="AE271">
        <f t="shared" si="215"/>
        <v>0</v>
      </c>
      <c r="AF271">
        <f t="shared" si="216"/>
        <v>0</v>
      </c>
      <c r="AG271">
        <f t="shared" si="217"/>
        <v>0</v>
      </c>
      <c r="AH271">
        <f t="shared" si="218"/>
        <v>0</v>
      </c>
      <c r="AI271">
        <f t="shared" si="219"/>
        <v>0</v>
      </c>
      <c r="AJ271">
        <f t="shared" si="220"/>
        <v>0</v>
      </c>
      <c r="AK271">
        <f t="shared" si="221"/>
        <v>0</v>
      </c>
      <c r="AL271">
        <f t="shared" si="222"/>
        <v>0</v>
      </c>
      <c r="AM271">
        <f t="shared" si="201"/>
        <v>0</v>
      </c>
      <c r="AN271">
        <f>IF($S$2=0,0,(SUMPRODUCT($K$2:$R$2,Assumptions!$B$34:$I$34)/$U$2+$J$2/$U$2*Assumptions!$A$34*G271)*K271*O270)</f>
        <v>0</v>
      </c>
      <c r="AO271">
        <f t="shared" si="223"/>
        <v>0</v>
      </c>
      <c r="AP271">
        <f t="shared" si="224"/>
        <v>0</v>
      </c>
      <c r="AQ271">
        <f>IF(B271&gt;$AJ$2,0,AQ270*(1+Assumptions!$B$43)^(1/12))</f>
        <v>0</v>
      </c>
      <c r="AR271" s="27">
        <f>IF(B271&gt;$AJ$2,0,(O270+R270)*Assumptions!$B$39/12*AQ270+AV271*Assumptions!$B$41/12)</f>
        <v>0</v>
      </c>
      <c r="AS271">
        <f t="shared" si="225"/>
        <v>0</v>
      </c>
      <c r="AT271" s="28">
        <f t="shared" si="226"/>
        <v>0</v>
      </c>
      <c r="AU271">
        <f t="shared" si="227"/>
        <v>0</v>
      </c>
      <c r="AV271" s="28">
        <f t="shared" si="228"/>
        <v>0</v>
      </c>
      <c r="AW271" s="28">
        <f t="shared" si="229"/>
        <v>0</v>
      </c>
      <c r="AX271" s="23">
        <f>HLOOKUP(YEAR(A271),Assumptions!$A$25:$AL$29,2,TRUE)/100</f>
        <v>1.1739999999999999E-2</v>
      </c>
      <c r="AY271" s="29">
        <f>1/(1+HLOOKUP(YEAR(A271),Assumptions!$A$18:$AL$20,3,TRUE))^(1/12)</f>
        <v>0.99902750864006262</v>
      </c>
      <c r="AZ271" s="26">
        <f t="shared" si="230"/>
        <v>0</v>
      </c>
      <c r="BA271">
        <f t="shared" si="231"/>
        <v>0</v>
      </c>
      <c r="BB271">
        <f t="shared" si="232"/>
        <v>0</v>
      </c>
      <c r="BC271">
        <f t="shared" si="233"/>
        <v>0</v>
      </c>
    </row>
    <row r="272" spans="1:55" x14ac:dyDescent="0.2">
      <c r="A272" s="3">
        <f t="shared" si="202"/>
        <v>51043</v>
      </c>
      <c r="B272">
        <f t="shared" si="198"/>
        <v>274</v>
      </c>
      <c r="C272">
        <f t="shared" si="196"/>
        <v>22.75</v>
      </c>
      <c r="D272">
        <f t="shared" si="197"/>
        <v>0</v>
      </c>
      <c r="E272">
        <f t="shared" si="199"/>
        <v>78</v>
      </c>
      <c r="F272">
        <f>IF(C272&gt;=$T$2,0,VLOOKUP($E272,'Mortality Table'!$A$3:$C$128,2+AF$2,FALSE))</f>
        <v>0</v>
      </c>
      <c r="G272">
        <f>F272*Assumptions!$B$1</f>
        <v>0</v>
      </c>
      <c r="H272">
        <f t="shared" si="203"/>
        <v>0</v>
      </c>
      <c r="I272">
        <f t="shared" si="191"/>
        <v>0</v>
      </c>
      <c r="J272">
        <f>IF(B272&gt;$AJ$2,0,HLOOKUP(C272,Assumptions!$A$6:$J$7,2,TRUE))</f>
        <v>0</v>
      </c>
      <c r="K272" s="4">
        <f t="shared" si="192"/>
        <v>0</v>
      </c>
      <c r="L272" s="4">
        <f t="shared" si="204"/>
        <v>0</v>
      </c>
      <c r="M272" s="4">
        <f t="shared" si="193"/>
        <v>0</v>
      </c>
      <c r="N272">
        <f t="shared" si="205"/>
        <v>0</v>
      </c>
      <c r="O272" s="21">
        <f t="shared" si="194"/>
        <v>0</v>
      </c>
      <c r="P272">
        <f>IF(B272&gt;$AJ$2,0,HLOOKUP(C272,Assumptions!$A$12:$J$13,2,TRUE))</f>
        <v>0</v>
      </c>
      <c r="Q272">
        <f t="shared" si="195"/>
        <v>0</v>
      </c>
      <c r="R272">
        <f t="shared" si="206"/>
        <v>0</v>
      </c>
      <c r="S272">
        <f t="shared" si="234"/>
        <v>0</v>
      </c>
      <c r="T272">
        <f t="shared" si="235"/>
        <v>0</v>
      </c>
      <c r="U272">
        <f t="shared" si="207"/>
        <v>0</v>
      </c>
      <c r="V272">
        <f t="shared" si="208"/>
        <v>0</v>
      </c>
      <c r="W272">
        <f t="shared" si="209"/>
        <v>0</v>
      </c>
      <c r="X272">
        <f t="shared" si="200"/>
        <v>0</v>
      </c>
      <c r="Y272">
        <f t="shared" si="210"/>
        <v>0</v>
      </c>
      <c r="Z272">
        <f t="shared" si="211"/>
        <v>0</v>
      </c>
      <c r="AA272">
        <f t="shared" si="212"/>
        <v>0</v>
      </c>
      <c r="AB272">
        <f t="shared" si="213"/>
        <v>0</v>
      </c>
      <c r="AC272" s="23">
        <f>IF(B272&gt;$AJ$2,0,HLOOKUP(YEAR(A272),Assumptions!$A$25:$AL$29,4,TRUE)/100)</f>
        <v>0</v>
      </c>
      <c r="AD272">
        <f t="shared" si="214"/>
        <v>0</v>
      </c>
      <c r="AE272">
        <f t="shared" si="215"/>
        <v>0</v>
      </c>
      <c r="AF272">
        <f t="shared" si="216"/>
        <v>0</v>
      </c>
      <c r="AG272">
        <f t="shared" si="217"/>
        <v>0</v>
      </c>
      <c r="AH272">
        <f t="shared" si="218"/>
        <v>0</v>
      </c>
      <c r="AI272">
        <f t="shared" si="219"/>
        <v>0</v>
      </c>
      <c r="AJ272">
        <f t="shared" si="220"/>
        <v>0</v>
      </c>
      <c r="AK272">
        <f t="shared" si="221"/>
        <v>0</v>
      </c>
      <c r="AL272">
        <f t="shared" si="222"/>
        <v>0</v>
      </c>
      <c r="AM272">
        <f t="shared" si="201"/>
        <v>0</v>
      </c>
      <c r="AN272">
        <f>IF($S$2=0,0,(SUMPRODUCT($K$2:$R$2,Assumptions!$B$34:$I$34)/$U$2+$J$2/$U$2*Assumptions!$A$34*G272)*K272*O271)</f>
        <v>0</v>
      </c>
      <c r="AO272">
        <f t="shared" si="223"/>
        <v>0</v>
      </c>
      <c r="AP272">
        <f t="shared" si="224"/>
        <v>0</v>
      </c>
      <c r="AQ272">
        <f>IF(B272&gt;$AJ$2,0,AQ271*(1+Assumptions!$B$43)^(1/12))</f>
        <v>0</v>
      </c>
      <c r="AR272" s="27">
        <f>IF(B272&gt;$AJ$2,0,(O271+R271)*Assumptions!$B$39/12*AQ271+AV272*Assumptions!$B$41/12)</f>
        <v>0</v>
      </c>
      <c r="AS272">
        <f t="shared" si="225"/>
        <v>0</v>
      </c>
      <c r="AT272" s="28">
        <f t="shared" si="226"/>
        <v>0</v>
      </c>
      <c r="AU272">
        <f t="shared" si="227"/>
        <v>0</v>
      </c>
      <c r="AV272" s="28">
        <f t="shared" si="228"/>
        <v>0</v>
      </c>
      <c r="AW272" s="28">
        <f t="shared" si="229"/>
        <v>0</v>
      </c>
      <c r="AX272" s="23">
        <f>HLOOKUP(YEAR(A272),Assumptions!$A$25:$AL$29,2,TRUE)/100</f>
        <v>1.1739999999999999E-2</v>
      </c>
      <c r="AY272" s="29">
        <f>1/(1+HLOOKUP(YEAR(A272),Assumptions!$A$18:$AL$20,3,TRUE))^(1/12)</f>
        <v>0.99902750864006262</v>
      </c>
      <c r="AZ272" s="26">
        <f t="shared" si="230"/>
        <v>0</v>
      </c>
      <c r="BA272">
        <f t="shared" si="231"/>
        <v>0</v>
      </c>
      <c r="BB272">
        <f t="shared" si="232"/>
        <v>0</v>
      </c>
      <c r="BC272">
        <f t="shared" si="233"/>
        <v>0</v>
      </c>
    </row>
    <row r="273" spans="1:55" x14ac:dyDescent="0.2">
      <c r="A273" s="3">
        <f t="shared" si="202"/>
        <v>51074</v>
      </c>
      <c r="B273">
        <f t="shared" si="198"/>
        <v>275</v>
      </c>
      <c r="C273">
        <f t="shared" si="196"/>
        <v>22.833333333333332</v>
      </c>
      <c r="D273">
        <f t="shared" si="197"/>
        <v>0</v>
      </c>
      <c r="E273">
        <f t="shared" si="199"/>
        <v>78</v>
      </c>
      <c r="F273">
        <f>IF(C273&gt;=$T$2,0,VLOOKUP($E273,'Mortality Table'!$A$3:$C$128,2+AF$2,FALSE))</f>
        <v>0</v>
      </c>
      <c r="G273">
        <f>F273*Assumptions!$B$1</f>
        <v>0</v>
      </c>
      <c r="H273">
        <f t="shared" si="203"/>
        <v>0</v>
      </c>
      <c r="I273">
        <f t="shared" si="191"/>
        <v>0</v>
      </c>
      <c r="J273">
        <f>IF(B273&gt;$AJ$2,0,HLOOKUP(C273,Assumptions!$A$6:$J$7,2,TRUE))</f>
        <v>0</v>
      </c>
      <c r="K273" s="4">
        <f t="shared" si="192"/>
        <v>0</v>
      </c>
      <c r="L273" s="4">
        <f t="shared" si="204"/>
        <v>0</v>
      </c>
      <c r="M273" s="4">
        <f t="shared" si="193"/>
        <v>0</v>
      </c>
      <c r="N273">
        <f t="shared" si="205"/>
        <v>0</v>
      </c>
      <c r="O273" s="21">
        <f t="shared" si="194"/>
        <v>0</v>
      </c>
      <c r="P273">
        <f>IF(B273&gt;$AJ$2,0,HLOOKUP(C273,Assumptions!$A$12:$J$13,2,TRUE))</f>
        <v>0</v>
      </c>
      <c r="Q273">
        <f t="shared" si="195"/>
        <v>0</v>
      </c>
      <c r="R273">
        <f t="shared" si="206"/>
        <v>0</v>
      </c>
      <c r="S273">
        <f t="shared" si="234"/>
        <v>0</v>
      </c>
      <c r="T273">
        <f t="shared" si="235"/>
        <v>0</v>
      </c>
      <c r="U273">
        <f t="shared" si="207"/>
        <v>0</v>
      </c>
      <c r="V273">
        <f t="shared" si="208"/>
        <v>0</v>
      </c>
      <c r="W273">
        <f t="shared" si="209"/>
        <v>0</v>
      </c>
      <c r="X273">
        <f t="shared" si="200"/>
        <v>0</v>
      </c>
      <c r="Y273">
        <f t="shared" si="210"/>
        <v>0</v>
      </c>
      <c r="Z273">
        <f t="shared" si="211"/>
        <v>0</v>
      </c>
      <c r="AA273">
        <f t="shared" si="212"/>
        <v>0</v>
      </c>
      <c r="AB273">
        <f t="shared" si="213"/>
        <v>0</v>
      </c>
      <c r="AC273" s="23">
        <f>IF(B273&gt;$AJ$2,0,HLOOKUP(YEAR(A273),Assumptions!$A$25:$AL$29,4,TRUE)/100)</f>
        <v>0</v>
      </c>
      <c r="AD273">
        <f t="shared" si="214"/>
        <v>0</v>
      </c>
      <c r="AE273">
        <f t="shared" si="215"/>
        <v>0</v>
      </c>
      <c r="AF273">
        <f t="shared" si="216"/>
        <v>0</v>
      </c>
      <c r="AG273">
        <f t="shared" si="217"/>
        <v>0</v>
      </c>
      <c r="AH273">
        <f t="shared" si="218"/>
        <v>0</v>
      </c>
      <c r="AI273">
        <f t="shared" si="219"/>
        <v>0</v>
      </c>
      <c r="AJ273">
        <f t="shared" si="220"/>
        <v>0</v>
      </c>
      <c r="AK273">
        <f t="shared" si="221"/>
        <v>0</v>
      </c>
      <c r="AL273">
        <f t="shared" si="222"/>
        <v>0</v>
      </c>
      <c r="AM273">
        <f t="shared" si="201"/>
        <v>0</v>
      </c>
      <c r="AN273">
        <f>IF($S$2=0,0,(SUMPRODUCT($K$2:$R$2,Assumptions!$B$34:$I$34)/$U$2+$J$2/$U$2*Assumptions!$A$34*G273)*K273*O272)</f>
        <v>0</v>
      </c>
      <c r="AO273">
        <f t="shared" si="223"/>
        <v>0</v>
      </c>
      <c r="AP273">
        <f t="shared" si="224"/>
        <v>0</v>
      </c>
      <c r="AQ273">
        <f>IF(B273&gt;$AJ$2,0,AQ272*(1+Assumptions!$B$43)^(1/12))</f>
        <v>0</v>
      </c>
      <c r="AR273" s="27">
        <f>IF(B273&gt;$AJ$2,0,(O272+R272)*Assumptions!$B$39/12*AQ272+AV273*Assumptions!$B$41/12)</f>
        <v>0</v>
      </c>
      <c r="AS273">
        <f t="shared" si="225"/>
        <v>0</v>
      </c>
      <c r="AT273" s="28">
        <f t="shared" si="226"/>
        <v>0</v>
      </c>
      <c r="AU273">
        <f t="shared" si="227"/>
        <v>0</v>
      </c>
      <c r="AV273" s="28">
        <f t="shared" si="228"/>
        <v>0</v>
      </c>
      <c r="AW273" s="28">
        <f t="shared" si="229"/>
        <v>0</v>
      </c>
      <c r="AX273" s="23">
        <f>HLOOKUP(YEAR(A273),Assumptions!$A$25:$AL$29,2,TRUE)/100</f>
        <v>1.1739999999999999E-2</v>
      </c>
      <c r="AY273" s="29">
        <f>1/(1+HLOOKUP(YEAR(A273),Assumptions!$A$18:$AL$20,3,TRUE))^(1/12)</f>
        <v>0.99902750864006262</v>
      </c>
      <c r="AZ273" s="26">
        <f t="shared" si="230"/>
        <v>0</v>
      </c>
      <c r="BA273">
        <f t="shared" si="231"/>
        <v>0</v>
      </c>
      <c r="BB273">
        <f t="shared" si="232"/>
        <v>0</v>
      </c>
      <c r="BC273">
        <f t="shared" si="233"/>
        <v>0</v>
      </c>
    </row>
    <row r="274" spans="1:55" x14ac:dyDescent="0.2">
      <c r="A274" s="3">
        <f t="shared" si="202"/>
        <v>51104</v>
      </c>
      <c r="B274">
        <f t="shared" si="198"/>
        <v>276</v>
      </c>
      <c r="C274">
        <f t="shared" si="196"/>
        <v>22.916666666666668</v>
      </c>
      <c r="D274">
        <f t="shared" si="197"/>
        <v>0</v>
      </c>
      <c r="E274">
        <f t="shared" si="199"/>
        <v>78</v>
      </c>
      <c r="F274">
        <f>IF(C274&gt;=$T$2,0,VLOOKUP($E274,'Mortality Table'!$A$3:$C$128,2+AF$2,FALSE))</f>
        <v>0</v>
      </c>
      <c r="G274">
        <f>F274*Assumptions!$B$1</f>
        <v>0</v>
      </c>
      <c r="H274">
        <f t="shared" si="203"/>
        <v>0</v>
      </c>
      <c r="I274">
        <f t="shared" si="191"/>
        <v>0</v>
      </c>
      <c r="J274">
        <f>IF(B274&gt;$AJ$2,0,HLOOKUP(C274,Assumptions!$A$6:$J$7,2,TRUE))</f>
        <v>0</v>
      </c>
      <c r="K274" s="4">
        <f t="shared" si="192"/>
        <v>0</v>
      </c>
      <c r="L274" s="4">
        <f t="shared" si="204"/>
        <v>0</v>
      </c>
      <c r="M274" s="4">
        <f t="shared" si="193"/>
        <v>0</v>
      </c>
      <c r="N274">
        <f t="shared" si="205"/>
        <v>0</v>
      </c>
      <c r="O274" s="21">
        <f t="shared" si="194"/>
        <v>0</v>
      </c>
      <c r="P274">
        <f>IF(B274&gt;$AJ$2,0,HLOOKUP(C274,Assumptions!$A$12:$J$13,2,TRUE))</f>
        <v>0</v>
      </c>
      <c r="Q274">
        <f t="shared" si="195"/>
        <v>0</v>
      </c>
      <c r="R274">
        <f t="shared" si="206"/>
        <v>0</v>
      </c>
      <c r="S274">
        <f t="shared" si="234"/>
        <v>0</v>
      </c>
      <c r="T274">
        <f t="shared" si="235"/>
        <v>0</v>
      </c>
      <c r="U274">
        <f t="shared" si="207"/>
        <v>0</v>
      </c>
      <c r="V274">
        <f t="shared" si="208"/>
        <v>0</v>
      </c>
      <c r="W274">
        <f t="shared" si="209"/>
        <v>0</v>
      </c>
      <c r="X274">
        <f t="shared" si="200"/>
        <v>0</v>
      </c>
      <c r="Y274">
        <f t="shared" si="210"/>
        <v>0</v>
      </c>
      <c r="Z274">
        <f t="shared" si="211"/>
        <v>0</v>
      </c>
      <c r="AA274">
        <f t="shared" si="212"/>
        <v>0</v>
      </c>
      <c r="AB274">
        <f t="shared" si="213"/>
        <v>0</v>
      </c>
      <c r="AC274" s="23">
        <f>IF(B274&gt;$AJ$2,0,HLOOKUP(YEAR(A274),Assumptions!$A$25:$AL$29,4,TRUE)/100)</f>
        <v>0</v>
      </c>
      <c r="AD274">
        <f t="shared" si="214"/>
        <v>0</v>
      </c>
      <c r="AE274">
        <f t="shared" si="215"/>
        <v>0</v>
      </c>
      <c r="AF274">
        <f t="shared" si="216"/>
        <v>0</v>
      </c>
      <c r="AG274">
        <f t="shared" si="217"/>
        <v>0</v>
      </c>
      <c r="AH274">
        <f t="shared" si="218"/>
        <v>0</v>
      </c>
      <c r="AI274">
        <f t="shared" si="219"/>
        <v>0</v>
      </c>
      <c r="AJ274">
        <f t="shared" si="220"/>
        <v>0</v>
      </c>
      <c r="AK274">
        <f t="shared" si="221"/>
        <v>0</v>
      </c>
      <c r="AL274">
        <f t="shared" si="222"/>
        <v>0</v>
      </c>
      <c r="AM274">
        <f t="shared" si="201"/>
        <v>0</v>
      </c>
      <c r="AN274">
        <f>IF($S$2=0,0,(SUMPRODUCT($K$2:$R$2,Assumptions!$B$34:$I$34)/$U$2+$J$2/$U$2*Assumptions!$A$34*G274)*K274*O273)</f>
        <v>0</v>
      </c>
      <c r="AO274">
        <f t="shared" si="223"/>
        <v>0</v>
      </c>
      <c r="AP274">
        <f t="shared" si="224"/>
        <v>0</v>
      </c>
      <c r="AQ274">
        <f>IF(B274&gt;$AJ$2,0,AQ273*(1+Assumptions!$B$43)^(1/12))</f>
        <v>0</v>
      </c>
      <c r="AR274" s="27">
        <f>IF(B274&gt;$AJ$2,0,(O273+R273)*Assumptions!$B$39/12*AQ273+AV274*Assumptions!$B$41/12)</f>
        <v>0</v>
      </c>
      <c r="AS274">
        <f t="shared" si="225"/>
        <v>0</v>
      </c>
      <c r="AT274" s="28">
        <f t="shared" si="226"/>
        <v>0</v>
      </c>
      <c r="AU274">
        <f t="shared" si="227"/>
        <v>0</v>
      </c>
      <c r="AV274" s="28">
        <f t="shared" si="228"/>
        <v>0</v>
      </c>
      <c r="AW274" s="28">
        <f t="shared" si="229"/>
        <v>0</v>
      </c>
      <c r="AX274" s="23">
        <f>HLOOKUP(YEAR(A274),Assumptions!$A$25:$AL$29,2,TRUE)/100</f>
        <v>1.1739999999999999E-2</v>
      </c>
      <c r="AY274" s="29">
        <f>1/(1+HLOOKUP(YEAR(A274),Assumptions!$A$18:$AL$20,3,TRUE))^(1/12)</f>
        <v>0.99902750864006262</v>
      </c>
      <c r="AZ274" s="26">
        <f t="shared" si="230"/>
        <v>0</v>
      </c>
      <c r="BA274">
        <f t="shared" si="231"/>
        <v>0</v>
      </c>
      <c r="BB274">
        <f t="shared" si="232"/>
        <v>0</v>
      </c>
      <c r="BC274">
        <f t="shared" si="233"/>
        <v>0</v>
      </c>
    </row>
    <row r="275" spans="1:55" x14ac:dyDescent="0.2">
      <c r="A275" s="3">
        <f t="shared" si="202"/>
        <v>51135</v>
      </c>
      <c r="B275">
        <f t="shared" si="198"/>
        <v>277</v>
      </c>
      <c r="C275">
        <f t="shared" si="196"/>
        <v>23</v>
      </c>
      <c r="D275">
        <f t="shared" si="197"/>
        <v>1</v>
      </c>
      <c r="E275">
        <f t="shared" si="199"/>
        <v>79</v>
      </c>
      <c r="F275">
        <f>IF(C275&gt;=$T$2,0,VLOOKUP($E275,'Mortality Table'!$A$3:$C$128,2+AF$2,FALSE))</f>
        <v>0</v>
      </c>
      <c r="G275">
        <f>F275*Assumptions!$B$1</f>
        <v>0</v>
      </c>
      <c r="H275">
        <f t="shared" si="203"/>
        <v>0</v>
      </c>
      <c r="I275">
        <f t="shared" si="191"/>
        <v>0</v>
      </c>
      <c r="J275">
        <f>IF(B275&gt;$AJ$2,0,HLOOKUP(C275,Assumptions!$A$6:$J$7,2,TRUE))</f>
        <v>0</v>
      </c>
      <c r="K275" s="4">
        <f t="shared" si="192"/>
        <v>0</v>
      </c>
      <c r="L275" s="4">
        <f t="shared" si="204"/>
        <v>0</v>
      </c>
      <c r="M275" s="4">
        <f t="shared" si="193"/>
        <v>0</v>
      </c>
      <c r="N275">
        <f t="shared" si="205"/>
        <v>0</v>
      </c>
      <c r="O275" s="21">
        <f t="shared" si="194"/>
        <v>0</v>
      </c>
      <c r="P275">
        <f>IF(B275&gt;$AJ$2,0,HLOOKUP(C275,Assumptions!$A$12:$J$13,2,TRUE))</f>
        <v>0</v>
      </c>
      <c r="Q275">
        <f t="shared" si="195"/>
        <v>0</v>
      </c>
      <c r="R275">
        <f t="shared" si="206"/>
        <v>0</v>
      </c>
      <c r="S275">
        <f t="shared" si="234"/>
        <v>0</v>
      </c>
      <c r="T275">
        <f t="shared" si="235"/>
        <v>0</v>
      </c>
      <c r="U275">
        <f t="shared" si="207"/>
        <v>0</v>
      </c>
      <c r="V275">
        <f t="shared" si="208"/>
        <v>0</v>
      </c>
      <c r="W275">
        <f t="shared" si="209"/>
        <v>0</v>
      </c>
      <c r="X275">
        <f t="shared" si="200"/>
        <v>0</v>
      </c>
      <c r="Y275">
        <f t="shared" si="210"/>
        <v>0</v>
      </c>
      <c r="Z275">
        <f t="shared" si="211"/>
        <v>0</v>
      </c>
      <c r="AA275">
        <f t="shared" si="212"/>
        <v>0</v>
      </c>
      <c r="AB275">
        <f t="shared" si="213"/>
        <v>0</v>
      </c>
      <c r="AC275" s="23">
        <f>IF(B275&gt;$AJ$2,0,HLOOKUP(YEAR(A275),Assumptions!$A$25:$AL$29,4,TRUE)/100)</f>
        <v>0</v>
      </c>
      <c r="AD275">
        <f t="shared" si="214"/>
        <v>0</v>
      </c>
      <c r="AE275">
        <f t="shared" si="215"/>
        <v>0</v>
      </c>
      <c r="AF275">
        <f t="shared" si="216"/>
        <v>0</v>
      </c>
      <c r="AG275">
        <f t="shared" si="217"/>
        <v>0</v>
      </c>
      <c r="AH275">
        <f t="shared" si="218"/>
        <v>0</v>
      </c>
      <c r="AI275">
        <f t="shared" si="219"/>
        <v>0</v>
      </c>
      <c r="AJ275">
        <f t="shared" si="220"/>
        <v>0</v>
      </c>
      <c r="AK275">
        <f t="shared" si="221"/>
        <v>0</v>
      </c>
      <c r="AL275">
        <f t="shared" si="222"/>
        <v>0</v>
      </c>
      <c r="AM275">
        <f t="shared" si="201"/>
        <v>0</v>
      </c>
      <c r="AN275">
        <f>IF($S$2=0,0,(SUMPRODUCT($K$2:$R$2,Assumptions!$B$34:$I$34)/$U$2+$J$2/$U$2*Assumptions!$A$34*G275)*K275*O274)</f>
        <v>0</v>
      </c>
      <c r="AO275">
        <f t="shared" si="223"/>
        <v>0</v>
      </c>
      <c r="AP275">
        <f t="shared" si="224"/>
        <v>0</v>
      </c>
      <c r="AQ275">
        <f>IF(B275&gt;$AJ$2,0,AQ274*(1+Assumptions!$B$43)^(1/12))</f>
        <v>0</v>
      </c>
      <c r="AR275" s="27">
        <f>IF(B275&gt;$AJ$2,0,(O274+R274)*Assumptions!$B$39/12*AQ274+AV275*Assumptions!$B$41/12)</f>
        <v>0</v>
      </c>
      <c r="AS275">
        <f t="shared" si="225"/>
        <v>0</v>
      </c>
      <c r="AT275" s="28">
        <f t="shared" si="226"/>
        <v>0</v>
      </c>
      <c r="AU275">
        <f t="shared" si="227"/>
        <v>0</v>
      </c>
      <c r="AV275" s="28">
        <f t="shared" si="228"/>
        <v>0</v>
      </c>
      <c r="AW275" s="28">
        <f t="shared" si="229"/>
        <v>0</v>
      </c>
      <c r="AX275" s="23">
        <f>HLOOKUP(YEAR(A275),Assumptions!$A$25:$AL$29,2,TRUE)/100</f>
        <v>1.1739999999999999E-2</v>
      </c>
      <c r="AY275" s="29">
        <f>1/(1+HLOOKUP(YEAR(A275),Assumptions!$A$18:$AL$20,3,TRUE))^(1/12)</f>
        <v>0.99902750864006262</v>
      </c>
      <c r="AZ275" s="26">
        <f t="shared" si="230"/>
        <v>0</v>
      </c>
      <c r="BA275">
        <f t="shared" si="231"/>
        <v>0</v>
      </c>
      <c r="BB275">
        <f t="shared" si="232"/>
        <v>0</v>
      </c>
      <c r="BC275">
        <f t="shared" si="233"/>
        <v>0</v>
      </c>
    </row>
    <row r="276" spans="1:55" x14ac:dyDescent="0.2">
      <c r="A276" s="3">
        <f t="shared" si="202"/>
        <v>51166</v>
      </c>
      <c r="B276">
        <f t="shared" si="198"/>
        <v>278</v>
      </c>
      <c r="C276">
        <f t="shared" si="196"/>
        <v>23.083333333333332</v>
      </c>
      <c r="D276">
        <f t="shared" si="197"/>
        <v>0</v>
      </c>
      <c r="E276">
        <f t="shared" si="199"/>
        <v>79</v>
      </c>
      <c r="F276">
        <f>IF(C276&gt;=$T$2,0,VLOOKUP($E276,'Mortality Table'!$A$3:$C$128,2+AF$2,FALSE))</f>
        <v>0</v>
      </c>
      <c r="G276">
        <f>F276*Assumptions!$B$1</f>
        <v>0</v>
      </c>
      <c r="H276">
        <f t="shared" si="203"/>
        <v>0</v>
      </c>
      <c r="I276">
        <f t="shared" si="191"/>
        <v>0</v>
      </c>
      <c r="J276">
        <f>IF(B276&gt;$AJ$2,0,HLOOKUP(C276,Assumptions!$A$6:$J$7,2,TRUE))</f>
        <v>0</v>
      </c>
      <c r="K276" s="4">
        <f t="shared" si="192"/>
        <v>0</v>
      </c>
      <c r="L276" s="4">
        <f t="shared" si="204"/>
        <v>0</v>
      </c>
      <c r="M276" s="4">
        <f t="shared" si="193"/>
        <v>0</v>
      </c>
      <c r="N276">
        <f t="shared" si="205"/>
        <v>0</v>
      </c>
      <c r="O276" s="21">
        <f t="shared" si="194"/>
        <v>0</v>
      </c>
      <c r="P276">
        <f>IF(B276&gt;$AJ$2,0,HLOOKUP(C276,Assumptions!$A$12:$J$13,2,TRUE))</f>
        <v>0</v>
      </c>
      <c r="Q276">
        <f t="shared" si="195"/>
        <v>0</v>
      </c>
      <c r="R276">
        <f t="shared" si="206"/>
        <v>0</v>
      </c>
      <c r="S276">
        <f t="shared" si="234"/>
        <v>0</v>
      </c>
      <c r="T276">
        <f t="shared" si="235"/>
        <v>0</v>
      </c>
      <c r="U276">
        <f t="shared" si="207"/>
        <v>0</v>
      </c>
      <c r="V276">
        <f t="shared" si="208"/>
        <v>0</v>
      </c>
      <c r="W276">
        <f t="shared" si="209"/>
        <v>0</v>
      </c>
      <c r="X276">
        <f t="shared" si="200"/>
        <v>0</v>
      </c>
      <c r="Y276">
        <f t="shared" si="210"/>
        <v>0</v>
      </c>
      <c r="Z276">
        <f t="shared" si="211"/>
        <v>0</v>
      </c>
      <c r="AA276">
        <f t="shared" si="212"/>
        <v>0</v>
      </c>
      <c r="AB276">
        <f t="shared" si="213"/>
        <v>0</v>
      </c>
      <c r="AC276" s="23">
        <f>IF(B276&gt;$AJ$2,0,HLOOKUP(YEAR(A276),Assumptions!$A$25:$AL$29,4,TRUE)/100)</f>
        <v>0</v>
      </c>
      <c r="AD276">
        <f t="shared" si="214"/>
        <v>0</v>
      </c>
      <c r="AE276">
        <f t="shared" si="215"/>
        <v>0</v>
      </c>
      <c r="AF276">
        <f t="shared" si="216"/>
        <v>0</v>
      </c>
      <c r="AG276">
        <f t="shared" si="217"/>
        <v>0</v>
      </c>
      <c r="AH276">
        <f t="shared" si="218"/>
        <v>0</v>
      </c>
      <c r="AI276">
        <f t="shared" si="219"/>
        <v>0</v>
      </c>
      <c r="AJ276">
        <f t="shared" si="220"/>
        <v>0</v>
      </c>
      <c r="AK276">
        <f t="shared" si="221"/>
        <v>0</v>
      </c>
      <c r="AL276">
        <f t="shared" si="222"/>
        <v>0</v>
      </c>
      <c r="AM276">
        <f t="shared" si="201"/>
        <v>0</v>
      </c>
      <c r="AN276">
        <f>IF($S$2=0,0,(SUMPRODUCT($K$2:$R$2,Assumptions!$B$34:$I$34)/$U$2+$J$2/$U$2*Assumptions!$A$34*G276)*K276*O275)</f>
        <v>0</v>
      </c>
      <c r="AO276">
        <f t="shared" si="223"/>
        <v>0</v>
      </c>
      <c r="AP276">
        <f t="shared" si="224"/>
        <v>0</v>
      </c>
      <c r="AQ276">
        <f>IF(B276&gt;$AJ$2,0,AQ275*(1+Assumptions!$B$43)^(1/12))</f>
        <v>0</v>
      </c>
      <c r="AR276" s="27">
        <f>IF(B276&gt;$AJ$2,0,(O275+R275)*Assumptions!$B$39/12*AQ275+AV276*Assumptions!$B$41/12)</f>
        <v>0</v>
      </c>
      <c r="AS276">
        <f t="shared" si="225"/>
        <v>0</v>
      </c>
      <c r="AT276" s="28">
        <f t="shared" si="226"/>
        <v>0</v>
      </c>
      <c r="AU276">
        <f t="shared" si="227"/>
        <v>0</v>
      </c>
      <c r="AV276" s="28">
        <f t="shared" si="228"/>
        <v>0</v>
      </c>
      <c r="AW276" s="28">
        <f t="shared" si="229"/>
        <v>0</v>
      </c>
      <c r="AX276" s="23">
        <f>HLOOKUP(YEAR(A276),Assumptions!$A$25:$AL$29,2,TRUE)/100</f>
        <v>1.1739999999999999E-2</v>
      </c>
      <c r="AY276" s="29">
        <f>1/(1+HLOOKUP(YEAR(A276),Assumptions!$A$18:$AL$20,3,TRUE))^(1/12)</f>
        <v>0.99902750864006262</v>
      </c>
      <c r="AZ276" s="26">
        <f t="shared" si="230"/>
        <v>0</v>
      </c>
      <c r="BA276">
        <f t="shared" si="231"/>
        <v>0</v>
      </c>
      <c r="BB276">
        <f t="shared" si="232"/>
        <v>0</v>
      </c>
      <c r="BC276">
        <f t="shared" si="233"/>
        <v>0</v>
      </c>
    </row>
    <row r="277" spans="1:55" x14ac:dyDescent="0.2">
      <c r="A277" s="3">
        <f t="shared" si="202"/>
        <v>51195</v>
      </c>
      <c r="B277">
        <f t="shared" si="198"/>
        <v>279</v>
      </c>
      <c r="C277">
        <f t="shared" si="196"/>
        <v>23.166666666666668</v>
      </c>
      <c r="D277">
        <f t="shared" si="197"/>
        <v>0</v>
      </c>
      <c r="E277">
        <f t="shared" si="199"/>
        <v>79</v>
      </c>
      <c r="F277">
        <f>IF(C277&gt;=$T$2,0,VLOOKUP($E277,'Mortality Table'!$A$3:$C$128,2+AF$2,FALSE))</f>
        <v>0</v>
      </c>
      <c r="G277">
        <f>F277*Assumptions!$B$1</f>
        <v>0</v>
      </c>
      <c r="H277">
        <f t="shared" si="203"/>
        <v>0</v>
      </c>
      <c r="I277">
        <f t="shared" si="191"/>
        <v>0</v>
      </c>
      <c r="J277">
        <f>IF(B277&gt;$AJ$2,0,HLOOKUP(C277,Assumptions!$A$6:$J$7,2,TRUE))</f>
        <v>0</v>
      </c>
      <c r="K277" s="4">
        <f t="shared" si="192"/>
        <v>0</v>
      </c>
      <c r="L277" s="4">
        <f t="shared" si="204"/>
        <v>0</v>
      </c>
      <c r="M277" s="4">
        <f t="shared" si="193"/>
        <v>0</v>
      </c>
      <c r="N277">
        <f t="shared" si="205"/>
        <v>0</v>
      </c>
      <c r="O277" s="21">
        <f t="shared" si="194"/>
        <v>0</v>
      </c>
      <c r="P277">
        <f>IF(B277&gt;$AJ$2,0,HLOOKUP(C277,Assumptions!$A$12:$J$13,2,TRUE))</f>
        <v>0</v>
      </c>
      <c r="Q277">
        <f t="shared" si="195"/>
        <v>0</v>
      </c>
      <c r="R277">
        <f t="shared" si="206"/>
        <v>0</v>
      </c>
      <c r="S277">
        <f t="shared" si="234"/>
        <v>0</v>
      </c>
      <c r="T277">
        <f t="shared" si="235"/>
        <v>0</v>
      </c>
      <c r="U277">
        <f t="shared" si="207"/>
        <v>0</v>
      </c>
      <c r="V277">
        <f t="shared" si="208"/>
        <v>0</v>
      </c>
      <c r="W277">
        <f t="shared" si="209"/>
        <v>0</v>
      </c>
      <c r="X277">
        <f t="shared" si="200"/>
        <v>0</v>
      </c>
      <c r="Y277">
        <f t="shared" si="210"/>
        <v>0</v>
      </c>
      <c r="Z277">
        <f t="shared" si="211"/>
        <v>0</v>
      </c>
      <c r="AA277">
        <f t="shared" si="212"/>
        <v>0</v>
      </c>
      <c r="AB277">
        <f t="shared" si="213"/>
        <v>0</v>
      </c>
      <c r="AC277" s="23">
        <f>IF(B277&gt;$AJ$2,0,HLOOKUP(YEAR(A277),Assumptions!$A$25:$AL$29,4,TRUE)/100)</f>
        <v>0</v>
      </c>
      <c r="AD277">
        <f t="shared" si="214"/>
        <v>0</v>
      </c>
      <c r="AE277">
        <f t="shared" si="215"/>
        <v>0</v>
      </c>
      <c r="AF277">
        <f t="shared" si="216"/>
        <v>0</v>
      </c>
      <c r="AG277">
        <f t="shared" si="217"/>
        <v>0</v>
      </c>
      <c r="AH277">
        <f t="shared" si="218"/>
        <v>0</v>
      </c>
      <c r="AI277">
        <f t="shared" si="219"/>
        <v>0</v>
      </c>
      <c r="AJ277">
        <f t="shared" si="220"/>
        <v>0</v>
      </c>
      <c r="AK277">
        <f t="shared" si="221"/>
        <v>0</v>
      </c>
      <c r="AL277">
        <f t="shared" si="222"/>
        <v>0</v>
      </c>
      <c r="AM277">
        <f t="shared" si="201"/>
        <v>0</v>
      </c>
      <c r="AN277">
        <f>IF($S$2=0,0,(SUMPRODUCT($K$2:$R$2,Assumptions!$B$34:$I$34)/$U$2+$J$2/$U$2*Assumptions!$A$34*G277)*K277*O276)</f>
        <v>0</v>
      </c>
      <c r="AO277">
        <f t="shared" si="223"/>
        <v>0</v>
      </c>
      <c r="AP277">
        <f t="shared" si="224"/>
        <v>0</v>
      </c>
      <c r="AQ277">
        <f>IF(B277&gt;$AJ$2,0,AQ276*(1+Assumptions!$B$43)^(1/12))</f>
        <v>0</v>
      </c>
      <c r="AR277" s="27">
        <f>IF(B277&gt;$AJ$2,0,(O276+R276)*Assumptions!$B$39/12*AQ276+AV277*Assumptions!$B$41/12)</f>
        <v>0</v>
      </c>
      <c r="AS277">
        <f t="shared" si="225"/>
        <v>0</v>
      </c>
      <c r="AT277" s="28">
        <f t="shared" si="226"/>
        <v>0</v>
      </c>
      <c r="AU277">
        <f t="shared" si="227"/>
        <v>0</v>
      </c>
      <c r="AV277" s="28">
        <f t="shared" si="228"/>
        <v>0</v>
      </c>
      <c r="AW277" s="28">
        <f t="shared" si="229"/>
        <v>0</v>
      </c>
      <c r="AX277" s="23">
        <f>HLOOKUP(YEAR(A277),Assumptions!$A$25:$AL$29,2,TRUE)/100</f>
        <v>1.1739999999999999E-2</v>
      </c>
      <c r="AY277" s="29">
        <f>1/(1+HLOOKUP(YEAR(A277),Assumptions!$A$18:$AL$20,3,TRUE))^(1/12)</f>
        <v>0.99902750864006262</v>
      </c>
      <c r="AZ277" s="26">
        <f t="shared" si="230"/>
        <v>0</v>
      </c>
      <c r="BA277">
        <f t="shared" si="231"/>
        <v>0</v>
      </c>
      <c r="BB277">
        <f t="shared" si="232"/>
        <v>0</v>
      </c>
      <c r="BC277">
        <f t="shared" si="233"/>
        <v>0</v>
      </c>
    </row>
    <row r="278" spans="1:55" x14ac:dyDescent="0.2">
      <c r="A278" s="3">
        <f t="shared" si="202"/>
        <v>51226</v>
      </c>
      <c r="B278">
        <f t="shared" si="198"/>
        <v>280</v>
      </c>
      <c r="C278">
        <f t="shared" si="196"/>
        <v>23.25</v>
      </c>
      <c r="D278">
        <f t="shared" si="197"/>
        <v>0</v>
      </c>
      <c r="E278">
        <f t="shared" si="199"/>
        <v>79</v>
      </c>
      <c r="F278">
        <f>IF(C278&gt;=$T$2,0,VLOOKUP($E278,'Mortality Table'!$A$3:$C$128,2+AF$2,FALSE))</f>
        <v>0</v>
      </c>
      <c r="G278">
        <f>F278*Assumptions!$B$1</f>
        <v>0</v>
      </c>
      <c r="H278">
        <f t="shared" si="203"/>
        <v>0</v>
      </c>
      <c r="I278">
        <f t="shared" si="191"/>
        <v>0</v>
      </c>
      <c r="J278">
        <f>IF(B278&gt;$AJ$2,0,HLOOKUP(C278,Assumptions!$A$6:$J$7,2,TRUE))</f>
        <v>0</v>
      </c>
      <c r="K278" s="4">
        <f t="shared" si="192"/>
        <v>0</v>
      </c>
      <c r="L278" s="4">
        <f t="shared" si="204"/>
        <v>0</v>
      </c>
      <c r="M278" s="4">
        <f t="shared" si="193"/>
        <v>0</v>
      </c>
      <c r="N278">
        <f t="shared" si="205"/>
        <v>0</v>
      </c>
      <c r="O278" s="21">
        <f t="shared" si="194"/>
        <v>0</v>
      </c>
      <c r="P278">
        <f>IF(B278&gt;$AJ$2,0,HLOOKUP(C278,Assumptions!$A$12:$J$13,2,TRUE))</f>
        <v>0</v>
      </c>
      <c r="Q278">
        <f t="shared" si="195"/>
        <v>0</v>
      </c>
      <c r="R278">
        <f t="shared" si="206"/>
        <v>0</v>
      </c>
      <c r="S278">
        <f t="shared" si="234"/>
        <v>0</v>
      </c>
      <c r="T278">
        <f t="shared" si="235"/>
        <v>0</v>
      </c>
      <c r="U278">
        <f t="shared" si="207"/>
        <v>0</v>
      </c>
      <c r="V278">
        <f t="shared" si="208"/>
        <v>0</v>
      </c>
      <c r="W278">
        <f t="shared" si="209"/>
        <v>0</v>
      </c>
      <c r="X278">
        <f t="shared" si="200"/>
        <v>0</v>
      </c>
      <c r="Y278">
        <f t="shared" si="210"/>
        <v>0</v>
      </c>
      <c r="Z278">
        <f t="shared" si="211"/>
        <v>0</v>
      </c>
      <c r="AA278">
        <f t="shared" si="212"/>
        <v>0</v>
      </c>
      <c r="AB278">
        <f t="shared" si="213"/>
        <v>0</v>
      </c>
      <c r="AC278" s="23">
        <f>IF(B278&gt;$AJ$2,0,HLOOKUP(YEAR(A278),Assumptions!$A$25:$AL$29,4,TRUE)/100)</f>
        <v>0</v>
      </c>
      <c r="AD278">
        <f t="shared" si="214"/>
        <v>0</v>
      </c>
      <c r="AE278">
        <f t="shared" si="215"/>
        <v>0</v>
      </c>
      <c r="AF278">
        <f t="shared" si="216"/>
        <v>0</v>
      </c>
      <c r="AG278">
        <f t="shared" si="217"/>
        <v>0</v>
      </c>
      <c r="AH278">
        <f t="shared" si="218"/>
        <v>0</v>
      </c>
      <c r="AI278">
        <f t="shared" si="219"/>
        <v>0</v>
      </c>
      <c r="AJ278">
        <f t="shared" si="220"/>
        <v>0</v>
      </c>
      <c r="AK278">
        <f t="shared" si="221"/>
        <v>0</v>
      </c>
      <c r="AL278">
        <f t="shared" si="222"/>
        <v>0</v>
      </c>
      <c r="AM278">
        <f t="shared" si="201"/>
        <v>0</v>
      </c>
      <c r="AN278">
        <f>IF($S$2=0,0,(SUMPRODUCT($K$2:$R$2,Assumptions!$B$34:$I$34)/$U$2+$J$2/$U$2*Assumptions!$A$34*G278)*K278*O277)</f>
        <v>0</v>
      </c>
      <c r="AO278">
        <f t="shared" si="223"/>
        <v>0</v>
      </c>
      <c r="AP278">
        <f t="shared" si="224"/>
        <v>0</v>
      </c>
      <c r="AQ278">
        <f>IF(B278&gt;$AJ$2,0,AQ277*(1+Assumptions!$B$43)^(1/12))</f>
        <v>0</v>
      </c>
      <c r="AR278" s="27">
        <f>IF(B278&gt;$AJ$2,0,(O277+R277)*Assumptions!$B$39/12*AQ277+AV278*Assumptions!$B$41/12)</f>
        <v>0</v>
      </c>
      <c r="AS278">
        <f t="shared" si="225"/>
        <v>0</v>
      </c>
      <c r="AT278" s="28">
        <f t="shared" si="226"/>
        <v>0</v>
      </c>
      <c r="AU278">
        <f t="shared" si="227"/>
        <v>0</v>
      </c>
      <c r="AV278" s="28">
        <f t="shared" si="228"/>
        <v>0</v>
      </c>
      <c r="AW278" s="28">
        <f t="shared" si="229"/>
        <v>0</v>
      </c>
      <c r="AX278" s="23">
        <f>HLOOKUP(YEAR(A278),Assumptions!$A$25:$AL$29,2,TRUE)/100</f>
        <v>1.1739999999999999E-2</v>
      </c>
      <c r="AY278" s="29">
        <f>1/(1+HLOOKUP(YEAR(A278),Assumptions!$A$18:$AL$20,3,TRUE))^(1/12)</f>
        <v>0.99902750864006262</v>
      </c>
      <c r="AZ278" s="26">
        <f t="shared" si="230"/>
        <v>0</v>
      </c>
      <c r="BA278">
        <f t="shared" si="231"/>
        <v>0</v>
      </c>
      <c r="BB278">
        <f t="shared" si="232"/>
        <v>0</v>
      </c>
      <c r="BC278">
        <f t="shared" si="233"/>
        <v>0</v>
      </c>
    </row>
    <row r="279" spans="1:55" x14ac:dyDescent="0.2">
      <c r="A279" s="3">
        <f t="shared" si="202"/>
        <v>51256</v>
      </c>
      <c r="B279">
        <f t="shared" si="198"/>
        <v>281</v>
      </c>
      <c r="C279">
        <f t="shared" si="196"/>
        <v>23.333333333333332</v>
      </c>
      <c r="D279">
        <f t="shared" si="197"/>
        <v>0</v>
      </c>
      <c r="E279">
        <f t="shared" si="199"/>
        <v>79</v>
      </c>
      <c r="F279">
        <f>IF(C279&gt;=$T$2,0,VLOOKUP($E279,'Mortality Table'!$A$3:$C$128,2+AF$2,FALSE))</f>
        <v>0</v>
      </c>
      <c r="G279">
        <f>F279*Assumptions!$B$1</f>
        <v>0</v>
      </c>
      <c r="H279">
        <f t="shared" si="203"/>
        <v>0</v>
      </c>
      <c r="I279">
        <f t="shared" si="191"/>
        <v>0</v>
      </c>
      <c r="J279">
        <f>IF(B279&gt;$AJ$2,0,HLOOKUP(C279,Assumptions!$A$6:$J$7,2,TRUE))</f>
        <v>0</v>
      </c>
      <c r="K279" s="4">
        <f t="shared" si="192"/>
        <v>0</v>
      </c>
      <c r="L279" s="4">
        <f t="shared" si="204"/>
        <v>0</v>
      </c>
      <c r="M279" s="4">
        <f t="shared" si="193"/>
        <v>0</v>
      </c>
      <c r="N279">
        <f t="shared" si="205"/>
        <v>0</v>
      </c>
      <c r="O279" s="21">
        <f t="shared" si="194"/>
        <v>0</v>
      </c>
      <c r="P279">
        <f>IF(B279&gt;$AJ$2,0,HLOOKUP(C279,Assumptions!$A$12:$J$13,2,TRUE))</f>
        <v>0</v>
      </c>
      <c r="Q279">
        <f t="shared" si="195"/>
        <v>0</v>
      </c>
      <c r="R279">
        <f t="shared" si="206"/>
        <v>0</v>
      </c>
      <c r="S279">
        <f t="shared" si="234"/>
        <v>0</v>
      </c>
      <c r="T279">
        <f t="shared" si="235"/>
        <v>0</v>
      </c>
      <c r="U279">
        <f t="shared" si="207"/>
        <v>0</v>
      </c>
      <c r="V279">
        <f t="shared" si="208"/>
        <v>0</v>
      </c>
      <c r="W279">
        <f t="shared" si="209"/>
        <v>0</v>
      </c>
      <c r="X279">
        <f t="shared" si="200"/>
        <v>0</v>
      </c>
      <c r="Y279">
        <f t="shared" si="210"/>
        <v>0</v>
      </c>
      <c r="Z279">
        <f t="shared" si="211"/>
        <v>0</v>
      </c>
      <c r="AA279">
        <f t="shared" si="212"/>
        <v>0</v>
      </c>
      <c r="AB279">
        <f t="shared" si="213"/>
        <v>0</v>
      </c>
      <c r="AC279" s="23">
        <f>IF(B279&gt;$AJ$2,0,HLOOKUP(YEAR(A279),Assumptions!$A$25:$AL$29,4,TRUE)/100)</f>
        <v>0</v>
      </c>
      <c r="AD279">
        <f t="shared" si="214"/>
        <v>0</v>
      </c>
      <c r="AE279">
        <f t="shared" si="215"/>
        <v>0</v>
      </c>
      <c r="AF279">
        <f t="shared" si="216"/>
        <v>0</v>
      </c>
      <c r="AG279">
        <f t="shared" si="217"/>
        <v>0</v>
      </c>
      <c r="AH279">
        <f t="shared" si="218"/>
        <v>0</v>
      </c>
      <c r="AI279">
        <f t="shared" si="219"/>
        <v>0</v>
      </c>
      <c r="AJ279">
        <f t="shared" si="220"/>
        <v>0</v>
      </c>
      <c r="AK279">
        <f t="shared" si="221"/>
        <v>0</v>
      </c>
      <c r="AL279">
        <f t="shared" si="222"/>
        <v>0</v>
      </c>
      <c r="AM279">
        <f t="shared" si="201"/>
        <v>0</v>
      </c>
      <c r="AN279">
        <f>IF($S$2=0,0,(SUMPRODUCT($K$2:$R$2,Assumptions!$B$34:$I$34)/$U$2+$J$2/$U$2*Assumptions!$A$34*G279)*K279*O278)</f>
        <v>0</v>
      </c>
      <c r="AO279">
        <f t="shared" si="223"/>
        <v>0</v>
      </c>
      <c r="AP279">
        <f t="shared" si="224"/>
        <v>0</v>
      </c>
      <c r="AQ279">
        <f>IF(B279&gt;$AJ$2,0,AQ278*(1+Assumptions!$B$43)^(1/12))</f>
        <v>0</v>
      </c>
      <c r="AR279" s="27">
        <f>IF(B279&gt;$AJ$2,0,(O278+R278)*Assumptions!$B$39/12*AQ278+AV279*Assumptions!$B$41/12)</f>
        <v>0</v>
      </c>
      <c r="AS279">
        <f t="shared" si="225"/>
        <v>0</v>
      </c>
      <c r="AT279" s="28">
        <f t="shared" si="226"/>
        <v>0</v>
      </c>
      <c r="AU279">
        <f t="shared" si="227"/>
        <v>0</v>
      </c>
      <c r="AV279" s="28">
        <f t="shared" si="228"/>
        <v>0</v>
      </c>
      <c r="AW279" s="28">
        <f t="shared" si="229"/>
        <v>0</v>
      </c>
      <c r="AX279" s="23">
        <f>HLOOKUP(YEAR(A279),Assumptions!$A$25:$AL$29,2,TRUE)/100</f>
        <v>1.1739999999999999E-2</v>
      </c>
      <c r="AY279" s="29">
        <f>1/(1+HLOOKUP(YEAR(A279),Assumptions!$A$18:$AL$20,3,TRUE))^(1/12)</f>
        <v>0.99902750864006262</v>
      </c>
      <c r="AZ279" s="26">
        <f t="shared" si="230"/>
        <v>0</v>
      </c>
      <c r="BA279">
        <f t="shared" si="231"/>
        <v>0</v>
      </c>
      <c r="BB279">
        <f t="shared" si="232"/>
        <v>0</v>
      </c>
      <c r="BC279">
        <f t="shared" si="233"/>
        <v>0</v>
      </c>
    </row>
    <row r="280" spans="1:55" x14ac:dyDescent="0.2">
      <c r="A280" s="3">
        <f t="shared" si="202"/>
        <v>51287</v>
      </c>
      <c r="B280">
        <f t="shared" si="198"/>
        <v>282</v>
      </c>
      <c r="C280">
        <f t="shared" si="196"/>
        <v>23.416666666666668</v>
      </c>
      <c r="D280">
        <f t="shared" si="197"/>
        <v>0</v>
      </c>
      <c r="E280">
        <f t="shared" si="199"/>
        <v>79</v>
      </c>
      <c r="F280">
        <f>IF(C280&gt;=$T$2,0,VLOOKUP($E280,'Mortality Table'!$A$3:$C$128,2+AF$2,FALSE))</f>
        <v>0</v>
      </c>
      <c r="G280">
        <f>F280*Assumptions!$B$1</f>
        <v>0</v>
      </c>
      <c r="H280">
        <f t="shared" si="203"/>
        <v>0</v>
      </c>
      <c r="I280">
        <f t="shared" si="191"/>
        <v>0</v>
      </c>
      <c r="J280">
        <f>IF(B280&gt;$AJ$2,0,HLOOKUP(C280,Assumptions!$A$6:$J$7,2,TRUE))</f>
        <v>0</v>
      </c>
      <c r="K280" s="4">
        <f t="shared" si="192"/>
        <v>0</v>
      </c>
      <c r="L280" s="4">
        <f t="shared" si="204"/>
        <v>0</v>
      </c>
      <c r="M280" s="4">
        <f t="shared" si="193"/>
        <v>0</v>
      </c>
      <c r="N280">
        <f t="shared" si="205"/>
        <v>0</v>
      </c>
      <c r="O280" s="21">
        <f t="shared" si="194"/>
        <v>0</v>
      </c>
      <c r="P280">
        <f>IF(B280&gt;$AJ$2,0,HLOOKUP(C280,Assumptions!$A$12:$J$13,2,TRUE))</f>
        <v>0</v>
      </c>
      <c r="Q280">
        <f t="shared" si="195"/>
        <v>0</v>
      </c>
      <c r="R280">
        <f t="shared" si="206"/>
        <v>0</v>
      </c>
      <c r="S280">
        <f t="shared" si="234"/>
        <v>0</v>
      </c>
      <c r="T280">
        <f t="shared" si="235"/>
        <v>0</v>
      </c>
      <c r="U280">
        <f t="shared" si="207"/>
        <v>0</v>
      </c>
      <c r="V280">
        <f t="shared" si="208"/>
        <v>0</v>
      </c>
      <c r="W280">
        <f t="shared" si="209"/>
        <v>0</v>
      </c>
      <c r="X280">
        <f t="shared" si="200"/>
        <v>0</v>
      </c>
      <c r="Y280">
        <f t="shared" si="210"/>
        <v>0</v>
      </c>
      <c r="Z280">
        <f t="shared" si="211"/>
        <v>0</v>
      </c>
      <c r="AA280">
        <f t="shared" si="212"/>
        <v>0</v>
      </c>
      <c r="AB280">
        <f t="shared" si="213"/>
        <v>0</v>
      </c>
      <c r="AC280" s="23">
        <f>IF(B280&gt;$AJ$2,0,HLOOKUP(YEAR(A280),Assumptions!$A$25:$AL$29,4,TRUE)/100)</f>
        <v>0</v>
      </c>
      <c r="AD280">
        <f t="shared" si="214"/>
        <v>0</v>
      </c>
      <c r="AE280">
        <f t="shared" si="215"/>
        <v>0</v>
      </c>
      <c r="AF280">
        <f t="shared" si="216"/>
        <v>0</v>
      </c>
      <c r="AG280">
        <f t="shared" si="217"/>
        <v>0</v>
      </c>
      <c r="AH280">
        <f t="shared" si="218"/>
        <v>0</v>
      </c>
      <c r="AI280">
        <f t="shared" si="219"/>
        <v>0</v>
      </c>
      <c r="AJ280">
        <f t="shared" si="220"/>
        <v>0</v>
      </c>
      <c r="AK280">
        <f t="shared" si="221"/>
        <v>0</v>
      </c>
      <c r="AL280">
        <f t="shared" si="222"/>
        <v>0</v>
      </c>
      <c r="AM280">
        <f t="shared" si="201"/>
        <v>0</v>
      </c>
      <c r="AN280">
        <f>IF($S$2=0,0,(SUMPRODUCT($K$2:$R$2,Assumptions!$B$34:$I$34)/$U$2+$J$2/$U$2*Assumptions!$A$34*G280)*K280*O279)</f>
        <v>0</v>
      </c>
      <c r="AO280">
        <f t="shared" si="223"/>
        <v>0</v>
      </c>
      <c r="AP280">
        <f t="shared" si="224"/>
        <v>0</v>
      </c>
      <c r="AQ280">
        <f>IF(B280&gt;$AJ$2,0,AQ279*(1+Assumptions!$B$43)^(1/12))</f>
        <v>0</v>
      </c>
      <c r="AR280" s="27">
        <f>IF(B280&gt;$AJ$2,0,(O279+R279)*Assumptions!$B$39/12*AQ279+AV280*Assumptions!$B$41/12)</f>
        <v>0</v>
      </c>
      <c r="AS280">
        <f t="shared" si="225"/>
        <v>0</v>
      </c>
      <c r="AT280" s="28">
        <f t="shared" si="226"/>
        <v>0</v>
      </c>
      <c r="AU280">
        <f t="shared" si="227"/>
        <v>0</v>
      </c>
      <c r="AV280" s="28">
        <f t="shared" si="228"/>
        <v>0</v>
      </c>
      <c r="AW280" s="28">
        <f t="shared" si="229"/>
        <v>0</v>
      </c>
      <c r="AX280" s="23">
        <f>HLOOKUP(YEAR(A280),Assumptions!$A$25:$AL$29,2,TRUE)/100</f>
        <v>1.1739999999999999E-2</v>
      </c>
      <c r="AY280" s="29">
        <f>1/(1+HLOOKUP(YEAR(A280),Assumptions!$A$18:$AL$20,3,TRUE))^(1/12)</f>
        <v>0.99902750864006262</v>
      </c>
      <c r="AZ280" s="26">
        <f t="shared" si="230"/>
        <v>0</v>
      </c>
      <c r="BA280">
        <f t="shared" si="231"/>
        <v>0</v>
      </c>
      <c r="BB280">
        <f t="shared" si="232"/>
        <v>0</v>
      </c>
      <c r="BC280">
        <f t="shared" si="233"/>
        <v>0</v>
      </c>
    </row>
    <row r="281" spans="1:55" x14ac:dyDescent="0.2">
      <c r="A281" s="3">
        <f t="shared" si="202"/>
        <v>51317</v>
      </c>
      <c r="B281">
        <f t="shared" si="198"/>
        <v>283</v>
      </c>
      <c r="C281">
        <f t="shared" si="196"/>
        <v>23.5</v>
      </c>
      <c r="D281">
        <f t="shared" si="197"/>
        <v>0</v>
      </c>
      <c r="E281">
        <f t="shared" si="199"/>
        <v>79</v>
      </c>
      <c r="F281">
        <f>IF(C281&gt;=$T$2,0,VLOOKUP($E281,'Mortality Table'!$A$3:$C$128,2+AF$2,FALSE))</f>
        <v>0</v>
      </c>
      <c r="G281">
        <f>F281*Assumptions!$B$1</f>
        <v>0</v>
      </c>
      <c r="H281">
        <f t="shared" si="203"/>
        <v>0</v>
      </c>
      <c r="I281">
        <f t="shared" si="191"/>
        <v>0</v>
      </c>
      <c r="J281">
        <f>IF(B281&gt;$AJ$2,0,HLOOKUP(C281,Assumptions!$A$6:$J$7,2,TRUE))</f>
        <v>0</v>
      </c>
      <c r="K281" s="4">
        <f t="shared" si="192"/>
        <v>0</v>
      </c>
      <c r="L281" s="4">
        <f t="shared" si="204"/>
        <v>0</v>
      </c>
      <c r="M281" s="4">
        <f t="shared" si="193"/>
        <v>0</v>
      </c>
      <c r="N281">
        <f t="shared" si="205"/>
        <v>0</v>
      </c>
      <c r="O281" s="21">
        <f t="shared" si="194"/>
        <v>0</v>
      </c>
      <c r="P281">
        <f>IF(B281&gt;$AJ$2,0,HLOOKUP(C281,Assumptions!$A$12:$J$13,2,TRUE))</f>
        <v>0</v>
      </c>
      <c r="Q281">
        <f t="shared" si="195"/>
        <v>0</v>
      </c>
      <c r="R281">
        <f t="shared" si="206"/>
        <v>0</v>
      </c>
      <c r="S281">
        <f t="shared" si="234"/>
        <v>0</v>
      </c>
      <c r="T281">
        <f t="shared" si="235"/>
        <v>0</v>
      </c>
      <c r="U281">
        <f t="shared" si="207"/>
        <v>0</v>
      </c>
      <c r="V281">
        <f t="shared" si="208"/>
        <v>0</v>
      </c>
      <c r="W281">
        <f t="shared" si="209"/>
        <v>0</v>
      </c>
      <c r="X281">
        <f t="shared" si="200"/>
        <v>0</v>
      </c>
      <c r="Y281">
        <f t="shared" si="210"/>
        <v>0</v>
      </c>
      <c r="Z281">
        <f t="shared" si="211"/>
        <v>0</v>
      </c>
      <c r="AA281">
        <f t="shared" si="212"/>
        <v>0</v>
      </c>
      <c r="AB281">
        <f t="shared" si="213"/>
        <v>0</v>
      </c>
      <c r="AC281" s="23">
        <f>IF(B281&gt;$AJ$2,0,HLOOKUP(YEAR(A281),Assumptions!$A$25:$AL$29,4,TRUE)/100)</f>
        <v>0</v>
      </c>
      <c r="AD281">
        <f t="shared" si="214"/>
        <v>0</v>
      </c>
      <c r="AE281">
        <f t="shared" si="215"/>
        <v>0</v>
      </c>
      <c r="AF281">
        <f t="shared" si="216"/>
        <v>0</v>
      </c>
      <c r="AG281">
        <f t="shared" si="217"/>
        <v>0</v>
      </c>
      <c r="AH281">
        <f t="shared" si="218"/>
        <v>0</v>
      </c>
      <c r="AI281">
        <f t="shared" si="219"/>
        <v>0</v>
      </c>
      <c r="AJ281">
        <f t="shared" si="220"/>
        <v>0</v>
      </c>
      <c r="AK281">
        <f t="shared" si="221"/>
        <v>0</v>
      </c>
      <c r="AL281">
        <f t="shared" si="222"/>
        <v>0</v>
      </c>
      <c r="AM281">
        <f t="shared" si="201"/>
        <v>0</v>
      </c>
      <c r="AN281">
        <f>IF($S$2=0,0,(SUMPRODUCT($K$2:$R$2,Assumptions!$B$34:$I$34)/$U$2+$J$2/$U$2*Assumptions!$A$34*G281)*K281*O280)</f>
        <v>0</v>
      </c>
      <c r="AO281">
        <f t="shared" si="223"/>
        <v>0</v>
      </c>
      <c r="AP281">
        <f t="shared" si="224"/>
        <v>0</v>
      </c>
      <c r="AQ281">
        <f>IF(B281&gt;$AJ$2,0,AQ280*(1+Assumptions!$B$43)^(1/12))</f>
        <v>0</v>
      </c>
      <c r="AR281" s="27">
        <f>IF(B281&gt;$AJ$2,0,(O280+R280)*Assumptions!$B$39/12*AQ280+AV281*Assumptions!$B$41/12)</f>
        <v>0</v>
      </c>
      <c r="AS281">
        <f t="shared" si="225"/>
        <v>0</v>
      </c>
      <c r="AT281" s="28">
        <f t="shared" si="226"/>
        <v>0</v>
      </c>
      <c r="AU281">
        <f t="shared" si="227"/>
        <v>0</v>
      </c>
      <c r="AV281" s="28">
        <f t="shared" si="228"/>
        <v>0</v>
      </c>
      <c r="AW281" s="28">
        <f t="shared" si="229"/>
        <v>0</v>
      </c>
      <c r="AX281" s="23">
        <f>HLOOKUP(YEAR(A281),Assumptions!$A$25:$AL$29,2,TRUE)/100</f>
        <v>1.1739999999999999E-2</v>
      </c>
      <c r="AY281" s="29">
        <f>1/(1+HLOOKUP(YEAR(A281),Assumptions!$A$18:$AL$20,3,TRUE))^(1/12)</f>
        <v>0.99902750864006262</v>
      </c>
      <c r="AZ281" s="26">
        <f t="shared" si="230"/>
        <v>0</v>
      </c>
      <c r="BA281">
        <f t="shared" si="231"/>
        <v>0</v>
      </c>
      <c r="BB281">
        <f t="shared" si="232"/>
        <v>0</v>
      </c>
      <c r="BC281">
        <f t="shared" si="233"/>
        <v>0</v>
      </c>
    </row>
    <row r="282" spans="1:55" x14ac:dyDescent="0.2">
      <c r="A282" s="3">
        <f t="shared" si="202"/>
        <v>51348</v>
      </c>
      <c r="B282">
        <f t="shared" si="198"/>
        <v>284</v>
      </c>
      <c r="C282">
        <f t="shared" si="196"/>
        <v>23.583333333333332</v>
      </c>
      <c r="D282">
        <f t="shared" si="197"/>
        <v>0</v>
      </c>
      <c r="E282">
        <f t="shared" si="199"/>
        <v>79</v>
      </c>
      <c r="F282">
        <f>IF(C282&gt;=$T$2,0,VLOOKUP($E282,'Mortality Table'!$A$3:$C$128,2+AF$2,FALSE))</f>
        <v>0</v>
      </c>
      <c r="G282">
        <f>F282*Assumptions!$B$1</f>
        <v>0</v>
      </c>
      <c r="H282">
        <f t="shared" si="203"/>
        <v>0</v>
      </c>
      <c r="I282">
        <f t="shared" si="191"/>
        <v>0</v>
      </c>
      <c r="J282">
        <f>IF(B282&gt;$AJ$2,0,HLOOKUP(C282,Assumptions!$A$6:$J$7,2,TRUE))</f>
        <v>0</v>
      </c>
      <c r="K282" s="4">
        <f t="shared" si="192"/>
        <v>0</v>
      </c>
      <c r="L282" s="4">
        <f t="shared" si="204"/>
        <v>0</v>
      </c>
      <c r="M282" s="4">
        <f t="shared" si="193"/>
        <v>0</v>
      </c>
      <c r="N282">
        <f t="shared" si="205"/>
        <v>0</v>
      </c>
      <c r="O282" s="21">
        <f t="shared" si="194"/>
        <v>0</v>
      </c>
      <c r="P282">
        <f>IF(B282&gt;$AJ$2,0,HLOOKUP(C282,Assumptions!$A$12:$J$13,2,TRUE))</f>
        <v>0</v>
      </c>
      <c r="Q282">
        <f t="shared" si="195"/>
        <v>0</v>
      </c>
      <c r="R282">
        <f t="shared" si="206"/>
        <v>0</v>
      </c>
      <c r="S282">
        <f t="shared" si="234"/>
        <v>0</v>
      </c>
      <c r="T282">
        <f t="shared" si="235"/>
        <v>0</v>
      </c>
      <c r="U282">
        <f t="shared" si="207"/>
        <v>0</v>
      </c>
      <c r="V282">
        <f t="shared" si="208"/>
        <v>0</v>
      </c>
      <c r="W282">
        <f t="shared" si="209"/>
        <v>0</v>
      </c>
      <c r="X282">
        <f t="shared" si="200"/>
        <v>0</v>
      </c>
      <c r="Y282">
        <f t="shared" si="210"/>
        <v>0</v>
      </c>
      <c r="Z282">
        <f t="shared" si="211"/>
        <v>0</v>
      </c>
      <c r="AA282">
        <f t="shared" si="212"/>
        <v>0</v>
      </c>
      <c r="AB282">
        <f t="shared" si="213"/>
        <v>0</v>
      </c>
      <c r="AC282" s="23">
        <f>IF(B282&gt;$AJ$2,0,HLOOKUP(YEAR(A282),Assumptions!$A$25:$AL$29,4,TRUE)/100)</f>
        <v>0</v>
      </c>
      <c r="AD282">
        <f t="shared" si="214"/>
        <v>0</v>
      </c>
      <c r="AE282">
        <f t="shared" si="215"/>
        <v>0</v>
      </c>
      <c r="AF282">
        <f t="shared" si="216"/>
        <v>0</v>
      </c>
      <c r="AG282">
        <f t="shared" si="217"/>
        <v>0</v>
      </c>
      <c r="AH282">
        <f t="shared" si="218"/>
        <v>0</v>
      </c>
      <c r="AI282">
        <f t="shared" si="219"/>
        <v>0</v>
      </c>
      <c r="AJ282">
        <f t="shared" si="220"/>
        <v>0</v>
      </c>
      <c r="AK282">
        <f t="shared" si="221"/>
        <v>0</v>
      </c>
      <c r="AL282">
        <f t="shared" si="222"/>
        <v>0</v>
      </c>
      <c r="AM282">
        <f t="shared" si="201"/>
        <v>0</v>
      </c>
      <c r="AN282">
        <f>IF($S$2=0,0,(SUMPRODUCT($K$2:$R$2,Assumptions!$B$34:$I$34)/$U$2+$J$2/$U$2*Assumptions!$A$34*G282)*K282*O281)</f>
        <v>0</v>
      </c>
      <c r="AO282">
        <f t="shared" si="223"/>
        <v>0</v>
      </c>
      <c r="AP282">
        <f t="shared" si="224"/>
        <v>0</v>
      </c>
      <c r="AQ282">
        <f>IF(B282&gt;$AJ$2,0,AQ281*(1+Assumptions!$B$43)^(1/12))</f>
        <v>0</v>
      </c>
      <c r="AR282" s="27">
        <f>IF(B282&gt;$AJ$2,0,(O281+R281)*Assumptions!$B$39/12*AQ281+AV282*Assumptions!$B$41/12)</f>
        <v>0</v>
      </c>
      <c r="AS282">
        <f t="shared" si="225"/>
        <v>0</v>
      </c>
      <c r="AT282" s="28">
        <f t="shared" si="226"/>
        <v>0</v>
      </c>
      <c r="AU282">
        <f t="shared" si="227"/>
        <v>0</v>
      </c>
      <c r="AV282" s="28">
        <f t="shared" si="228"/>
        <v>0</v>
      </c>
      <c r="AW282" s="28">
        <f t="shared" si="229"/>
        <v>0</v>
      </c>
      <c r="AX282" s="23">
        <f>HLOOKUP(YEAR(A282),Assumptions!$A$25:$AL$29,2,TRUE)/100</f>
        <v>1.1739999999999999E-2</v>
      </c>
      <c r="AY282" s="29">
        <f>1/(1+HLOOKUP(YEAR(A282),Assumptions!$A$18:$AL$20,3,TRUE))^(1/12)</f>
        <v>0.99902750864006262</v>
      </c>
      <c r="AZ282" s="26">
        <f t="shared" si="230"/>
        <v>0</v>
      </c>
      <c r="BA282">
        <f t="shared" si="231"/>
        <v>0</v>
      </c>
      <c r="BB282">
        <f t="shared" si="232"/>
        <v>0</v>
      </c>
      <c r="BC282">
        <f t="shared" si="233"/>
        <v>0</v>
      </c>
    </row>
    <row r="283" spans="1:55" x14ac:dyDescent="0.2">
      <c r="A283" s="3">
        <f t="shared" si="202"/>
        <v>51379</v>
      </c>
      <c r="B283">
        <f t="shared" si="198"/>
        <v>285</v>
      </c>
      <c r="C283">
        <f t="shared" si="196"/>
        <v>23.666666666666668</v>
      </c>
      <c r="D283">
        <f t="shared" si="197"/>
        <v>0</v>
      </c>
      <c r="E283">
        <f t="shared" si="199"/>
        <v>79</v>
      </c>
      <c r="F283">
        <f>IF(C283&gt;=$T$2,0,VLOOKUP($E283,'Mortality Table'!$A$3:$C$128,2+AF$2,FALSE))</f>
        <v>0</v>
      </c>
      <c r="G283">
        <f>F283*Assumptions!$B$1</f>
        <v>0</v>
      </c>
      <c r="H283">
        <f t="shared" si="203"/>
        <v>0</v>
      </c>
      <c r="I283">
        <f t="shared" si="191"/>
        <v>0</v>
      </c>
      <c r="J283">
        <f>IF(B283&gt;$AJ$2,0,HLOOKUP(C283,Assumptions!$A$6:$J$7,2,TRUE))</f>
        <v>0</v>
      </c>
      <c r="K283" s="4">
        <f t="shared" si="192"/>
        <v>0</v>
      </c>
      <c r="L283" s="4">
        <f t="shared" si="204"/>
        <v>0</v>
      </c>
      <c r="M283" s="4">
        <f t="shared" si="193"/>
        <v>0</v>
      </c>
      <c r="N283">
        <f t="shared" si="205"/>
        <v>0</v>
      </c>
      <c r="O283" s="21">
        <f t="shared" si="194"/>
        <v>0</v>
      </c>
      <c r="P283">
        <f>IF(B283&gt;$AJ$2,0,HLOOKUP(C283,Assumptions!$A$12:$J$13,2,TRUE))</f>
        <v>0</v>
      </c>
      <c r="Q283">
        <f t="shared" si="195"/>
        <v>0</v>
      </c>
      <c r="R283">
        <f t="shared" si="206"/>
        <v>0</v>
      </c>
      <c r="S283">
        <f t="shared" si="234"/>
        <v>0</v>
      </c>
      <c r="T283">
        <f t="shared" si="235"/>
        <v>0</v>
      </c>
      <c r="U283">
        <f t="shared" si="207"/>
        <v>0</v>
      </c>
      <c r="V283">
        <f t="shared" si="208"/>
        <v>0</v>
      </c>
      <c r="W283">
        <f t="shared" si="209"/>
        <v>0</v>
      </c>
      <c r="X283">
        <f t="shared" si="200"/>
        <v>0</v>
      </c>
      <c r="Y283">
        <f t="shared" si="210"/>
        <v>0</v>
      </c>
      <c r="Z283">
        <f t="shared" si="211"/>
        <v>0</v>
      </c>
      <c r="AA283">
        <f t="shared" si="212"/>
        <v>0</v>
      </c>
      <c r="AB283">
        <f t="shared" si="213"/>
        <v>0</v>
      </c>
      <c r="AC283" s="23">
        <f>IF(B283&gt;$AJ$2,0,HLOOKUP(YEAR(A283),Assumptions!$A$25:$AL$29,4,TRUE)/100)</f>
        <v>0</v>
      </c>
      <c r="AD283">
        <f t="shared" si="214"/>
        <v>0</v>
      </c>
      <c r="AE283">
        <f t="shared" si="215"/>
        <v>0</v>
      </c>
      <c r="AF283">
        <f t="shared" si="216"/>
        <v>0</v>
      </c>
      <c r="AG283">
        <f t="shared" si="217"/>
        <v>0</v>
      </c>
      <c r="AH283">
        <f t="shared" si="218"/>
        <v>0</v>
      </c>
      <c r="AI283">
        <f t="shared" si="219"/>
        <v>0</v>
      </c>
      <c r="AJ283">
        <f t="shared" si="220"/>
        <v>0</v>
      </c>
      <c r="AK283">
        <f t="shared" si="221"/>
        <v>0</v>
      </c>
      <c r="AL283">
        <f t="shared" si="222"/>
        <v>0</v>
      </c>
      <c r="AM283">
        <f t="shared" si="201"/>
        <v>0</v>
      </c>
      <c r="AN283">
        <f>IF($S$2=0,0,(SUMPRODUCT($K$2:$R$2,Assumptions!$B$34:$I$34)/$U$2+$J$2/$U$2*Assumptions!$A$34*G283)*K283*O282)</f>
        <v>0</v>
      </c>
      <c r="AO283">
        <f t="shared" si="223"/>
        <v>0</v>
      </c>
      <c r="AP283">
        <f t="shared" si="224"/>
        <v>0</v>
      </c>
      <c r="AQ283">
        <f>IF(B283&gt;$AJ$2,0,AQ282*(1+Assumptions!$B$43)^(1/12))</f>
        <v>0</v>
      </c>
      <c r="AR283" s="27">
        <f>IF(B283&gt;$AJ$2,0,(O282+R282)*Assumptions!$B$39/12*AQ282+AV283*Assumptions!$B$41/12)</f>
        <v>0</v>
      </c>
      <c r="AS283">
        <f t="shared" si="225"/>
        <v>0</v>
      </c>
      <c r="AT283" s="28">
        <f t="shared" si="226"/>
        <v>0</v>
      </c>
      <c r="AU283">
        <f t="shared" si="227"/>
        <v>0</v>
      </c>
      <c r="AV283" s="28">
        <f t="shared" si="228"/>
        <v>0</v>
      </c>
      <c r="AW283" s="28">
        <f t="shared" si="229"/>
        <v>0</v>
      </c>
      <c r="AX283" s="23">
        <f>HLOOKUP(YEAR(A283),Assumptions!$A$25:$AL$29,2,TRUE)/100</f>
        <v>1.1739999999999999E-2</v>
      </c>
      <c r="AY283" s="29">
        <f>1/(1+HLOOKUP(YEAR(A283),Assumptions!$A$18:$AL$20,3,TRUE))^(1/12)</f>
        <v>0.99902750864006262</v>
      </c>
      <c r="AZ283" s="26">
        <f t="shared" si="230"/>
        <v>0</v>
      </c>
      <c r="BA283">
        <f t="shared" si="231"/>
        <v>0</v>
      </c>
      <c r="BB283">
        <f t="shared" si="232"/>
        <v>0</v>
      </c>
      <c r="BC283">
        <f t="shared" si="233"/>
        <v>0</v>
      </c>
    </row>
    <row r="284" spans="1:55" x14ac:dyDescent="0.2">
      <c r="A284" s="3">
        <f t="shared" si="202"/>
        <v>51409</v>
      </c>
      <c r="B284">
        <f t="shared" si="198"/>
        <v>286</v>
      </c>
      <c r="C284">
        <f t="shared" si="196"/>
        <v>23.75</v>
      </c>
      <c r="D284">
        <f t="shared" si="197"/>
        <v>0</v>
      </c>
      <c r="E284">
        <f t="shared" si="199"/>
        <v>79</v>
      </c>
      <c r="F284">
        <f>IF(C284&gt;=$T$2,0,VLOOKUP($E284,'Mortality Table'!$A$3:$C$128,2+AF$2,FALSE))</f>
        <v>0</v>
      </c>
      <c r="G284">
        <f>F284*Assumptions!$B$1</f>
        <v>0</v>
      </c>
      <c r="H284">
        <f t="shared" si="203"/>
        <v>0</v>
      </c>
      <c r="I284">
        <f t="shared" si="191"/>
        <v>0</v>
      </c>
      <c r="J284">
        <f>IF(B284&gt;$AJ$2,0,HLOOKUP(C284,Assumptions!$A$6:$J$7,2,TRUE))</f>
        <v>0</v>
      </c>
      <c r="K284" s="4">
        <f t="shared" si="192"/>
        <v>0</v>
      </c>
      <c r="L284" s="4">
        <f t="shared" si="204"/>
        <v>0</v>
      </c>
      <c r="M284" s="4">
        <f t="shared" si="193"/>
        <v>0</v>
      </c>
      <c r="N284">
        <f t="shared" si="205"/>
        <v>0</v>
      </c>
      <c r="O284" s="21">
        <f t="shared" si="194"/>
        <v>0</v>
      </c>
      <c r="P284">
        <f>IF(B284&gt;$AJ$2,0,HLOOKUP(C284,Assumptions!$A$12:$J$13,2,TRUE))</f>
        <v>0</v>
      </c>
      <c r="Q284">
        <f t="shared" si="195"/>
        <v>0</v>
      </c>
      <c r="R284">
        <f t="shared" si="206"/>
        <v>0</v>
      </c>
      <c r="S284">
        <f t="shared" si="234"/>
        <v>0</v>
      </c>
      <c r="T284">
        <f t="shared" si="235"/>
        <v>0</v>
      </c>
      <c r="U284">
        <f t="shared" si="207"/>
        <v>0</v>
      </c>
      <c r="V284">
        <f t="shared" si="208"/>
        <v>0</v>
      </c>
      <c r="W284">
        <f t="shared" si="209"/>
        <v>0</v>
      </c>
      <c r="X284">
        <f t="shared" si="200"/>
        <v>0</v>
      </c>
      <c r="Y284">
        <f t="shared" si="210"/>
        <v>0</v>
      </c>
      <c r="Z284">
        <f t="shared" si="211"/>
        <v>0</v>
      </c>
      <c r="AA284">
        <f t="shared" si="212"/>
        <v>0</v>
      </c>
      <c r="AB284">
        <f t="shared" si="213"/>
        <v>0</v>
      </c>
      <c r="AC284" s="23">
        <f>IF(B284&gt;$AJ$2,0,HLOOKUP(YEAR(A284),Assumptions!$A$25:$AL$29,4,TRUE)/100)</f>
        <v>0</v>
      </c>
      <c r="AD284">
        <f t="shared" si="214"/>
        <v>0</v>
      </c>
      <c r="AE284">
        <f t="shared" si="215"/>
        <v>0</v>
      </c>
      <c r="AF284">
        <f t="shared" si="216"/>
        <v>0</v>
      </c>
      <c r="AG284">
        <f t="shared" si="217"/>
        <v>0</v>
      </c>
      <c r="AH284">
        <f t="shared" si="218"/>
        <v>0</v>
      </c>
      <c r="AI284">
        <f t="shared" si="219"/>
        <v>0</v>
      </c>
      <c r="AJ284">
        <f t="shared" si="220"/>
        <v>0</v>
      </c>
      <c r="AK284">
        <f t="shared" si="221"/>
        <v>0</v>
      </c>
      <c r="AL284">
        <f t="shared" si="222"/>
        <v>0</v>
      </c>
      <c r="AM284">
        <f t="shared" si="201"/>
        <v>0</v>
      </c>
      <c r="AN284">
        <f>IF($S$2=0,0,(SUMPRODUCT($K$2:$R$2,Assumptions!$B$34:$I$34)/$U$2+$J$2/$U$2*Assumptions!$A$34*G284)*K284*O283)</f>
        <v>0</v>
      </c>
      <c r="AO284">
        <f t="shared" si="223"/>
        <v>0</v>
      </c>
      <c r="AP284">
        <f t="shared" si="224"/>
        <v>0</v>
      </c>
      <c r="AQ284">
        <f>IF(B284&gt;$AJ$2,0,AQ283*(1+Assumptions!$B$43)^(1/12))</f>
        <v>0</v>
      </c>
      <c r="AR284" s="27">
        <f>IF(B284&gt;$AJ$2,0,(O283+R283)*Assumptions!$B$39/12*AQ283+AV284*Assumptions!$B$41/12)</f>
        <v>0</v>
      </c>
      <c r="AS284">
        <f t="shared" si="225"/>
        <v>0</v>
      </c>
      <c r="AT284" s="28">
        <f t="shared" si="226"/>
        <v>0</v>
      </c>
      <c r="AU284">
        <f t="shared" si="227"/>
        <v>0</v>
      </c>
      <c r="AV284" s="28">
        <f t="shared" si="228"/>
        <v>0</v>
      </c>
      <c r="AW284" s="28">
        <f t="shared" si="229"/>
        <v>0</v>
      </c>
      <c r="AX284" s="23">
        <f>HLOOKUP(YEAR(A284),Assumptions!$A$25:$AL$29,2,TRUE)/100</f>
        <v>1.1739999999999999E-2</v>
      </c>
      <c r="AY284" s="29">
        <f>1/(1+HLOOKUP(YEAR(A284),Assumptions!$A$18:$AL$20,3,TRUE))^(1/12)</f>
        <v>0.99902750864006262</v>
      </c>
      <c r="AZ284" s="26">
        <f t="shared" si="230"/>
        <v>0</v>
      </c>
      <c r="BA284">
        <f t="shared" si="231"/>
        <v>0</v>
      </c>
      <c r="BB284">
        <f t="shared" si="232"/>
        <v>0</v>
      </c>
      <c r="BC284">
        <f t="shared" si="233"/>
        <v>0</v>
      </c>
    </row>
    <row r="285" spans="1:55" x14ac:dyDescent="0.2">
      <c r="A285" s="3">
        <f t="shared" si="202"/>
        <v>51440</v>
      </c>
      <c r="B285">
        <f t="shared" si="198"/>
        <v>287</v>
      </c>
      <c r="C285">
        <f t="shared" si="196"/>
        <v>23.833333333333332</v>
      </c>
      <c r="D285">
        <f t="shared" si="197"/>
        <v>0</v>
      </c>
      <c r="E285">
        <f t="shared" si="199"/>
        <v>79</v>
      </c>
      <c r="F285">
        <f>IF(C285&gt;=$T$2,0,VLOOKUP($E285,'Mortality Table'!$A$3:$C$128,2+AF$2,FALSE))</f>
        <v>0</v>
      </c>
      <c r="G285">
        <f>F285*Assumptions!$B$1</f>
        <v>0</v>
      </c>
      <c r="H285">
        <f t="shared" si="203"/>
        <v>0</v>
      </c>
      <c r="I285">
        <f t="shared" si="191"/>
        <v>0</v>
      </c>
      <c r="J285">
        <f>IF(B285&gt;$AJ$2,0,HLOOKUP(C285,Assumptions!$A$6:$J$7,2,TRUE))</f>
        <v>0</v>
      </c>
      <c r="K285" s="4">
        <f t="shared" si="192"/>
        <v>0</v>
      </c>
      <c r="L285" s="4">
        <f t="shared" si="204"/>
        <v>0</v>
      </c>
      <c r="M285" s="4">
        <f t="shared" si="193"/>
        <v>0</v>
      </c>
      <c r="N285">
        <f t="shared" si="205"/>
        <v>0</v>
      </c>
      <c r="O285" s="21">
        <f t="shared" si="194"/>
        <v>0</v>
      </c>
      <c r="P285">
        <f>IF(B285&gt;$AJ$2,0,HLOOKUP(C285,Assumptions!$A$12:$J$13,2,TRUE))</f>
        <v>0</v>
      </c>
      <c r="Q285">
        <f t="shared" si="195"/>
        <v>0</v>
      </c>
      <c r="R285">
        <f t="shared" si="206"/>
        <v>0</v>
      </c>
      <c r="S285">
        <f t="shared" si="234"/>
        <v>0</v>
      </c>
      <c r="T285">
        <f t="shared" si="235"/>
        <v>0</v>
      </c>
      <c r="U285">
        <f t="shared" si="207"/>
        <v>0</v>
      </c>
      <c r="V285">
        <f t="shared" si="208"/>
        <v>0</v>
      </c>
      <c r="W285">
        <f t="shared" si="209"/>
        <v>0</v>
      </c>
      <c r="X285">
        <f t="shared" si="200"/>
        <v>0</v>
      </c>
      <c r="Y285">
        <f t="shared" si="210"/>
        <v>0</v>
      </c>
      <c r="Z285">
        <f t="shared" si="211"/>
        <v>0</v>
      </c>
      <c r="AA285">
        <f t="shared" si="212"/>
        <v>0</v>
      </c>
      <c r="AB285">
        <f t="shared" si="213"/>
        <v>0</v>
      </c>
      <c r="AC285" s="23">
        <f>IF(B285&gt;$AJ$2,0,HLOOKUP(YEAR(A285),Assumptions!$A$25:$AL$29,4,TRUE)/100)</f>
        <v>0</v>
      </c>
      <c r="AD285">
        <f t="shared" si="214"/>
        <v>0</v>
      </c>
      <c r="AE285">
        <f t="shared" si="215"/>
        <v>0</v>
      </c>
      <c r="AF285">
        <f t="shared" si="216"/>
        <v>0</v>
      </c>
      <c r="AG285">
        <f t="shared" si="217"/>
        <v>0</v>
      </c>
      <c r="AH285">
        <f t="shared" si="218"/>
        <v>0</v>
      </c>
      <c r="AI285">
        <f t="shared" si="219"/>
        <v>0</v>
      </c>
      <c r="AJ285">
        <f t="shared" si="220"/>
        <v>0</v>
      </c>
      <c r="AK285">
        <f t="shared" si="221"/>
        <v>0</v>
      </c>
      <c r="AL285">
        <f t="shared" si="222"/>
        <v>0</v>
      </c>
      <c r="AM285">
        <f t="shared" si="201"/>
        <v>0</v>
      </c>
      <c r="AN285">
        <f>IF($S$2=0,0,(SUMPRODUCT($K$2:$R$2,Assumptions!$B$34:$I$34)/$U$2+$J$2/$U$2*Assumptions!$A$34*G285)*K285*O284)</f>
        <v>0</v>
      </c>
      <c r="AO285">
        <f t="shared" si="223"/>
        <v>0</v>
      </c>
      <c r="AP285">
        <f t="shared" si="224"/>
        <v>0</v>
      </c>
      <c r="AQ285">
        <f>IF(B285&gt;$AJ$2,0,AQ284*(1+Assumptions!$B$43)^(1/12))</f>
        <v>0</v>
      </c>
      <c r="AR285" s="27">
        <f>IF(B285&gt;$AJ$2,0,(O284+R284)*Assumptions!$B$39/12*AQ284+AV285*Assumptions!$B$41/12)</f>
        <v>0</v>
      </c>
      <c r="AS285">
        <f t="shared" si="225"/>
        <v>0</v>
      </c>
      <c r="AT285" s="28">
        <f t="shared" si="226"/>
        <v>0</v>
      </c>
      <c r="AU285">
        <f t="shared" si="227"/>
        <v>0</v>
      </c>
      <c r="AV285" s="28">
        <f t="shared" si="228"/>
        <v>0</v>
      </c>
      <c r="AW285" s="28">
        <f t="shared" si="229"/>
        <v>0</v>
      </c>
      <c r="AX285" s="23">
        <f>HLOOKUP(YEAR(A285),Assumptions!$A$25:$AL$29,2,TRUE)/100</f>
        <v>1.1739999999999999E-2</v>
      </c>
      <c r="AY285" s="29">
        <f>1/(1+HLOOKUP(YEAR(A285),Assumptions!$A$18:$AL$20,3,TRUE))^(1/12)</f>
        <v>0.99902750864006262</v>
      </c>
      <c r="AZ285" s="26">
        <f t="shared" si="230"/>
        <v>0</v>
      </c>
      <c r="BA285">
        <f t="shared" si="231"/>
        <v>0</v>
      </c>
      <c r="BB285">
        <f t="shared" si="232"/>
        <v>0</v>
      </c>
      <c r="BC285">
        <f t="shared" si="233"/>
        <v>0</v>
      </c>
    </row>
    <row r="286" spans="1:55" x14ac:dyDescent="0.2">
      <c r="A286" s="3">
        <f t="shared" si="202"/>
        <v>51470</v>
      </c>
      <c r="B286">
        <f t="shared" si="198"/>
        <v>288</v>
      </c>
      <c r="C286">
        <f t="shared" si="196"/>
        <v>23.916666666666668</v>
      </c>
      <c r="D286">
        <f t="shared" si="197"/>
        <v>0</v>
      </c>
      <c r="E286">
        <f t="shared" si="199"/>
        <v>79</v>
      </c>
      <c r="F286">
        <f>IF(C286&gt;=$T$2,0,VLOOKUP($E286,'Mortality Table'!$A$3:$C$128,2+AF$2,FALSE))</f>
        <v>0</v>
      </c>
      <c r="G286">
        <f>F286*Assumptions!$B$1</f>
        <v>0</v>
      </c>
      <c r="H286">
        <f t="shared" si="203"/>
        <v>0</v>
      </c>
      <c r="I286">
        <f t="shared" si="191"/>
        <v>0</v>
      </c>
      <c r="J286">
        <f>IF(B286&gt;$AJ$2,0,HLOOKUP(C286,Assumptions!$A$6:$J$7,2,TRUE))</f>
        <v>0</v>
      </c>
      <c r="K286" s="4">
        <f t="shared" si="192"/>
        <v>0</v>
      </c>
      <c r="L286" s="4">
        <f t="shared" si="204"/>
        <v>0</v>
      </c>
      <c r="M286" s="4">
        <f t="shared" si="193"/>
        <v>0</v>
      </c>
      <c r="N286">
        <f t="shared" si="205"/>
        <v>0</v>
      </c>
      <c r="O286" s="21">
        <f t="shared" si="194"/>
        <v>0</v>
      </c>
      <c r="P286">
        <f>IF(B286&gt;$AJ$2,0,HLOOKUP(C286,Assumptions!$A$12:$J$13,2,TRUE))</f>
        <v>0</v>
      </c>
      <c r="Q286">
        <f t="shared" si="195"/>
        <v>0</v>
      </c>
      <c r="R286">
        <f t="shared" si="206"/>
        <v>0</v>
      </c>
      <c r="S286">
        <f t="shared" si="234"/>
        <v>0</v>
      </c>
      <c r="T286">
        <f t="shared" si="235"/>
        <v>0</v>
      </c>
      <c r="U286">
        <f t="shared" si="207"/>
        <v>0</v>
      </c>
      <c r="V286">
        <f t="shared" si="208"/>
        <v>0</v>
      </c>
      <c r="W286">
        <f t="shared" si="209"/>
        <v>0</v>
      </c>
      <c r="X286">
        <f t="shared" si="200"/>
        <v>0</v>
      </c>
      <c r="Y286">
        <f t="shared" si="210"/>
        <v>0</v>
      </c>
      <c r="Z286">
        <f t="shared" si="211"/>
        <v>0</v>
      </c>
      <c r="AA286">
        <f t="shared" si="212"/>
        <v>0</v>
      </c>
      <c r="AB286">
        <f t="shared" si="213"/>
        <v>0</v>
      </c>
      <c r="AC286" s="23">
        <f>IF(B286&gt;$AJ$2,0,HLOOKUP(YEAR(A286),Assumptions!$A$25:$AL$29,4,TRUE)/100)</f>
        <v>0</v>
      </c>
      <c r="AD286">
        <f t="shared" si="214"/>
        <v>0</v>
      </c>
      <c r="AE286">
        <f t="shared" si="215"/>
        <v>0</v>
      </c>
      <c r="AF286">
        <f t="shared" si="216"/>
        <v>0</v>
      </c>
      <c r="AG286">
        <f t="shared" si="217"/>
        <v>0</v>
      </c>
      <c r="AH286">
        <f t="shared" si="218"/>
        <v>0</v>
      </c>
      <c r="AI286">
        <f t="shared" si="219"/>
        <v>0</v>
      </c>
      <c r="AJ286">
        <f t="shared" si="220"/>
        <v>0</v>
      </c>
      <c r="AK286">
        <f t="shared" si="221"/>
        <v>0</v>
      </c>
      <c r="AL286">
        <f t="shared" si="222"/>
        <v>0</v>
      </c>
      <c r="AM286">
        <f t="shared" si="201"/>
        <v>0</v>
      </c>
      <c r="AN286">
        <f>IF($S$2=0,0,(SUMPRODUCT($K$2:$R$2,Assumptions!$B$34:$I$34)/$U$2+$J$2/$U$2*Assumptions!$A$34*G286)*K286*O285)</f>
        <v>0</v>
      </c>
      <c r="AO286">
        <f t="shared" si="223"/>
        <v>0</v>
      </c>
      <c r="AP286">
        <f t="shared" si="224"/>
        <v>0</v>
      </c>
      <c r="AQ286">
        <f>IF(B286&gt;$AJ$2,0,AQ285*(1+Assumptions!$B$43)^(1/12))</f>
        <v>0</v>
      </c>
      <c r="AR286" s="27">
        <f>IF(B286&gt;$AJ$2,0,(O285+R285)*Assumptions!$B$39/12*AQ285+AV286*Assumptions!$B$41/12)</f>
        <v>0</v>
      </c>
      <c r="AS286">
        <f t="shared" si="225"/>
        <v>0</v>
      </c>
      <c r="AT286" s="28">
        <f t="shared" si="226"/>
        <v>0</v>
      </c>
      <c r="AU286">
        <f t="shared" si="227"/>
        <v>0</v>
      </c>
      <c r="AV286" s="28">
        <f t="shared" si="228"/>
        <v>0</v>
      </c>
      <c r="AW286" s="28">
        <f t="shared" si="229"/>
        <v>0</v>
      </c>
      <c r="AX286" s="23">
        <f>HLOOKUP(YEAR(A286),Assumptions!$A$25:$AL$29,2,TRUE)/100</f>
        <v>1.1739999999999999E-2</v>
      </c>
      <c r="AY286" s="29">
        <f>1/(1+HLOOKUP(YEAR(A286),Assumptions!$A$18:$AL$20,3,TRUE))^(1/12)</f>
        <v>0.99902750864006262</v>
      </c>
      <c r="AZ286" s="26">
        <f t="shared" si="230"/>
        <v>0</v>
      </c>
      <c r="BA286">
        <f t="shared" si="231"/>
        <v>0</v>
      </c>
      <c r="BB286">
        <f t="shared" si="232"/>
        <v>0</v>
      </c>
      <c r="BC286">
        <f t="shared" si="233"/>
        <v>0</v>
      </c>
    </row>
    <row r="287" spans="1:55" x14ac:dyDescent="0.2">
      <c r="A287" s="3">
        <f t="shared" si="202"/>
        <v>51501</v>
      </c>
      <c r="B287">
        <f t="shared" si="198"/>
        <v>289</v>
      </c>
      <c r="C287">
        <f t="shared" si="196"/>
        <v>24</v>
      </c>
      <c r="D287">
        <f t="shared" si="197"/>
        <v>1</v>
      </c>
      <c r="E287">
        <f t="shared" si="199"/>
        <v>80</v>
      </c>
      <c r="F287">
        <f>IF(C287&gt;=$T$2,0,VLOOKUP($E287,'Mortality Table'!$A$3:$C$128,2+AF$2,FALSE))</f>
        <v>0</v>
      </c>
      <c r="G287">
        <f>F287*Assumptions!$B$1</f>
        <v>0</v>
      </c>
      <c r="H287">
        <f t="shared" si="203"/>
        <v>0</v>
      </c>
      <c r="I287">
        <f t="shared" si="191"/>
        <v>0</v>
      </c>
      <c r="J287">
        <f>IF(B287&gt;$AJ$2,0,HLOOKUP(C287,Assumptions!$A$6:$J$7,2,TRUE))</f>
        <v>0</v>
      </c>
      <c r="K287" s="4">
        <f t="shared" si="192"/>
        <v>0</v>
      </c>
      <c r="L287" s="4">
        <f t="shared" si="204"/>
        <v>0</v>
      </c>
      <c r="M287" s="4">
        <f t="shared" si="193"/>
        <v>0</v>
      </c>
      <c r="N287">
        <f t="shared" si="205"/>
        <v>0</v>
      </c>
      <c r="O287" s="21">
        <f t="shared" si="194"/>
        <v>0</v>
      </c>
      <c r="P287">
        <f>IF(B287&gt;$AJ$2,0,HLOOKUP(C287,Assumptions!$A$12:$J$13,2,TRUE))</f>
        <v>0</v>
      </c>
      <c r="Q287">
        <f t="shared" si="195"/>
        <v>0</v>
      </c>
      <c r="R287">
        <f t="shared" si="206"/>
        <v>0</v>
      </c>
      <c r="S287">
        <f t="shared" si="234"/>
        <v>0</v>
      </c>
      <c r="T287">
        <f t="shared" si="235"/>
        <v>0</v>
      </c>
      <c r="U287">
        <f t="shared" si="207"/>
        <v>0</v>
      </c>
      <c r="V287">
        <f t="shared" si="208"/>
        <v>0</v>
      </c>
      <c r="W287">
        <f t="shared" si="209"/>
        <v>0</v>
      </c>
      <c r="X287">
        <f t="shared" si="200"/>
        <v>0</v>
      </c>
      <c r="Y287">
        <f t="shared" si="210"/>
        <v>0</v>
      </c>
      <c r="Z287">
        <f t="shared" si="211"/>
        <v>0</v>
      </c>
      <c r="AA287">
        <f t="shared" si="212"/>
        <v>0</v>
      </c>
      <c r="AB287">
        <f t="shared" si="213"/>
        <v>0</v>
      </c>
      <c r="AC287" s="23">
        <f>IF(B287&gt;$AJ$2,0,HLOOKUP(YEAR(A287),Assumptions!$A$25:$AL$29,4,TRUE)/100)</f>
        <v>0</v>
      </c>
      <c r="AD287">
        <f t="shared" si="214"/>
        <v>0</v>
      </c>
      <c r="AE287">
        <f t="shared" si="215"/>
        <v>0</v>
      </c>
      <c r="AF287">
        <f t="shared" si="216"/>
        <v>0</v>
      </c>
      <c r="AG287">
        <f t="shared" si="217"/>
        <v>0</v>
      </c>
      <c r="AH287">
        <f t="shared" si="218"/>
        <v>0</v>
      </c>
      <c r="AI287">
        <f t="shared" si="219"/>
        <v>0</v>
      </c>
      <c r="AJ287">
        <f t="shared" si="220"/>
        <v>0</v>
      </c>
      <c r="AK287">
        <f t="shared" si="221"/>
        <v>0</v>
      </c>
      <c r="AL287">
        <f t="shared" si="222"/>
        <v>0</v>
      </c>
      <c r="AM287">
        <f t="shared" si="201"/>
        <v>0</v>
      </c>
      <c r="AN287">
        <f>IF($S$2=0,0,(SUMPRODUCT($K$2:$R$2,Assumptions!$B$34:$I$34)/$U$2+$J$2/$U$2*Assumptions!$A$34*G287)*K287*O286)</f>
        <v>0</v>
      </c>
      <c r="AO287">
        <f t="shared" si="223"/>
        <v>0</v>
      </c>
      <c r="AP287">
        <f t="shared" si="224"/>
        <v>0</v>
      </c>
      <c r="AQ287">
        <f>IF(B287&gt;$AJ$2,0,AQ286*(1+Assumptions!$B$43)^(1/12))</f>
        <v>0</v>
      </c>
      <c r="AR287" s="27">
        <f>IF(B287&gt;$AJ$2,0,(O286+R286)*Assumptions!$B$39/12*AQ286+AV287*Assumptions!$B$41/12)</f>
        <v>0</v>
      </c>
      <c r="AS287">
        <f t="shared" si="225"/>
        <v>0</v>
      </c>
      <c r="AT287" s="28">
        <f t="shared" si="226"/>
        <v>0</v>
      </c>
      <c r="AU287">
        <f t="shared" si="227"/>
        <v>0</v>
      </c>
      <c r="AV287" s="28">
        <f t="shared" si="228"/>
        <v>0</v>
      </c>
      <c r="AW287" s="28">
        <f t="shared" si="229"/>
        <v>0</v>
      </c>
      <c r="AX287" s="23">
        <f>HLOOKUP(YEAR(A287),Assumptions!$A$25:$AL$29,2,TRUE)/100</f>
        <v>1.1739999999999999E-2</v>
      </c>
      <c r="AY287" s="29">
        <f>1/(1+HLOOKUP(YEAR(A287),Assumptions!$A$18:$AL$20,3,TRUE))^(1/12)</f>
        <v>0.99902750864006262</v>
      </c>
      <c r="AZ287" s="26">
        <f t="shared" si="230"/>
        <v>0</v>
      </c>
      <c r="BA287">
        <f t="shared" si="231"/>
        <v>0</v>
      </c>
      <c r="BB287">
        <f t="shared" si="232"/>
        <v>0</v>
      </c>
      <c r="BC287">
        <f t="shared" si="233"/>
        <v>0</v>
      </c>
    </row>
    <row r="288" spans="1:55" x14ac:dyDescent="0.2">
      <c r="A288" s="3">
        <f t="shared" si="202"/>
        <v>51532</v>
      </c>
      <c r="B288">
        <f t="shared" si="198"/>
        <v>290</v>
      </c>
      <c r="C288">
        <f t="shared" si="196"/>
        <v>24.083333333333332</v>
      </c>
      <c r="D288">
        <f t="shared" si="197"/>
        <v>0</v>
      </c>
      <c r="E288">
        <f t="shared" si="199"/>
        <v>80</v>
      </c>
      <c r="F288">
        <f>IF(C288&gt;=$T$2,0,VLOOKUP($E288,'Mortality Table'!$A$3:$C$128,2+AF$2,FALSE))</f>
        <v>0</v>
      </c>
      <c r="G288">
        <f>F288*Assumptions!$B$1</f>
        <v>0</v>
      </c>
      <c r="H288">
        <f t="shared" si="203"/>
        <v>0</v>
      </c>
      <c r="I288">
        <f t="shared" si="191"/>
        <v>0</v>
      </c>
      <c r="J288">
        <f>IF(B288&gt;$AJ$2,0,HLOOKUP(C288,Assumptions!$A$6:$J$7,2,TRUE))</f>
        <v>0</v>
      </c>
      <c r="K288" s="4">
        <f t="shared" si="192"/>
        <v>0</v>
      </c>
      <c r="L288" s="4">
        <f t="shared" si="204"/>
        <v>0</v>
      </c>
      <c r="M288" s="4">
        <f t="shared" si="193"/>
        <v>0</v>
      </c>
      <c r="N288">
        <f t="shared" si="205"/>
        <v>0</v>
      </c>
      <c r="O288" s="21">
        <f t="shared" si="194"/>
        <v>0</v>
      </c>
      <c r="P288">
        <f>IF(B288&gt;$AJ$2,0,HLOOKUP(C288,Assumptions!$A$12:$J$13,2,TRUE))</f>
        <v>0</v>
      </c>
      <c r="Q288">
        <f t="shared" si="195"/>
        <v>0</v>
      </c>
      <c r="R288">
        <f t="shared" si="206"/>
        <v>0</v>
      </c>
      <c r="S288">
        <f t="shared" si="234"/>
        <v>0</v>
      </c>
      <c r="T288">
        <f t="shared" si="235"/>
        <v>0</v>
      </c>
      <c r="U288">
        <f t="shared" si="207"/>
        <v>0</v>
      </c>
      <c r="V288">
        <f t="shared" si="208"/>
        <v>0</v>
      </c>
      <c r="W288">
        <f t="shared" si="209"/>
        <v>0</v>
      </c>
      <c r="X288">
        <f t="shared" si="200"/>
        <v>0</v>
      </c>
      <c r="Y288">
        <f t="shared" si="210"/>
        <v>0</v>
      </c>
      <c r="Z288">
        <f t="shared" si="211"/>
        <v>0</v>
      </c>
      <c r="AA288">
        <f t="shared" si="212"/>
        <v>0</v>
      </c>
      <c r="AB288">
        <f t="shared" si="213"/>
        <v>0</v>
      </c>
      <c r="AC288" s="23">
        <f>IF(B288&gt;$AJ$2,0,HLOOKUP(YEAR(A288),Assumptions!$A$25:$AL$29,4,TRUE)/100)</f>
        <v>0</v>
      </c>
      <c r="AD288">
        <f t="shared" si="214"/>
        <v>0</v>
      </c>
      <c r="AE288">
        <f t="shared" si="215"/>
        <v>0</v>
      </c>
      <c r="AF288">
        <f t="shared" si="216"/>
        <v>0</v>
      </c>
      <c r="AG288">
        <f t="shared" si="217"/>
        <v>0</v>
      </c>
      <c r="AH288">
        <f t="shared" si="218"/>
        <v>0</v>
      </c>
      <c r="AI288">
        <f t="shared" si="219"/>
        <v>0</v>
      </c>
      <c r="AJ288">
        <f t="shared" si="220"/>
        <v>0</v>
      </c>
      <c r="AK288">
        <f t="shared" si="221"/>
        <v>0</v>
      </c>
      <c r="AL288">
        <f t="shared" si="222"/>
        <v>0</v>
      </c>
      <c r="AM288">
        <f t="shared" si="201"/>
        <v>0</v>
      </c>
      <c r="AN288">
        <f>IF($S$2=0,0,(SUMPRODUCT($K$2:$R$2,Assumptions!$B$34:$I$34)/$U$2+$J$2/$U$2*Assumptions!$A$34*G288)*K288*O287)</f>
        <v>0</v>
      </c>
      <c r="AO288">
        <f t="shared" si="223"/>
        <v>0</v>
      </c>
      <c r="AP288">
        <f t="shared" si="224"/>
        <v>0</v>
      </c>
      <c r="AQ288">
        <f>IF(B288&gt;$AJ$2,0,AQ287*(1+Assumptions!$B$43)^(1/12))</f>
        <v>0</v>
      </c>
      <c r="AR288" s="27">
        <f>IF(B288&gt;$AJ$2,0,(O287+R287)*Assumptions!$B$39/12*AQ287+AV288*Assumptions!$B$41/12)</f>
        <v>0</v>
      </c>
      <c r="AS288">
        <f t="shared" si="225"/>
        <v>0</v>
      </c>
      <c r="AT288" s="28">
        <f t="shared" si="226"/>
        <v>0</v>
      </c>
      <c r="AU288">
        <f t="shared" si="227"/>
        <v>0</v>
      </c>
      <c r="AV288" s="28">
        <f t="shared" si="228"/>
        <v>0</v>
      </c>
      <c r="AW288" s="28">
        <f t="shared" si="229"/>
        <v>0</v>
      </c>
      <c r="AX288" s="23">
        <f>HLOOKUP(YEAR(A288),Assumptions!$A$25:$AL$29,2,TRUE)/100</f>
        <v>1.1739999999999999E-2</v>
      </c>
      <c r="AY288" s="29">
        <f>1/(1+HLOOKUP(YEAR(A288),Assumptions!$A$18:$AL$20,3,TRUE))^(1/12)</f>
        <v>0.99902750864006262</v>
      </c>
      <c r="AZ288" s="26">
        <f t="shared" si="230"/>
        <v>0</v>
      </c>
      <c r="BA288">
        <f t="shared" si="231"/>
        <v>0</v>
      </c>
      <c r="BB288">
        <f t="shared" si="232"/>
        <v>0</v>
      </c>
      <c r="BC288">
        <f t="shared" si="233"/>
        <v>0</v>
      </c>
    </row>
    <row r="289" spans="1:55" x14ac:dyDescent="0.2">
      <c r="A289" s="3">
        <f t="shared" si="202"/>
        <v>51560</v>
      </c>
      <c r="B289">
        <f t="shared" si="198"/>
        <v>291</v>
      </c>
      <c r="C289">
        <f t="shared" si="196"/>
        <v>24.166666666666668</v>
      </c>
      <c r="D289">
        <f t="shared" si="197"/>
        <v>0</v>
      </c>
      <c r="E289">
        <f t="shared" si="199"/>
        <v>80</v>
      </c>
      <c r="F289">
        <f>IF(C289&gt;=$T$2,0,VLOOKUP($E289,'Mortality Table'!$A$3:$C$128,2+AF$2,FALSE))</f>
        <v>0</v>
      </c>
      <c r="G289">
        <f>F289*Assumptions!$B$1</f>
        <v>0</v>
      </c>
      <c r="H289">
        <f t="shared" si="203"/>
        <v>0</v>
      </c>
      <c r="I289">
        <f t="shared" ref="I289:I352" si="236">H289*O288*(1-M289/2)</f>
        <v>0</v>
      </c>
      <c r="J289">
        <f>IF(B289&gt;$AJ$2,0,HLOOKUP(C289,Assumptions!$A$6:$J$7,2,TRUE))</f>
        <v>0</v>
      </c>
      <c r="K289" s="4">
        <f t="shared" ref="K289:K352" si="237">IF(B289&gt;$AJ$2,0,IF(($U$2*(B289+11))/12-INT(($U$2*(B289+11))/12)=0,1,0))</f>
        <v>0</v>
      </c>
      <c r="L289" s="4">
        <f t="shared" si="204"/>
        <v>0</v>
      </c>
      <c r="M289" s="4">
        <f t="shared" ref="M289:M352" si="238">(1-(1-J289)^L289)</f>
        <v>0</v>
      </c>
      <c r="N289">
        <f t="shared" si="205"/>
        <v>0</v>
      </c>
      <c r="O289" s="21">
        <f t="shared" ref="O289:O352" si="239">IF(B289&gt;$AJ$2,0,O288-I289-N289-Q289)</f>
        <v>0</v>
      </c>
      <c r="P289">
        <f>IF(B289&gt;$AJ$2,0,HLOOKUP(C289,Assumptions!$A$12:$J$13,2,TRUE))</f>
        <v>0</v>
      </c>
      <c r="Q289">
        <f t="shared" ref="Q289:Q352" si="240">(1-(1-P289)^L289)*(O288-I289-N289)</f>
        <v>0</v>
      </c>
      <c r="R289">
        <f t="shared" si="206"/>
        <v>0</v>
      </c>
      <c r="S289">
        <f t="shared" si="234"/>
        <v>0</v>
      </c>
      <c r="T289">
        <f t="shared" si="235"/>
        <v>0</v>
      </c>
      <c r="U289">
        <f t="shared" si="207"/>
        <v>0</v>
      </c>
      <c r="V289">
        <f t="shared" si="208"/>
        <v>0</v>
      </c>
      <c r="W289">
        <f t="shared" si="209"/>
        <v>0</v>
      </c>
      <c r="X289">
        <f t="shared" si="200"/>
        <v>0</v>
      </c>
      <c r="Y289">
        <f t="shared" si="210"/>
        <v>0</v>
      </c>
      <c r="Z289">
        <f t="shared" si="211"/>
        <v>0</v>
      </c>
      <c r="AA289">
        <f t="shared" si="212"/>
        <v>0</v>
      </c>
      <c r="AB289">
        <f t="shared" si="213"/>
        <v>0</v>
      </c>
      <c r="AC289" s="23">
        <f>IF(B289&gt;$AJ$2,0,HLOOKUP(YEAR(A289),Assumptions!$A$25:$AL$29,4,TRUE)/100)</f>
        <v>0</v>
      </c>
      <c r="AD289">
        <f t="shared" si="214"/>
        <v>0</v>
      </c>
      <c r="AE289">
        <f t="shared" si="215"/>
        <v>0</v>
      </c>
      <c r="AF289">
        <f t="shared" si="216"/>
        <v>0</v>
      </c>
      <c r="AG289">
        <f t="shared" si="217"/>
        <v>0</v>
      </c>
      <c r="AH289">
        <f t="shared" si="218"/>
        <v>0</v>
      </c>
      <c r="AI289">
        <f t="shared" si="219"/>
        <v>0</v>
      </c>
      <c r="AJ289">
        <f t="shared" si="220"/>
        <v>0</v>
      </c>
      <c r="AK289">
        <f t="shared" si="221"/>
        <v>0</v>
      </c>
      <c r="AL289">
        <f t="shared" si="222"/>
        <v>0</v>
      </c>
      <c r="AM289">
        <f t="shared" si="201"/>
        <v>0</v>
      </c>
      <c r="AN289">
        <f>IF($S$2=0,0,(SUMPRODUCT($K$2:$R$2,Assumptions!$B$34:$I$34)/$U$2+$J$2/$U$2*Assumptions!$A$34*G289)*K289*O288)</f>
        <v>0</v>
      </c>
      <c r="AO289">
        <f t="shared" si="223"/>
        <v>0</v>
      </c>
      <c r="AP289">
        <f t="shared" si="224"/>
        <v>0</v>
      </c>
      <c r="AQ289">
        <f>IF(B289&gt;$AJ$2,0,AQ288*(1+Assumptions!$B$43)^(1/12))</f>
        <v>0</v>
      </c>
      <c r="AR289" s="27">
        <f>IF(B289&gt;$AJ$2,0,(O288+R288)*Assumptions!$B$39/12*AQ288+AV289*Assumptions!$B$41/12)</f>
        <v>0</v>
      </c>
      <c r="AS289">
        <f t="shared" si="225"/>
        <v>0</v>
      </c>
      <c r="AT289" s="28">
        <f t="shared" si="226"/>
        <v>0</v>
      </c>
      <c r="AU289">
        <f t="shared" si="227"/>
        <v>0</v>
      </c>
      <c r="AV289" s="28">
        <f t="shared" si="228"/>
        <v>0</v>
      </c>
      <c r="AW289" s="28">
        <f t="shared" si="229"/>
        <v>0</v>
      </c>
      <c r="AX289" s="23">
        <f>HLOOKUP(YEAR(A289),Assumptions!$A$25:$AL$29,2,TRUE)/100</f>
        <v>1.1739999999999999E-2</v>
      </c>
      <c r="AY289" s="29">
        <f>1/(1+HLOOKUP(YEAR(A289),Assumptions!$A$18:$AL$20,3,TRUE))^(1/12)</f>
        <v>0.99902750864006262</v>
      </c>
      <c r="AZ289" s="26">
        <f t="shared" si="230"/>
        <v>0</v>
      </c>
      <c r="BA289">
        <f t="shared" si="231"/>
        <v>0</v>
      </c>
      <c r="BB289">
        <f t="shared" si="232"/>
        <v>0</v>
      </c>
      <c r="BC289">
        <f t="shared" si="233"/>
        <v>0</v>
      </c>
    </row>
    <row r="290" spans="1:55" x14ac:dyDescent="0.2">
      <c r="A290" s="3">
        <f t="shared" si="202"/>
        <v>51591</v>
      </c>
      <c r="B290">
        <f t="shared" si="198"/>
        <v>292</v>
      </c>
      <c r="C290">
        <f t="shared" ref="C290:C353" si="241">(B290+11)/12-1</f>
        <v>24.25</v>
      </c>
      <c r="D290">
        <f t="shared" ref="D290:D353" si="242">IF(C290-INT(C290)=0,1,0)</f>
        <v>0</v>
      </c>
      <c r="E290">
        <f t="shared" si="199"/>
        <v>80</v>
      </c>
      <c r="F290">
        <f>IF(C290&gt;=$T$2,0,VLOOKUP($E290,'Mortality Table'!$A$3:$C$128,2+AF$2,FALSE))</f>
        <v>0</v>
      </c>
      <c r="G290">
        <f>F290*Assumptions!$B$1</f>
        <v>0</v>
      </c>
      <c r="H290">
        <f t="shared" si="203"/>
        <v>0</v>
      </c>
      <c r="I290">
        <f t="shared" si="236"/>
        <v>0</v>
      </c>
      <c r="J290">
        <f>IF(B290&gt;$AJ$2,0,HLOOKUP(C290,Assumptions!$A$6:$J$7,2,TRUE))</f>
        <v>0</v>
      </c>
      <c r="K290" s="4">
        <f t="shared" si="237"/>
        <v>0</v>
      </c>
      <c r="L290" s="4">
        <f t="shared" si="204"/>
        <v>0</v>
      </c>
      <c r="M290" s="4">
        <f t="shared" si="238"/>
        <v>0</v>
      </c>
      <c r="N290">
        <f t="shared" si="205"/>
        <v>0</v>
      </c>
      <c r="O290" s="21">
        <f t="shared" si="239"/>
        <v>0</v>
      </c>
      <c r="P290">
        <f>IF(B290&gt;$AJ$2,0,HLOOKUP(C290,Assumptions!$A$12:$J$13,2,TRUE))</f>
        <v>0</v>
      </c>
      <c r="Q290">
        <f t="shared" si="240"/>
        <v>0</v>
      </c>
      <c r="R290">
        <f t="shared" si="206"/>
        <v>0</v>
      </c>
      <c r="S290">
        <f t="shared" si="234"/>
        <v>0</v>
      </c>
      <c r="T290">
        <f t="shared" si="235"/>
        <v>0</v>
      </c>
      <c r="U290">
        <f t="shared" si="207"/>
        <v>0</v>
      </c>
      <c r="V290">
        <f t="shared" si="208"/>
        <v>0</v>
      </c>
      <c r="W290">
        <f t="shared" si="209"/>
        <v>0</v>
      </c>
      <c r="X290">
        <f t="shared" si="200"/>
        <v>0</v>
      </c>
      <c r="Y290">
        <f t="shared" si="210"/>
        <v>0</v>
      </c>
      <c r="Z290">
        <f t="shared" si="211"/>
        <v>0</v>
      </c>
      <c r="AA290">
        <f t="shared" si="212"/>
        <v>0</v>
      </c>
      <c r="AB290">
        <f t="shared" si="213"/>
        <v>0</v>
      </c>
      <c r="AC290" s="23">
        <f>IF(B290&gt;$AJ$2,0,HLOOKUP(YEAR(A290),Assumptions!$A$25:$AL$29,4,TRUE)/100)</f>
        <v>0</v>
      </c>
      <c r="AD290">
        <f t="shared" si="214"/>
        <v>0</v>
      </c>
      <c r="AE290">
        <f t="shared" si="215"/>
        <v>0</v>
      </c>
      <c r="AF290">
        <f t="shared" si="216"/>
        <v>0</v>
      </c>
      <c r="AG290">
        <f t="shared" si="217"/>
        <v>0</v>
      </c>
      <c r="AH290">
        <f t="shared" si="218"/>
        <v>0</v>
      </c>
      <c r="AI290">
        <f t="shared" si="219"/>
        <v>0</v>
      </c>
      <c r="AJ290">
        <f t="shared" si="220"/>
        <v>0</v>
      </c>
      <c r="AK290">
        <f t="shared" si="221"/>
        <v>0</v>
      </c>
      <c r="AL290">
        <f t="shared" si="222"/>
        <v>0</v>
      </c>
      <c r="AM290">
        <f t="shared" si="201"/>
        <v>0</v>
      </c>
      <c r="AN290">
        <f>IF($S$2=0,0,(SUMPRODUCT($K$2:$R$2,Assumptions!$B$34:$I$34)/$U$2+$J$2/$U$2*Assumptions!$A$34*G290)*K290*O289)</f>
        <v>0</v>
      </c>
      <c r="AO290">
        <f t="shared" si="223"/>
        <v>0</v>
      </c>
      <c r="AP290">
        <f t="shared" si="224"/>
        <v>0</v>
      </c>
      <c r="AQ290">
        <f>IF(B290&gt;$AJ$2,0,AQ289*(1+Assumptions!$B$43)^(1/12))</f>
        <v>0</v>
      </c>
      <c r="AR290" s="27">
        <f>IF(B290&gt;$AJ$2,0,(O289+R289)*Assumptions!$B$39/12*AQ289+AV290*Assumptions!$B$41/12)</f>
        <v>0</v>
      </c>
      <c r="AS290">
        <f t="shared" si="225"/>
        <v>0</v>
      </c>
      <c r="AT290" s="28">
        <f t="shared" si="226"/>
        <v>0</v>
      </c>
      <c r="AU290">
        <f t="shared" si="227"/>
        <v>0</v>
      </c>
      <c r="AV290" s="28">
        <f t="shared" si="228"/>
        <v>0</v>
      </c>
      <c r="AW290" s="28">
        <f t="shared" si="229"/>
        <v>0</v>
      </c>
      <c r="AX290" s="23">
        <f>HLOOKUP(YEAR(A290),Assumptions!$A$25:$AL$29,2,TRUE)/100</f>
        <v>1.1739999999999999E-2</v>
      </c>
      <c r="AY290" s="29">
        <f>1/(1+HLOOKUP(YEAR(A290),Assumptions!$A$18:$AL$20,3,TRUE))^(1/12)</f>
        <v>0.99902750864006262</v>
      </c>
      <c r="AZ290" s="26">
        <f t="shared" si="230"/>
        <v>0</v>
      </c>
      <c r="BA290">
        <f t="shared" si="231"/>
        <v>0</v>
      </c>
      <c r="BB290">
        <f t="shared" si="232"/>
        <v>0</v>
      </c>
      <c r="BC290">
        <f t="shared" si="233"/>
        <v>0</v>
      </c>
    </row>
    <row r="291" spans="1:55" x14ac:dyDescent="0.2">
      <c r="A291" s="3">
        <f t="shared" si="202"/>
        <v>51621</v>
      </c>
      <c r="B291">
        <f t="shared" si="198"/>
        <v>293</v>
      </c>
      <c r="C291">
        <f t="shared" si="241"/>
        <v>24.333333333333332</v>
      </c>
      <c r="D291">
        <f t="shared" si="242"/>
        <v>0</v>
      </c>
      <c r="E291">
        <f t="shared" si="199"/>
        <v>80</v>
      </c>
      <c r="F291">
        <f>IF(C291&gt;=$T$2,0,VLOOKUP($E291,'Mortality Table'!$A$3:$C$128,2+AF$2,FALSE))</f>
        <v>0</v>
      </c>
      <c r="G291">
        <f>F291*Assumptions!$B$1</f>
        <v>0</v>
      </c>
      <c r="H291">
        <f t="shared" si="203"/>
        <v>0</v>
      </c>
      <c r="I291">
        <f t="shared" si="236"/>
        <v>0</v>
      </c>
      <c r="J291">
        <f>IF(B291&gt;$AJ$2,0,HLOOKUP(C291,Assumptions!$A$6:$J$7,2,TRUE))</f>
        <v>0</v>
      </c>
      <c r="K291" s="4">
        <f t="shared" si="237"/>
        <v>0</v>
      </c>
      <c r="L291" s="4">
        <f t="shared" si="204"/>
        <v>0</v>
      </c>
      <c r="M291" s="4">
        <f t="shared" si="238"/>
        <v>0</v>
      </c>
      <c r="N291">
        <f t="shared" si="205"/>
        <v>0</v>
      </c>
      <c r="O291" s="21">
        <f t="shared" si="239"/>
        <v>0</v>
      </c>
      <c r="P291">
        <f>IF(B291&gt;$AJ$2,0,HLOOKUP(C291,Assumptions!$A$12:$J$13,2,TRUE))</f>
        <v>0</v>
      </c>
      <c r="Q291">
        <f t="shared" si="240"/>
        <v>0</v>
      </c>
      <c r="R291">
        <f t="shared" si="206"/>
        <v>0</v>
      </c>
      <c r="S291">
        <f t="shared" si="234"/>
        <v>0</v>
      </c>
      <c r="T291">
        <f t="shared" si="235"/>
        <v>0</v>
      </c>
      <c r="U291">
        <f t="shared" si="207"/>
        <v>0</v>
      </c>
      <c r="V291">
        <f t="shared" si="208"/>
        <v>0</v>
      </c>
      <c r="W291">
        <f t="shared" si="209"/>
        <v>0</v>
      </c>
      <c r="X291">
        <f t="shared" si="200"/>
        <v>0</v>
      </c>
      <c r="Y291">
        <f t="shared" si="210"/>
        <v>0</v>
      </c>
      <c r="Z291">
        <f t="shared" si="211"/>
        <v>0</v>
      </c>
      <c r="AA291">
        <f t="shared" si="212"/>
        <v>0</v>
      </c>
      <c r="AB291">
        <f t="shared" si="213"/>
        <v>0</v>
      </c>
      <c r="AC291" s="23">
        <f>IF(B291&gt;$AJ$2,0,HLOOKUP(YEAR(A291),Assumptions!$A$25:$AL$29,4,TRUE)/100)</f>
        <v>0</v>
      </c>
      <c r="AD291">
        <f t="shared" si="214"/>
        <v>0</v>
      </c>
      <c r="AE291">
        <f t="shared" si="215"/>
        <v>0</v>
      </c>
      <c r="AF291">
        <f t="shared" si="216"/>
        <v>0</v>
      </c>
      <c r="AG291">
        <f t="shared" si="217"/>
        <v>0</v>
      </c>
      <c r="AH291">
        <f t="shared" si="218"/>
        <v>0</v>
      </c>
      <c r="AI291">
        <f t="shared" si="219"/>
        <v>0</v>
      </c>
      <c r="AJ291">
        <f t="shared" si="220"/>
        <v>0</v>
      </c>
      <c r="AK291">
        <f t="shared" si="221"/>
        <v>0</v>
      </c>
      <c r="AL291">
        <f t="shared" si="222"/>
        <v>0</v>
      </c>
      <c r="AM291">
        <f t="shared" si="201"/>
        <v>0</v>
      </c>
      <c r="AN291">
        <f>IF($S$2=0,0,(SUMPRODUCT($K$2:$R$2,Assumptions!$B$34:$I$34)/$U$2+$J$2/$U$2*Assumptions!$A$34*G291)*K291*O290)</f>
        <v>0</v>
      </c>
      <c r="AO291">
        <f t="shared" si="223"/>
        <v>0</v>
      </c>
      <c r="AP291">
        <f t="shared" si="224"/>
        <v>0</v>
      </c>
      <c r="AQ291">
        <f>IF(B291&gt;$AJ$2,0,AQ290*(1+Assumptions!$B$43)^(1/12))</f>
        <v>0</v>
      </c>
      <c r="AR291" s="27">
        <f>IF(B291&gt;$AJ$2,0,(O290+R290)*Assumptions!$B$39/12*AQ290+AV291*Assumptions!$B$41/12)</f>
        <v>0</v>
      </c>
      <c r="AS291">
        <f t="shared" si="225"/>
        <v>0</v>
      </c>
      <c r="AT291" s="28">
        <f t="shared" si="226"/>
        <v>0</v>
      </c>
      <c r="AU291">
        <f t="shared" si="227"/>
        <v>0</v>
      </c>
      <c r="AV291" s="28">
        <f t="shared" si="228"/>
        <v>0</v>
      </c>
      <c r="AW291" s="28">
        <f t="shared" si="229"/>
        <v>0</v>
      </c>
      <c r="AX291" s="23">
        <f>HLOOKUP(YEAR(A291),Assumptions!$A$25:$AL$29,2,TRUE)/100</f>
        <v>1.1739999999999999E-2</v>
      </c>
      <c r="AY291" s="29">
        <f>1/(1+HLOOKUP(YEAR(A291),Assumptions!$A$18:$AL$20,3,TRUE))^(1/12)</f>
        <v>0.99902750864006262</v>
      </c>
      <c r="AZ291" s="26">
        <f t="shared" si="230"/>
        <v>0</v>
      </c>
      <c r="BA291">
        <f t="shared" si="231"/>
        <v>0</v>
      </c>
      <c r="BB291">
        <f t="shared" si="232"/>
        <v>0</v>
      </c>
      <c r="BC291">
        <f t="shared" si="233"/>
        <v>0</v>
      </c>
    </row>
    <row r="292" spans="1:55" x14ac:dyDescent="0.2">
      <c r="A292" s="3">
        <f t="shared" si="202"/>
        <v>51652</v>
      </c>
      <c r="B292">
        <f t="shared" si="198"/>
        <v>294</v>
      </c>
      <c r="C292">
        <f t="shared" si="241"/>
        <v>24.416666666666668</v>
      </c>
      <c r="D292">
        <f t="shared" si="242"/>
        <v>0</v>
      </c>
      <c r="E292">
        <f t="shared" si="199"/>
        <v>80</v>
      </c>
      <c r="F292">
        <f>IF(C292&gt;=$T$2,0,VLOOKUP($E292,'Mortality Table'!$A$3:$C$128,2+AF$2,FALSE))</f>
        <v>0</v>
      </c>
      <c r="G292">
        <f>F292*Assumptions!$B$1</f>
        <v>0</v>
      </c>
      <c r="H292">
        <f t="shared" si="203"/>
        <v>0</v>
      </c>
      <c r="I292">
        <f t="shared" si="236"/>
        <v>0</v>
      </c>
      <c r="J292">
        <f>IF(B292&gt;$AJ$2,0,HLOOKUP(C292,Assumptions!$A$6:$J$7,2,TRUE))</f>
        <v>0</v>
      </c>
      <c r="K292" s="4">
        <f t="shared" si="237"/>
        <v>0</v>
      </c>
      <c r="L292" s="4">
        <f t="shared" si="204"/>
        <v>0</v>
      </c>
      <c r="M292" s="4">
        <f t="shared" si="238"/>
        <v>0</v>
      </c>
      <c r="N292">
        <f t="shared" si="205"/>
        <v>0</v>
      </c>
      <c r="O292" s="21">
        <f t="shared" si="239"/>
        <v>0</v>
      </c>
      <c r="P292">
        <f>IF(B292&gt;$AJ$2,0,HLOOKUP(C292,Assumptions!$A$12:$J$13,2,TRUE))</f>
        <v>0</v>
      </c>
      <c r="Q292">
        <f t="shared" si="240"/>
        <v>0</v>
      </c>
      <c r="R292">
        <f t="shared" si="206"/>
        <v>0</v>
      </c>
      <c r="S292">
        <f t="shared" si="234"/>
        <v>0</v>
      </c>
      <c r="T292">
        <f t="shared" si="235"/>
        <v>0</v>
      </c>
      <c r="U292">
        <f t="shared" si="207"/>
        <v>0</v>
      </c>
      <c r="V292">
        <f t="shared" si="208"/>
        <v>0</v>
      </c>
      <c r="W292">
        <f t="shared" si="209"/>
        <v>0</v>
      </c>
      <c r="X292">
        <f t="shared" si="200"/>
        <v>0</v>
      </c>
      <c r="Y292">
        <f t="shared" si="210"/>
        <v>0</v>
      </c>
      <c r="Z292">
        <f t="shared" si="211"/>
        <v>0</v>
      </c>
      <c r="AA292">
        <f t="shared" si="212"/>
        <v>0</v>
      </c>
      <c r="AB292">
        <f t="shared" si="213"/>
        <v>0</v>
      </c>
      <c r="AC292" s="23">
        <f>IF(B292&gt;$AJ$2,0,HLOOKUP(YEAR(A292),Assumptions!$A$25:$AL$29,4,TRUE)/100)</f>
        <v>0</v>
      </c>
      <c r="AD292">
        <f t="shared" si="214"/>
        <v>0</v>
      </c>
      <c r="AE292">
        <f t="shared" si="215"/>
        <v>0</v>
      </c>
      <c r="AF292">
        <f t="shared" si="216"/>
        <v>0</v>
      </c>
      <c r="AG292">
        <f t="shared" si="217"/>
        <v>0</v>
      </c>
      <c r="AH292">
        <f t="shared" si="218"/>
        <v>0</v>
      </c>
      <c r="AI292">
        <f t="shared" si="219"/>
        <v>0</v>
      </c>
      <c r="AJ292">
        <f t="shared" si="220"/>
        <v>0</v>
      </c>
      <c r="AK292">
        <f t="shared" si="221"/>
        <v>0</v>
      </c>
      <c r="AL292">
        <f t="shared" si="222"/>
        <v>0</v>
      </c>
      <c r="AM292">
        <f t="shared" si="201"/>
        <v>0</v>
      </c>
      <c r="AN292">
        <f>IF($S$2=0,0,(SUMPRODUCT($K$2:$R$2,Assumptions!$B$34:$I$34)/$U$2+$J$2/$U$2*Assumptions!$A$34*G292)*K292*O291)</f>
        <v>0</v>
      </c>
      <c r="AO292">
        <f t="shared" si="223"/>
        <v>0</v>
      </c>
      <c r="AP292">
        <f t="shared" si="224"/>
        <v>0</v>
      </c>
      <c r="AQ292">
        <f>IF(B292&gt;$AJ$2,0,AQ291*(1+Assumptions!$B$43)^(1/12))</f>
        <v>0</v>
      </c>
      <c r="AR292" s="27">
        <f>IF(B292&gt;$AJ$2,0,(O291+R291)*Assumptions!$B$39/12*AQ291+AV292*Assumptions!$B$41/12)</f>
        <v>0</v>
      </c>
      <c r="AS292">
        <f t="shared" si="225"/>
        <v>0</v>
      </c>
      <c r="AT292" s="28">
        <f t="shared" si="226"/>
        <v>0</v>
      </c>
      <c r="AU292">
        <f t="shared" si="227"/>
        <v>0</v>
      </c>
      <c r="AV292" s="28">
        <f t="shared" si="228"/>
        <v>0</v>
      </c>
      <c r="AW292" s="28">
        <f t="shared" si="229"/>
        <v>0</v>
      </c>
      <c r="AX292" s="23">
        <f>HLOOKUP(YEAR(A292),Assumptions!$A$25:$AL$29,2,TRUE)/100</f>
        <v>1.1739999999999999E-2</v>
      </c>
      <c r="AY292" s="29">
        <f>1/(1+HLOOKUP(YEAR(A292),Assumptions!$A$18:$AL$20,3,TRUE))^(1/12)</f>
        <v>0.99902750864006262</v>
      </c>
      <c r="AZ292" s="26">
        <f t="shared" si="230"/>
        <v>0</v>
      </c>
      <c r="BA292">
        <f t="shared" si="231"/>
        <v>0</v>
      </c>
      <c r="BB292">
        <f t="shared" si="232"/>
        <v>0</v>
      </c>
      <c r="BC292">
        <f t="shared" si="233"/>
        <v>0</v>
      </c>
    </row>
    <row r="293" spans="1:55" x14ac:dyDescent="0.2">
      <c r="A293" s="3">
        <f t="shared" si="202"/>
        <v>51682</v>
      </c>
      <c r="B293">
        <f t="shared" si="198"/>
        <v>295</v>
      </c>
      <c r="C293">
        <f t="shared" si="241"/>
        <v>24.5</v>
      </c>
      <c r="D293">
        <f t="shared" si="242"/>
        <v>0</v>
      </c>
      <c r="E293">
        <f t="shared" si="199"/>
        <v>80</v>
      </c>
      <c r="F293">
        <f>IF(C293&gt;=$T$2,0,VLOOKUP($E293,'Mortality Table'!$A$3:$C$128,2+AF$2,FALSE))</f>
        <v>0</v>
      </c>
      <c r="G293">
        <f>F293*Assumptions!$B$1</f>
        <v>0</v>
      </c>
      <c r="H293">
        <f t="shared" si="203"/>
        <v>0</v>
      </c>
      <c r="I293">
        <f t="shared" si="236"/>
        <v>0</v>
      </c>
      <c r="J293">
        <f>IF(B293&gt;$AJ$2,0,HLOOKUP(C293,Assumptions!$A$6:$J$7,2,TRUE))</f>
        <v>0</v>
      </c>
      <c r="K293" s="4">
        <f t="shared" si="237"/>
        <v>0</v>
      </c>
      <c r="L293" s="4">
        <f t="shared" si="204"/>
        <v>0</v>
      </c>
      <c r="M293" s="4">
        <f t="shared" si="238"/>
        <v>0</v>
      </c>
      <c r="N293">
        <f t="shared" si="205"/>
        <v>0</v>
      </c>
      <c r="O293" s="21">
        <f t="shared" si="239"/>
        <v>0</v>
      </c>
      <c r="P293">
        <f>IF(B293&gt;$AJ$2,0,HLOOKUP(C293,Assumptions!$A$12:$J$13,2,TRUE))</f>
        <v>0</v>
      </c>
      <c r="Q293">
        <f t="shared" si="240"/>
        <v>0</v>
      </c>
      <c r="R293">
        <f t="shared" si="206"/>
        <v>0</v>
      </c>
      <c r="S293">
        <f t="shared" si="234"/>
        <v>0</v>
      </c>
      <c r="T293">
        <f t="shared" si="235"/>
        <v>0</v>
      </c>
      <c r="U293">
        <f t="shared" si="207"/>
        <v>0</v>
      </c>
      <c r="V293">
        <f t="shared" si="208"/>
        <v>0</v>
      </c>
      <c r="W293">
        <f t="shared" si="209"/>
        <v>0</v>
      </c>
      <c r="X293">
        <f t="shared" si="200"/>
        <v>0</v>
      </c>
      <c r="Y293">
        <f t="shared" si="210"/>
        <v>0</v>
      </c>
      <c r="Z293">
        <f t="shared" si="211"/>
        <v>0</v>
      </c>
      <c r="AA293">
        <f t="shared" si="212"/>
        <v>0</v>
      </c>
      <c r="AB293">
        <f t="shared" si="213"/>
        <v>0</v>
      </c>
      <c r="AC293" s="23">
        <f>IF(B293&gt;$AJ$2,0,HLOOKUP(YEAR(A293),Assumptions!$A$25:$AL$29,4,TRUE)/100)</f>
        <v>0</v>
      </c>
      <c r="AD293">
        <f t="shared" si="214"/>
        <v>0</v>
      </c>
      <c r="AE293">
        <f t="shared" si="215"/>
        <v>0</v>
      </c>
      <c r="AF293">
        <f t="shared" si="216"/>
        <v>0</v>
      </c>
      <c r="AG293">
        <f t="shared" si="217"/>
        <v>0</v>
      </c>
      <c r="AH293">
        <f t="shared" si="218"/>
        <v>0</v>
      </c>
      <c r="AI293">
        <f t="shared" si="219"/>
        <v>0</v>
      </c>
      <c r="AJ293">
        <f t="shared" si="220"/>
        <v>0</v>
      </c>
      <c r="AK293">
        <f t="shared" si="221"/>
        <v>0</v>
      </c>
      <c r="AL293">
        <f t="shared" si="222"/>
        <v>0</v>
      </c>
      <c r="AM293">
        <f t="shared" si="201"/>
        <v>0</v>
      </c>
      <c r="AN293">
        <f>IF($S$2=0,0,(SUMPRODUCT($K$2:$R$2,Assumptions!$B$34:$I$34)/$U$2+$J$2/$U$2*Assumptions!$A$34*G293)*K293*O292)</f>
        <v>0</v>
      </c>
      <c r="AO293">
        <f t="shared" si="223"/>
        <v>0</v>
      </c>
      <c r="AP293">
        <f t="shared" si="224"/>
        <v>0</v>
      </c>
      <c r="AQ293">
        <f>IF(B293&gt;$AJ$2,0,AQ292*(1+Assumptions!$B$43)^(1/12))</f>
        <v>0</v>
      </c>
      <c r="AR293" s="27">
        <f>IF(B293&gt;$AJ$2,0,(O292+R292)*Assumptions!$B$39/12*AQ292+AV293*Assumptions!$B$41/12)</f>
        <v>0</v>
      </c>
      <c r="AS293">
        <f t="shared" si="225"/>
        <v>0</v>
      </c>
      <c r="AT293" s="28">
        <f t="shared" si="226"/>
        <v>0</v>
      </c>
      <c r="AU293">
        <f t="shared" si="227"/>
        <v>0</v>
      </c>
      <c r="AV293" s="28">
        <f t="shared" si="228"/>
        <v>0</v>
      </c>
      <c r="AW293" s="28">
        <f t="shared" si="229"/>
        <v>0</v>
      </c>
      <c r="AX293" s="23">
        <f>HLOOKUP(YEAR(A293),Assumptions!$A$25:$AL$29,2,TRUE)/100</f>
        <v>1.1739999999999999E-2</v>
      </c>
      <c r="AY293" s="29">
        <f>1/(1+HLOOKUP(YEAR(A293),Assumptions!$A$18:$AL$20,3,TRUE))^(1/12)</f>
        <v>0.99902750864006262</v>
      </c>
      <c r="AZ293" s="26">
        <f t="shared" si="230"/>
        <v>0</v>
      </c>
      <c r="BA293">
        <f t="shared" si="231"/>
        <v>0</v>
      </c>
      <c r="BB293">
        <f t="shared" si="232"/>
        <v>0</v>
      </c>
      <c r="BC293">
        <f t="shared" si="233"/>
        <v>0</v>
      </c>
    </row>
    <row r="294" spans="1:55" x14ac:dyDescent="0.2">
      <c r="A294" s="3">
        <f t="shared" si="202"/>
        <v>51713</v>
      </c>
      <c r="B294">
        <f t="shared" si="198"/>
        <v>296</v>
      </c>
      <c r="C294">
        <f t="shared" si="241"/>
        <v>24.583333333333332</v>
      </c>
      <c r="D294">
        <f t="shared" si="242"/>
        <v>0</v>
      </c>
      <c r="E294">
        <f t="shared" si="199"/>
        <v>80</v>
      </c>
      <c r="F294">
        <f>IF(C294&gt;=$T$2,0,VLOOKUP($E294,'Mortality Table'!$A$3:$C$128,2+AF$2,FALSE))</f>
        <v>0</v>
      </c>
      <c r="G294">
        <f>F294*Assumptions!$B$1</f>
        <v>0</v>
      </c>
      <c r="H294">
        <f t="shared" si="203"/>
        <v>0</v>
      </c>
      <c r="I294">
        <f t="shared" si="236"/>
        <v>0</v>
      </c>
      <c r="J294">
        <f>IF(B294&gt;$AJ$2,0,HLOOKUP(C294,Assumptions!$A$6:$J$7,2,TRUE))</f>
        <v>0</v>
      </c>
      <c r="K294" s="4">
        <f t="shared" si="237"/>
        <v>0</v>
      </c>
      <c r="L294" s="4">
        <f t="shared" si="204"/>
        <v>0</v>
      </c>
      <c r="M294" s="4">
        <f t="shared" si="238"/>
        <v>0</v>
      </c>
      <c r="N294">
        <f t="shared" si="205"/>
        <v>0</v>
      </c>
      <c r="O294" s="21">
        <f t="shared" si="239"/>
        <v>0</v>
      </c>
      <c r="P294">
        <f>IF(B294&gt;$AJ$2,0,HLOOKUP(C294,Assumptions!$A$12:$J$13,2,TRUE))</f>
        <v>0</v>
      </c>
      <c r="Q294">
        <f t="shared" si="240"/>
        <v>0</v>
      </c>
      <c r="R294">
        <f t="shared" si="206"/>
        <v>0</v>
      </c>
      <c r="S294">
        <f t="shared" si="234"/>
        <v>0</v>
      </c>
      <c r="T294">
        <f t="shared" si="235"/>
        <v>0</v>
      </c>
      <c r="U294">
        <f t="shared" si="207"/>
        <v>0</v>
      </c>
      <c r="V294">
        <f t="shared" si="208"/>
        <v>0</v>
      </c>
      <c r="W294">
        <f t="shared" si="209"/>
        <v>0</v>
      </c>
      <c r="X294">
        <f t="shared" si="200"/>
        <v>0</v>
      </c>
      <c r="Y294">
        <f t="shared" si="210"/>
        <v>0</v>
      </c>
      <c r="Z294">
        <f t="shared" si="211"/>
        <v>0</v>
      </c>
      <c r="AA294">
        <f t="shared" si="212"/>
        <v>0</v>
      </c>
      <c r="AB294">
        <f t="shared" si="213"/>
        <v>0</v>
      </c>
      <c r="AC294" s="23">
        <f>IF(B294&gt;$AJ$2,0,HLOOKUP(YEAR(A294),Assumptions!$A$25:$AL$29,4,TRUE)/100)</f>
        <v>0</v>
      </c>
      <c r="AD294">
        <f t="shared" si="214"/>
        <v>0</v>
      </c>
      <c r="AE294">
        <f t="shared" si="215"/>
        <v>0</v>
      </c>
      <c r="AF294">
        <f t="shared" si="216"/>
        <v>0</v>
      </c>
      <c r="AG294">
        <f t="shared" si="217"/>
        <v>0</v>
      </c>
      <c r="AH294">
        <f t="shared" si="218"/>
        <v>0</v>
      </c>
      <c r="AI294">
        <f t="shared" si="219"/>
        <v>0</v>
      </c>
      <c r="AJ294">
        <f t="shared" si="220"/>
        <v>0</v>
      </c>
      <c r="AK294">
        <f t="shared" si="221"/>
        <v>0</v>
      </c>
      <c r="AL294">
        <f t="shared" si="222"/>
        <v>0</v>
      </c>
      <c r="AM294">
        <f t="shared" si="201"/>
        <v>0</v>
      </c>
      <c r="AN294">
        <f>IF($S$2=0,0,(SUMPRODUCT($K$2:$R$2,Assumptions!$B$34:$I$34)/$U$2+$J$2/$U$2*Assumptions!$A$34*G294)*K294*O293)</f>
        <v>0</v>
      </c>
      <c r="AO294">
        <f t="shared" si="223"/>
        <v>0</v>
      </c>
      <c r="AP294">
        <f t="shared" si="224"/>
        <v>0</v>
      </c>
      <c r="AQ294">
        <f>IF(B294&gt;$AJ$2,0,AQ293*(1+Assumptions!$B$43)^(1/12))</f>
        <v>0</v>
      </c>
      <c r="AR294" s="27">
        <f>IF(B294&gt;$AJ$2,0,(O293+R293)*Assumptions!$B$39/12*AQ293+AV294*Assumptions!$B$41/12)</f>
        <v>0</v>
      </c>
      <c r="AS294">
        <f t="shared" si="225"/>
        <v>0</v>
      </c>
      <c r="AT294" s="28">
        <f t="shared" si="226"/>
        <v>0</v>
      </c>
      <c r="AU294">
        <f t="shared" si="227"/>
        <v>0</v>
      </c>
      <c r="AV294" s="28">
        <f t="shared" si="228"/>
        <v>0</v>
      </c>
      <c r="AW294" s="28">
        <f t="shared" si="229"/>
        <v>0</v>
      </c>
      <c r="AX294" s="23">
        <f>HLOOKUP(YEAR(A294),Assumptions!$A$25:$AL$29,2,TRUE)/100</f>
        <v>1.1739999999999999E-2</v>
      </c>
      <c r="AY294" s="29">
        <f>1/(1+HLOOKUP(YEAR(A294),Assumptions!$A$18:$AL$20,3,TRUE))^(1/12)</f>
        <v>0.99902750864006262</v>
      </c>
      <c r="AZ294" s="26">
        <f t="shared" si="230"/>
        <v>0</v>
      </c>
      <c r="BA294">
        <f t="shared" si="231"/>
        <v>0</v>
      </c>
      <c r="BB294">
        <f t="shared" si="232"/>
        <v>0</v>
      </c>
      <c r="BC294">
        <f t="shared" si="233"/>
        <v>0</v>
      </c>
    </row>
    <row r="295" spans="1:55" x14ac:dyDescent="0.2">
      <c r="A295" s="3">
        <f t="shared" si="202"/>
        <v>51744</v>
      </c>
      <c r="B295">
        <f t="shared" si="198"/>
        <v>297</v>
      </c>
      <c r="C295">
        <f t="shared" si="241"/>
        <v>24.666666666666668</v>
      </c>
      <c r="D295">
        <f t="shared" si="242"/>
        <v>0</v>
      </c>
      <c r="E295">
        <f t="shared" si="199"/>
        <v>80</v>
      </c>
      <c r="F295">
        <f>IF(C295&gt;=$T$2,0,VLOOKUP($E295,'Mortality Table'!$A$3:$C$128,2+AF$2,FALSE))</f>
        <v>0</v>
      </c>
      <c r="G295">
        <f>F295*Assumptions!$B$1</f>
        <v>0</v>
      </c>
      <c r="H295">
        <f t="shared" si="203"/>
        <v>0</v>
      </c>
      <c r="I295">
        <f t="shared" si="236"/>
        <v>0</v>
      </c>
      <c r="J295">
        <f>IF(B295&gt;$AJ$2,0,HLOOKUP(C295,Assumptions!$A$6:$J$7,2,TRUE))</f>
        <v>0</v>
      </c>
      <c r="K295" s="4">
        <f t="shared" si="237"/>
        <v>0</v>
      </c>
      <c r="L295" s="4">
        <f t="shared" si="204"/>
        <v>0</v>
      </c>
      <c r="M295" s="4">
        <f t="shared" si="238"/>
        <v>0</v>
      </c>
      <c r="N295">
        <f t="shared" si="205"/>
        <v>0</v>
      </c>
      <c r="O295" s="21">
        <f t="shared" si="239"/>
        <v>0</v>
      </c>
      <c r="P295">
        <f>IF(B295&gt;$AJ$2,0,HLOOKUP(C295,Assumptions!$A$12:$J$13,2,TRUE))</f>
        <v>0</v>
      </c>
      <c r="Q295">
        <f t="shared" si="240"/>
        <v>0</v>
      </c>
      <c r="R295">
        <f t="shared" si="206"/>
        <v>0</v>
      </c>
      <c r="S295">
        <f t="shared" si="234"/>
        <v>0</v>
      </c>
      <c r="T295">
        <f t="shared" si="235"/>
        <v>0</v>
      </c>
      <c r="U295">
        <f t="shared" si="207"/>
        <v>0</v>
      </c>
      <c r="V295">
        <f t="shared" si="208"/>
        <v>0</v>
      </c>
      <c r="W295">
        <f t="shared" si="209"/>
        <v>0</v>
      </c>
      <c r="X295">
        <f t="shared" si="200"/>
        <v>0</v>
      </c>
      <c r="Y295">
        <f t="shared" si="210"/>
        <v>0</v>
      </c>
      <c r="Z295">
        <f t="shared" si="211"/>
        <v>0</v>
      </c>
      <c r="AA295">
        <f t="shared" si="212"/>
        <v>0</v>
      </c>
      <c r="AB295">
        <f t="shared" si="213"/>
        <v>0</v>
      </c>
      <c r="AC295" s="23">
        <f>IF(B295&gt;$AJ$2,0,HLOOKUP(YEAR(A295),Assumptions!$A$25:$AL$29,4,TRUE)/100)</f>
        <v>0</v>
      </c>
      <c r="AD295">
        <f t="shared" si="214"/>
        <v>0</v>
      </c>
      <c r="AE295">
        <f t="shared" si="215"/>
        <v>0</v>
      </c>
      <c r="AF295">
        <f t="shared" si="216"/>
        <v>0</v>
      </c>
      <c r="AG295">
        <f t="shared" si="217"/>
        <v>0</v>
      </c>
      <c r="AH295">
        <f t="shared" si="218"/>
        <v>0</v>
      </c>
      <c r="AI295">
        <f t="shared" si="219"/>
        <v>0</v>
      </c>
      <c r="AJ295">
        <f t="shared" si="220"/>
        <v>0</v>
      </c>
      <c r="AK295">
        <f t="shared" si="221"/>
        <v>0</v>
      </c>
      <c r="AL295">
        <f t="shared" si="222"/>
        <v>0</v>
      </c>
      <c r="AM295">
        <f t="shared" si="201"/>
        <v>0</v>
      </c>
      <c r="AN295">
        <f>IF($S$2=0,0,(SUMPRODUCT($K$2:$R$2,Assumptions!$B$34:$I$34)/$U$2+$J$2/$U$2*Assumptions!$A$34*G295)*K295*O294)</f>
        <v>0</v>
      </c>
      <c r="AO295">
        <f t="shared" si="223"/>
        <v>0</v>
      </c>
      <c r="AP295">
        <f t="shared" si="224"/>
        <v>0</v>
      </c>
      <c r="AQ295">
        <f>IF(B295&gt;$AJ$2,0,AQ294*(1+Assumptions!$B$43)^(1/12))</f>
        <v>0</v>
      </c>
      <c r="AR295" s="27">
        <f>IF(B295&gt;$AJ$2,0,(O294+R294)*Assumptions!$B$39/12*AQ294+AV295*Assumptions!$B$41/12)</f>
        <v>0</v>
      </c>
      <c r="AS295">
        <f t="shared" si="225"/>
        <v>0</v>
      </c>
      <c r="AT295" s="28">
        <f t="shared" si="226"/>
        <v>0</v>
      </c>
      <c r="AU295">
        <f t="shared" si="227"/>
        <v>0</v>
      </c>
      <c r="AV295" s="28">
        <f t="shared" si="228"/>
        <v>0</v>
      </c>
      <c r="AW295" s="28">
        <f t="shared" si="229"/>
        <v>0</v>
      </c>
      <c r="AX295" s="23">
        <f>HLOOKUP(YEAR(A295),Assumptions!$A$25:$AL$29,2,TRUE)/100</f>
        <v>1.1739999999999999E-2</v>
      </c>
      <c r="AY295" s="29">
        <f>1/(1+HLOOKUP(YEAR(A295),Assumptions!$A$18:$AL$20,3,TRUE))^(1/12)</f>
        <v>0.99902750864006262</v>
      </c>
      <c r="AZ295" s="26">
        <f t="shared" si="230"/>
        <v>0</v>
      </c>
      <c r="BA295">
        <f t="shared" si="231"/>
        <v>0</v>
      </c>
      <c r="BB295">
        <f t="shared" si="232"/>
        <v>0</v>
      </c>
      <c r="BC295">
        <f t="shared" si="233"/>
        <v>0</v>
      </c>
    </row>
    <row r="296" spans="1:55" x14ac:dyDescent="0.2">
      <c r="A296" s="3">
        <f t="shared" si="202"/>
        <v>51774</v>
      </c>
      <c r="B296">
        <f t="shared" si="198"/>
        <v>298</v>
      </c>
      <c r="C296">
        <f t="shared" si="241"/>
        <v>24.75</v>
      </c>
      <c r="D296">
        <f t="shared" si="242"/>
        <v>0</v>
      </c>
      <c r="E296">
        <f t="shared" si="199"/>
        <v>80</v>
      </c>
      <c r="F296">
        <f>IF(C296&gt;=$T$2,0,VLOOKUP($E296,'Mortality Table'!$A$3:$C$128,2+AF$2,FALSE))</f>
        <v>0</v>
      </c>
      <c r="G296">
        <f>F296*Assumptions!$B$1</f>
        <v>0</v>
      </c>
      <c r="H296">
        <f t="shared" si="203"/>
        <v>0</v>
      </c>
      <c r="I296">
        <f t="shared" si="236"/>
        <v>0</v>
      </c>
      <c r="J296">
        <f>IF(B296&gt;$AJ$2,0,HLOOKUP(C296,Assumptions!$A$6:$J$7,2,TRUE))</f>
        <v>0</v>
      </c>
      <c r="K296" s="4">
        <f t="shared" si="237"/>
        <v>0</v>
      </c>
      <c r="L296" s="4">
        <f t="shared" si="204"/>
        <v>0</v>
      </c>
      <c r="M296" s="4">
        <f t="shared" si="238"/>
        <v>0</v>
      </c>
      <c r="N296">
        <f t="shared" si="205"/>
        <v>0</v>
      </c>
      <c r="O296" s="21">
        <f t="shared" si="239"/>
        <v>0</v>
      </c>
      <c r="P296">
        <f>IF(B296&gt;$AJ$2,0,HLOOKUP(C296,Assumptions!$A$12:$J$13,2,TRUE))</f>
        <v>0</v>
      </c>
      <c r="Q296">
        <f t="shared" si="240"/>
        <v>0</v>
      </c>
      <c r="R296">
        <f t="shared" si="206"/>
        <v>0</v>
      </c>
      <c r="S296">
        <f t="shared" si="234"/>
        <v>0</v>
      </c>
      <c r="T296">
        <f t="shared" si="235"/>
        <v>0</v>
      </c>
      <c r="U296">
        <f t="shared" si="207"/>
        <v>0</v>
      </c>
      <c r="V296">
        <f t="shared" si="208"/>
        <v>0</v>
      </c>
      <c r="W296">
        <f t="shared" si="209"/>
        <v>0</v>
      </c>
      <c r="X296">
        <f t="shared" si="200"/>
        <v>0</v>
      </c>
      <c r="Y296">
        <f t="shared" si="210"/>
        <v>0</v>
      </c>
      <c r="Z296">
        <f t="shared" si="211"/>
        <v>0</v>
      </c>
      <c r="AA296">
        <f t="shared" si="212"/>
        <v>0</v>
      </c>
      <c r="AB296">
        <f t="shared" si="213"/>
        <v>0</v>
      </c>
      <c r="AC296" s="23">
        <f>IF(B296&gt;$AJ$2,0,HLOOKUP(YEAR(A296),Assumptions!$A$25:$AL$29,4,TRUE)/100)</f>
        <v>0</v>
      </c>
      <c r="AD296">
        <f t="shared" si="214"/>
        <v>0</v>
      </c>
      <c r="AE296">
        <f t="shared" si="215"/>
        <v>0</v>
      </c>
      <c r="AF296">
        <f t="shared" si="216"/>
        <v>0</v>
      </c>
      <c r="AG296">
        <f t="shared" si="217"/>
        <v>0</v>
      </c>
      <c r="AH296">
        <f t="shared" si="218"/>
        <v>0</v>
      </c>
      <c r="AI296">
        <f t="shared" si="219"/>
        <v>0</v>
      </c>
      <c r="AJ296">
        <f t="shared" si="220"/>
        <v>0</v>
      </c>
      <c r="AK296">
        <f t="shared" si="221"/>
        <v>0</v>
      </c>
      <c r="AL296">
        <f t="shared" si="222"/>
        <v>0</v>
      </c>
      <c r="AM296">
        <f t="shared" si="201"/>
        <v>0</v>
      </c>
      <c r="AN296">
        <f>IF($S$2=0,0,(SUMPRODUCT($K$2:$R$2,Assumptions!$B$34:$I$34)/$U$2+$J$2/$U$2*Assumptions!$A$34*G296)*K296*O295)</f>
        <v>0</v>
      </c>
      <c r="AO296">
        <f t="shared" si="223"/>
        <v>0</v>
      </c>
      <c r="AP296">
        <f t="shared" si="224"/>
        <v>0</v>
      </c>
      <c r="AQ296">
        <f>IF(B296&gt;$AJ$2,0,AQ295*(1+Assumptions!$B$43)^(1/12))</f>
        <v>0</v>
      </c>
      <c r="AR296" s="27">
        <f>IF(B296&gt;$AJ$2,0,(O295+R295)*Assumptions!$B$39/12*AQ295+AV296*Assumptions!$B$41/12)</f>
        <v>0</v>
      </c>
      <c r="AS296">
        <f t="shared" si="225"/>
        <v>0</v>
      </c>
      <c r="AT296" s="28">
        <f t="shared" si="226"/>
        <v>0</v>
      </c>
      <c r="AU296">
        <f t="shared" si="227"/>
        <v>0</v>
      </c>
      <c r="AV296" s="28">
        <f t="shared" si="228"/>
        <v>0</v>
      </c>
      <c r="AW296" s="28">
        <f t="shared" si="229"/>
        <v>0</v>
      </c>
      <c r="AX296" s="23">
        <f>HLOOKUP(YEAR(A296),Assumptions!$A$25:$AL$29,2,TRUE)/100</f>
        <v>1.1739999999999999E-2</v>
      </c>
      <c r="AY296" s="29">
        <f>1/(1+HLOOKUP(YEAR(A296),Assumptions!$A$18:$AL$20,3,TRUE))^(1/12)</f>
        <v>0.99902750864006262</v>
      </c>
      <c r="AZ296" s="26">
        <f t="shared" si="230"/>
        <v>0</v>
      </c>
      <c r="BA296">
        <f t="shared" si="231"/>
        <v>0</v>
      </c>
      <c r="BB296">
        <f t="shared" si="232"/>
        <v>0</v>
      </c>
      <c r="BC296">
        <f t="shared" si="233"/>
        <v>0</v>
      </c>
    </row>
    <row r="297" spans="1:55" x14ac:dyDescent="0.2">
      <c r="A297" s="3">
        <f t="shared" si="202"/>
        <v>51805</v>
      </c>
      <c r="B297">
        <f t="shared" si="198"/>
        <v>299</v>
      </c>
      <c r="C297">
        <f t="shared" si="241"/>
        <v>24.833333333333332</v>
      </c>
      <c r="D297">
        <f t="shared" si="242"/>
        <v>0</v>
      </c>
      <c r="E297">
        <f t="shared" si="199"/>
        <v>80</v>
      </c>
      <c r="F297">
        <f>IF(C297&gt;=$T$2,0,VLOOKUP($E297,'Mortality Table'!$A$3:$C$128,2+AF$2,FALSE))</f>
        <v>0</v>
      </c>
      <c r="G297">
        <f>F297*Assumptions!$B$1</f>
        <v>0</v>
      </c>
      <c r="H297">
        <f t="shared" si="203"/>
        <v>0</v>
      </c>
      <c r="I297">
        <f t="shared" si="236"/>
        <v>0</v>
      </c>
      <c r="J297">
        <f>IF(B297&gt;$AJ$2,0,HLOOKUP(C297,Assumptions!$A$6:$J$7,2,TRUE))</f>
        <v>0</v>
      </c>
      <c r="K297" s="4">
        <f t="shared" si="237"/>
        <v>0</v>
      </c>
      <c r="L297" s="4">
        <f t="shared" si="204"/>
        <v>0</v>
      </c>
      <c r="M297" s="4">
        <f t="shared" si="238"/>
        <v>0</v>
      </c>
      <c r="N297">
        <f t="shared" si="205"/>
        <v>0</v>
      </c>
      <c r="O297" s="21">
        <f t="shared" si="239"/>
        <v>0</v>
      </c>
      <c r="P297">
        <f>IF(B297&gt;$AJ$2,0,HLOOKUP(C297,Assumptions!$A$12:$J$13,2,TRUE))</f>
        <v>0</v>
      </c>
      <c r="Q297">
        <f t="shared" si="240"/>
        <v>0</v>
      </c>
      <c r="R297">
        <f t="shared" si="206"/>
        <v>0</v>
      </c>
      <c r="S297">
        <f t="shared" si="234"/>
        <v>0</v>
      </c>
      <c r="T297">
        <f t="shared" si="235"/>
        <v>0</v>
      </c>
      <c r="U297">
        <f t="shared" si="207"/>
        <v>0</v>
      </c>
      <c r="V297">
        <f t="shared" si="208"/>
        <v>0</v>
      </c>
      <c r="W297">
        <f t="shared" si="209"/>
        <v>0</v>
      </c>
      <c r="X297">
        <f t="shared" si="200"/>
        <v>0</v>
      </c>
      <c r="Y297">
        <f t="shared" si="210"/>
        <v>0</v>
      </c>
      <c r="Z297">
        <f t="shared" si="211"/>
        <v>0</v>
      </c>
      <c r="AA297">
        <f t="shared" si="212"/>
        <v>0</v>
      </c>
      <c r="AB297">
        <f t="shared" si="213"/>
        <v>0</v>
      </c>
      <c r="AC297" s="23">
        <f>IF(B297&gt;$AJ$2,0,HLOOKUP(YEAR(A297),Assumptions!$A$25:$AL$29,4,TRUE)/100)</f>
        <v>0</v>
      </c>
      <c r="AD297">
        <f t="shared" si="214"/>
        <v>0</v>
      </c>
      <c r="AE297">
        <f t="shared" si="215"/>
        <v>0</v>
      </c>
      <c r="AF297">
        <f t="shared" si="216"/>
        <v>0</v>
      </c>
      <c r="AG297">
        <f t="shared" si="217"/>
        <v>0</v>
      </c>
      <c r="AH297">
        <f t="shared" si="218"/>
        <v>0</v>
      </c>
      <c r="AI297">
        <f t="shared" si="219"/>
        <v>0</v>
      </c>
      <c r="AJ297">
        <f t="shared" si="220"/>
        <v>0</v>
      </c>
      <c r="AK297">
        <f t="shared" si="221"/>
        <v>0</v>
      </c>
      <c r="AL297">
        <f t="shared" si="222"/>
        <v>0</v>
      </c>
      <c r="AM297">
        <f t="shared" si="201"/>
        <v>0</v>
      </c>
      <c r="AN297">
        <f>IF($S$2=0,0,(SUMPRODUCT($K$2:$R$2,Assumptions!$B$34:$I$34)/$U$2+$J$2/$U$2*Assumptions!$A$34*G297)*K297*O296)</f>
        <v>0</v>
      </c>
      <c r="AO297">
        <f t="shared" si="223"/>
        <v>0</v>
      </c>
      <c r="AP297">
        <f t="shared" si="224"/>
        <v>0</v>
      </c>
      <c r="AQ297">
        <f>IF(B297&gt;$AJ$2,0,AQ296*(1+Assumptions!$B$43)^(1/12))</f>
        <v>0</v>
      </c>
      <c r="AR297" s="27">
        <f>IF(B297&gt;$AJ$2,0,(O296+R296)*Assumptions!$B$39/12*AQ296+AV297*Assumptions!$B$41/12)</f>
        <v>0</v>
      </c>
      <c r="AS297">
        <f t="shared" si="225"/>
        <v>0</v>
      </c>
      <c r="AT297" s="28">
        <f t="shared" si="226"/>
        <v>0</v>
      </c>
      <c r="AU297">
        <f t="shared" si="227"/>
        <v>0</v>
      </c>
      <c r="AV297" s="28">
        <f t="shared" si="228"/>
        <v>0</v>
      </c>
      <c r="AW297" s="28">
        <f t="shared" si="229"/>
        <v>0</v>
      </c>
      <c r="AX297" s="23">
        <f>HLOOKUP(YEAR(A297),Assumptions!$A$25:$AL$29,2,TRUE)/100</f>
        <v>1.1739999999999999E-2</v>
      </c>
      <c r="AY297" s="29">
        <f>1/(1+HLOOKUP(YEAR(A297),Assumptions!$A$18:$AL$20,3,TRUE))^(1/12)</f>
        <v>0.99902750864006262</v>
      </c>
      <c r="AZ297" s="26">
        <f t="shared" si="230"/>
        <v>0</v>
      </c>
      <c r="BA297">
        <f t="shared" si="231"/>
        <v>0</v>
      </c>
      <c r="BB297">
        <f t="shared" si="232"/>
        <v>0</v>
      </c>
      <c r="BC297">
        <f t="shared" si="233"/>
        <v>0</v>
      </c>
    </row>
    <row r="298" spans="1:55" x14ac:dyDescent="0.2">
      <c r="A298" s="3">
        <f t="shared" si="202"/>
        <v>51835</v>
      </c>
      <c r="B298">
        <f t="shared" si="198"/>
        <v>300</v>
      </c>
      <c r="C298">
        <f t="shared" si="241"/>
        <v>24.916666666666668</v>
      </c>
      <c r="D298">
        <f t="shared" si="242"/>
        <v>0</v>
      </c>
      <c r="E298">
        <f t="shared" si="199"/>
        <v>80</v>
      </c>
      <c r="F298">
        <f>IF(C298&gt;=$T$2,0,VLOOKUP($E298,'Mortality Table'!$A$3:$C$128,2+AF$2,FALSE))</f>
        <v>0</v>
      </c>
      <c r="G298">
        <f>F298*Assumptions!$B$1</f>
        <v>0</v>
      </c>
      <c r="H298">
        <f t="shared" si="203"/>
        <v>0</v>
      </c>
      <c r="I298">
        <f t="shared" si="236"/>
        <v>0</v>
      </c>
      <c r="J298">
        <f>IF(B298&gt;$AJ$2,0,HLOOKUP(C298,Assumptions!$A$6:$J$7,2,TRUE))</f>
        <v>0</v>
      </c>
      <c r="K298" s="4">
        <f t="shared" si="237"/>
        <v>0</v>
      </c>
      <c r="L298" s="4">
        <f t="shared" si="204"/>
        <v>0</v>
      </c>
      <c r="M298" s="4">
        <f t="shared" si="238"/>
        <v>0</v>
      </c>
      <c r="N298">
        <f t="shared" si="205"/>
        <v>0</v>
      </c>
      <c r="O298" s="21">
        <f t="shared" si="239"/>
        <v>0</v>
      </c>
      <c r="P298">
        <f>IF(B298&gt;$AJ$2,0,HLOOKUP(C298,Assumptions!$A$12:$J$13,2,TRUE))</f>
        <v>0</v>
      </c>
      <c r="Q298">
        <f t="shared" si="240"/>
        <v>0</v>
      </c>
      <c r="R298">
        <f t="shared" si="206"/>
        <v>0</v>
      </c>
      <c r="S298">
        <f t="shared" si="234"/>
        <v>0</v>
      </c>
      <c r="T298">
        <f t="shared" si="235"/>
        <v>0</v>
      </c>
      <c r="U298">
        <f t="shared" si="207"/>
        <v>0</v>
      </c>
      <c r="V298">
        <f t="shared" si="208"/>
        <v>0</v>
      </c>
      <c r="W298">
        <f t="shared" si="209"/>
        <v>0</v>
      </c>
      <c r="X298">
        <f t="shared" si="200"/>
        <v>0</v>
      </c>
      <c r="Y298">
        <f t="shared" si="210"/>
        <v>0</v>
      </c>
      <c r="Z298">
        <f t="shared" si="211"/>
        <v>0</v>
      </c>
      <c r="AA298">
        <f t="shared" si="212"/>
        <v>0</v>
      </c>
      <c r="AB298">
        <f t="shared" si="213"/>
        <v>0</v>
      </c>
      <c r="AC298" s="23">
        <f>IF(B298&gt;$AJ$2,0,HLOOKUP(YEAR(A298),Assumptions!$A$25:$AL$29,4,TRUE)/100)</f>
        <v>0</v>
      </c>
      <c r="AD298">
        <f t="shared" si="214"/>
        <v>0</v>
      </c>
      <c r="AE298">
        <f t="shared" si="215"/>
        <v>0</v>
      </c>
      <c r="AF298">
        <f t="shared" si="216"/>
        <v>0</v>
      </c>
      <c r="AG298">
        <f t="shared" si="217"/>
        <v>0</v>
      </c>
      <c r="AH298">
        <f t="shared" si="218"/>
        <v>0</v>
      </c>
      <c r="AI298">
        <f t="shared" si="219"/>
        <v>0</v>
      </c>
      <c r="AJ298">
        <f t="shared" si="220"/>
        <v>0</v>
      </c>
      <c r="AK298">
        <f t="shared" si="221"/>
        <v>0</v>
      </c>
      <c r="AL298">
        <f t="shared" si="222"/>
        <v>0</v>
      </c>
      <c r="AM298">
        <f t="shared" si="201"/>
        <v>0</v>
      </c>
      <c r="AN298">
        <f>IF($S$2=0,0,(SUMPRODUCT($K$2:$R$2,Assumptions!$B$34:$I$34)/$U$2+$J$2/$U$2*Assumptions!$A$34*G298)*K298*O297)</f>
        <v>0</v>
      </c>
      <c r="AO298">
        <f t="shared" si="223"/>
        <v>0</v>
      </c>
      <c r="AP298">
        <f t="shared" si="224"/>
        <v>0</v>
      </c>
      <c r="AQ298">
        <f>IF(B298&gt;$AJ$2,0,AQ297*(1+Assumptions!$B$43)^(1/12))</f>
        <v>0</v>
      </c>
      <c r="AR298" s="27">
        <f>IF(B298&gt;$AJ$2,0,(O297+R297)*Assumptions!$B$39/12*AQ297+AV298*Assumptions!$B$41/12)</f>
        <v>0</v>
      </c>
      <c r="AS298">
        <f t="shared" si="225"/>
        <v>0</v>
      </c>
      <c r="AT298" s="28">
        <f t="shared" si="226"/>
        <v>0</v>
      </c>
      <c r="AU298">
        <f t="shared" si="227"/>
        <v>0</v>
      </c>
      <c r="AV298" s="28">
        <f t="shared" si="228"/>
        <v>0</v>
      </c>
      <c r="AW298" s="28">
        <f t="shared" si="229"/>
        <v>0</v>
      </c>
      <c r="AX298" s="23">
        <f>HLOOKUP(YEAR(A298),Assumptions!$A$25:$AL$29,2,TRUE)/100</f>
        <v>1.1739999999999999E-2</v>
      </c>
      <c r="AY298" s="29">
        <f>1/(1+HLOOKUP(YEAR(A298),Assumptions!$A$18:$AL$20,3,TRUE))^(1/12)</f>
        <v>0.99902750864006262</v>
      </c>
      <c r="AZ298" s="26">
        <f t="shared" si="230"/>
        <v>0</v>
      </c>
      <c r="BA298">
        <f t="shared" si="231"/>
        <v>0</v>
      </c>
      <c r="BB298">
        <f t="shared" si="232"/>
        <v>0</v>
      </c>
      <c r="BC298">
        <f t="shared" si="233"/>
        <v>0</v>
      </c>
    </row>
    <row r="299" spans="1:55" x14ac:dyDescent="0.2">
      <c r="A299" s="3">
        <f t="shared" si="202"/>
        <v>51866</v>
      </c>
      <c r="B299">
        <f t="shared" si="198"/>
        <v>301</v>
      </c>
      <c r="C299">
        <f t="shared" si="241"/>
        <v>25</v>
      </c>
      <c r="D299">
        <f t="shared" si="242"/>
        <v>1</v>
      </c>
      <c r="E299">
        <f t="shared" si="199"/>
        <v>81</v>
      </c>
      <c r="F299">
        <f>IF(C299&gt;=$T$2,0,VLOOKUP($E299,'Mortality Table'!$A$3:$C$128,2+AF$2,FALSE))</f>
        <v>0</v>
      </c>
      <c r="G299">
        <f>F299*Assumptions!$B$1</f>
        <v>0</v>
      </c>
      <c r="H299">
        <f t="shared" si="203"/>
        <v>0</v>
      </c>
      <c r="I299">
        <f t="shared" si="236"/>
        <v>0</v>
      </c>
      <c r="J299">
        <f>IF(B299&gt;$AJ$2,0,HLOOKUP(C299,Assumptions!$A$6:$J$7,2,TRUE))</f>
        <v>0</v>
      </c>
      <c r="K299" s="4">
        <f t="shared" si="237"/>
        <v>0</v>
      </c>
      <c r="L299" s="4">
        <f t="shared" si="204"/>
        <v>0</v>
      </c>
      <c r="M299" s="4">
        <f t="shared" si="238"/>
        <v>0</v>
      </c>
      <c r="N299">
        <f t="shared" si="205"/>
        <v>0</v>
      </c>
      <c r="O299" s="21">
        <f t="shared" si="239"/>
        <v>0</v>
      </c>
      <c r="P299">
        <f>IF(B299&gt;$AJ$2,0,HLOOKUP(C299,Assumptions!$A$12:$J$13,2,TRUE))</f>
        <v>0</v>
      </c>
      <c r="Q299">
        <f t="shared" si="240"/>
        <v>0</v>
      </c>
      <c r="R299">
        <f t="shared" si="206"/>
        <v>0</v>
      </c>
      <c r="S299">
        <f t="shared" si="234"/>
        <v>0</v>
      </c>
      <c r="T299">
        <f t="shared" si="235"/>
        <v>0</v>
      </c>
      <c r="U299">
        <f t="shared" si="207"/>
        <v>0</v>
      </c>
      <c r="V299">
        <f t="shared" si="208"/>
        <v>0</v>
      </c>
      <c r="W299">
        <f t="shared" si="209"/>
        <v>0</v>
      </c>
      <c r="X299">
        <f t="shared" si="200"/>
        <v>0</v>
      </c>
      <c r="Y299">
        <f t="shared" si="210"/>
        <v>0</v>
      </c>
      <c r="Z299">
        <f t="shared" si="211"/>
        <v>0</v>
      </c>
      <c r="AA299">
        <f t="shared" si="212"/>
        <v>0</v>
      </c>
      <c r="AB299">
        <f t="shared" si="213"/>
        <v>0</v>
      </c>
      <c r="AC299" s="23">
        <f>IF(B299&gt;$AJ$2,0,HLOOKUP(YEAR(A299),Assumptions!$A$25:$AL$29,4,TRUE)/100)</f>
        <v>0</v>
      </c>
      <c r="AD299">
        <f t="shared" si="214"/>
        <v>0</v>
      </c>
      <c r="AE299">
        <f t="shared" si="215"/>
        <v>0</v>
      </c>
      <c r="AF299">
        <f t="shared" si="216"/>
        <v>0</v>
      </c>
      <c r="AG299">
        <f t="shared" si="217"/>
        <v>0</v>
      </c>
      <c r="AH299">
        <f t="shared" si="218"/>
        <v>0</v>
      </c>
      <c r="AI299">
        <f t="shared" si="219"/>
        <v>0</v>
      </c>
      <c r="AJ299">
        <f t="shared" si="220"/>
        <v>0</v>
      </c>
      <c r="AK299">
        <f t="shared" si="221"/>
        <v>0</v>
      </c>
      <c r="AL299">
        <f t="shared" si="222"/>
        <v>0</v>
      </c>
      <c r="AM299">
        <f t="shared" si="201"/>
        <v>0</v>
      </c>
      <c r="AN299">
        <f>IF($S$2=0,0,(SUMPRODUCT($K$2:$R$2,Assumptions!$B$34:$I$34)/$U$2+$J$2/$U$2*Assumptions!$A$34*G299)*K299*O298)</f>
        <v>0</v>
      </c>
      <c r="AO299">
        <f t="shared" si="223"/>
        <v>0</v>
      </c>
      <c r="AP299">
        <f t="shared" si="224"/>
        <v>0</v>
      </c>
      <c r="AQ299">
        <f>IF(B299&gt;$AJ$2,0,AQ298*(1+Assumptions!$B$43)^(1/12))</f>
        <v>0</v>
      </c>
      <c r="AR299" s="27">
        <f>IF(B299&gt;$AJ$2,0,(O298+R298)*Assumptions!$B$39/12*AQ298+AV299*Assumptions!$B$41/12)</f>
        <v>0</v>
      </c>
      <c r="AS299">
        <f t="shared" si="225"/>
        <v>0</v>
      </c>
      <c r="AT299" s="28">
        <f t="shared" si="226"/>
        <v>0</v>
      </c>
      <c r="AU299">
        <f t="shared" si="227"/>
        <v>0</v>
      </c>
      <c r="AV299" s="28">
        <f t="shared" si="228"/>
        <v>0</v>
      </c>
      <c r="AW299" s="28">
        <f t="shared" si="229"/>
        <v>0</v>
      </c>
      <c r="AX299" s="23">
        <f>HLOOKUP(YEAR(A299),Assumptions!$A$25:$AL$29,2,TRUE)/100</f>
        <v>1.1739999999999999E-2</v>
      </c>
      <c r="AY299" s="29">
        <f>1/(1+HLOOKUP(YEAR(A299),Assumptions!$A$18:$AL$20,3,TRUE))^(1/12)</f>
        <v>0.99902750864006262</v>
      </c>
      <c r="AZ299" s="26">
        <f t="shared" si="230"/>
        <v>0</v>
      </c>
      <c r="BA299">
        <f t="shared" si="231"/>
        <v>0</v>
      </c>
      <c r="BB299">
        <f t="shared" si="232"/>
        <v>0</v>
      </c>
      <c r="BC299">
        <f t="shared" si="233"/>
        <v>0</v>
      </c>
    </row>
    <row r="300" spans="1:55" x14ac:dyDescent="0.2">
      <c r="A300" s="3">
        <f t="shared" si="202"/>
        <v>51897</v>
      </c>
      <c r="B300">
        <f t="shared" si="198"/>
        <v>302</v>
      </c>
      <c r="C300">
        <f t="shared" si="241"/>
        <v>25.083333333333332</v>
      </c>
      <c r="D300">
        <f t="shared" si="242"/>
        <v>0</v>
      </c>
      <c r="E300">
        <f t="shared" si="199"/>
        <v>81</v>
      </c>
      <c r="F300">
        <f>IF(C300&gt;=$T$2,0,VLOOKUP($E300,'Mortality Table'!$A$3:$C$128,2+AF$2,FALSE))</f>
        <v>0</v>
      </c>
      <c r="G300">
        <f>F300*Assumptions!$B$1</f>
        <v>0</v>
      </c>
      <c r="H300">
        <f t="shared" si="203"/>
        <v>0</v>
      </c>
      <c r="I300">
        <f t="shared" si="236"/>
        <v>0</v>
      </c>
      <c r="J300">
        <f>IF(B300&gt;$AJ$2,0,HLOOKUP(C300,Assumptions!$A$6:$J$7,2,TRUE))</f>
        <v>0</v>
      </c>
      <c r="K300" s="4">
        <f t="shared" si="237"/>
        <v>0</v>
      </c>
      <c r="L300" s="4">
        <f t="shared" si="204"/>
        <v>0</v>
      </c>
      <c r="M300" s="4">
        <f t="shared" si="238"/>
        <v>0</v>
      </c>
      <c r="N300">
        <f t="shared" si="205"/>
        <v>0</v>
      </c>
      <c r="O300" s="21">
        <f t="shared" si="239"/>
        <v>0</v>
      </c>
      <c r="P300">
        <f>IF(B300&gt;$AJ$2,0,HLOOKUP(C300,Assumptions!$A$12:$J$13,2,TRUE))</f>
        <v>0</v>
      </c>
      <c r="Q300">
        <f t="shared" si="240"/>
        <v>0</v>
      </c>
      <c r="R300">
        <f t="shared" si="206"/>
        <v>0</v>
      </c>
      <c r="S300">
        <f t="shared" si="234"/>
        <v>0</v>
      </c>
      <c r="T300">
        <f t="shared" si="235"/>
        <v>0</v>
      </c>
      <c r="U300">
        <f t="shared" si="207"/>
        <v>0</v>
      </c>
      <c r="V300">
        <f t="shared" si="208"/>
        <v>0</v>
      </c>
      <c r="W300">
        <f t="shared" si="209"/>
        <v>0</v>
      </c>
      <c r="X300">
        <f t="shared" si="200"/>
        <v>0</v>
      </c>
      <c r="Y300">
        <f t="shared" si="210"/>
        <v>0</v>
      </c>
      <c r="Z300">
        <f t="shared" si="211"/>
        <v>0</v>
      </c>
      <c r="AA300">
        <f t="shared" si="212"/>
        <v>0</v>
      </c>
      <c r="AB300">
        <f t="shared" si="213"/>
        <v>0</v>
      </c>
      <c r="AC300" s="23">
        <f>IF(B300&gt;$AJ$2,0,HLOOKUP(YEAR(A300),Assumptions!$A$25:$AL$29,4,TRUE)/100)</f>
        <v>0</v>
      </c>
      <c r="AD300">
        <f t="shared" si="214"/>
        <v>0</v>
      </c>
      <c r="AE300">
        <f t="shared" si="215"/>
        <v>0</v>
      </c>
      <c r="AF300">
        <f t="shared" si="216"/>
        <v>0</v>
      </c>
      <c r="AG300">
        <f t="shared" si="217"/>
        <v>0</v>
      </c>
      <c r="AH300">
        <f t="shared" si="218"/>
        <v>0</v>
      </c>
      <c r="AI300">
        <f t="shared" si="219"/>
        <v>0</v>
      </c>
      <c r="AJ300">
        <f t="shared" si="220"/>
        <v>0</v>
      </c>
      <c r="AK300">
        <f t="shared" si="221"/>
        <v>0</v>
      </c>
      <c r="AL300">
        <f t="shared" si="222"/>
        <v>0</v>
      </c>
      <c r="AM300">
        <f t="shared" si="201"/>
        <v>0</v>
      </c>
      <c r="AN300">
        <f>IF($S$2=0,0,(SUMPRODUCT($K$2:$R$2,Assumptions!$B$34:$I$34)/$U$2+$J$2/$U$2*Assumptions!$A$34*G300)*K300*O299)</f>
        <v>0</v>
      </c>
      <c r="AO300">
        <f t="shared" si="223"/>
        <v>0</v>
      </c>
      <c r="AP300">
        <f t="shared" si="224"/>
        <v>0</v>
      </c>
      <c r="AQ300">
        <f>IF(B300&gt;$AJ$2,0,AQ299*(1+Assumptions!$B$43)^(1/12))</f>
        <v>0</v>
      </c>
      <c r="AR300" s="27">
        <f>IF(B300&gt;$AJ$2,0,(O299+R299)*Assumptions!$B$39/12*AQ299+AV300*Assumptions!$B$41/12)</f>
        <v>0</v>
      </c>
      <c r="AS300">
        <f t="shared" si="225"/>
        <v>0</v>
      </c>
      <c r="AT300" s="28">
        <f t="shared" si="226"/>
        <v>0</v>
      </c>
      <c r="AU300">
        <f t="shared" si="227"/>
        <v>0</v>
      </c>
      <c r="AV300" s="28">
        <f t="shared" si="228"/>
        <v>0</v>
      </c>
      <c r="AW300" s="28">
        <f t="shared" si="229"/>
        <v>0</v>
      </c>
      <c r="AX300" s="23">
        <f>HLOOKUP(YEAR(A300),Assumptions!$A$25:$AL$29,2,TRUE)/100</f>
        <v>1.1739999999999999E-2</v>
      </c>
      <c r="AY300" s="29">
        <f>1/(1+HLOOKUP(YEAR(A300),Assumptions!$A$18:$AL$20,3,TRUE))^(1/12)</f>
        <v>0.99902750864006262</v>
      </c>
      <c r="AZ300" s="26">
        <f t="shared" si="230"/>
        <v>0</v>
      </c>
      <c r="BA300">
        <f t="shared" si="231"/>
        <v>0</v>
      </c>
      <c r="BB300">
        <f t="shared" si="232"/>
        <v>0</v>
      </c>
      <c r="BC300">
        <f t="shared" si="233"/>
        <v>0</v>
      </c>
    </row>
    <row r="301" spans="1:55" x14ac:dyDescent="0.2">
      <c r="A301" s="3">
        <f t="shared" si="202"/>
        <v>51925</v>
      </c>
      <c r="B301">
        <f t="shared" si="198"/>
        <v>303</v>
      </c>
      <c r="C301">
        <f t="shared" si="241"/>
        <v>25.166666666666668</v>
      </c>
      <c r="D301">
        <f t="shared" si="242"/>
        <v>0</v>
      </c>
      <c r="E301">
        <f t="shared" si="199"/>
        <v>81</v>
      </c>
      <c r="F301">
        <f>IF(C301&gt;=$T$2,0,VLOOKUP($E301,'Mortality Table'!$A$3:$C$128,2+AF$2,FALSE))</f>
        <v>0</v>
      </c>
      <c r="G301">
        <f>F301*Assumptions!$B$1</f>
        <v>0</v>
      </c>
      <c r="H301">
        <f t="shared" si="203"/>
        <v>0</v>
      </c>
      <c r="I301">
        <f t="shared" si="236"/>
        <v>0</v>
      </c>
      <c r="J301">
        <f>IF(B301&gt;$AJ$2,0,HLOOKUP(C301,Assumptions!$A$6:$J$7,2,TRUE))</f>
        <v>0</v>
      </c>
      <c r="K301" s="4">
        <f t="shared" si="237"/>
        <v>0</v>
      </c>
      <c r="L301" s="4">
        <f t="shared" si="204"/>
        <v>0</v>
      </c>
      <c r="M301" s="4">
        <f t="shared" si="238"/>
        <v>0</v>
      </c>
      <c r="N301">
        <f t="shared" si="205"/>
        <v>0</v>
      </c>
      <c r="O301" s="21">
        <f t="shared" si="239"/>
        <v>0</v>
      </c>
      <c r="P301">
        <f>IF(B301&gt;$AJ$2,0,HLOOKUP(C301,Assumptions!$A$12:$J$13,2,TRUE))</f>
        <v>0</v>
      </c>
      <c r="Q301">
        <f t="shared" si="240"/>
        <v>0</v>
      </c>
      <c r="R301">
        <f t="shared" si="206"/>
        <v>0</v>
      </c>
      <c r="S301">
        <f t="shared" si="234"/>
        <v>0</v>
      </c>
      <c r="T301">
        <f t="shared" si="235"/>
        <v>0</v>
      </c>
      <c r="U301">
        <f t="shared" si="207"/>
        <v>0</v>
      </c>
      <c r="V301">
        <f t="shared" si="208"/>
        <v>0</v>
      </c>
      <c r="W301">
        <f t="shared" si="209"/>
        <v>0</v>
      </c>
      <c r="X301">
        <f t="shared" si="200"/>
        <v>0</v>
      </c>
      <c r="Y301">
        <f t="shared" si="210"/>
        <v>0</v>
      </c>
      <c r="Z301">
        <f t="shared" si="211"/>
        <v>0</v>
      </c>
      <c r="AA301">
        <f t="shared" si="212"/>
        <v>0</v>
      </c>
      <c r="AB301">
        <f t="shared" si="213"/>
        <v>0</v>
      </c>
      <c r="AC301" s="23">
        <f>IF(B301&gt;$AJ$2,0,HLOOKUP(YEAR(A301),Assumptions!$A$25:$AL$29,4,TRUE)/100)</f>
        <v>0</v>
      </c>
      <c r="AD301">
        <f t="shared" si="214"/>
        <v>0</v>
      </c>
      <c r="AE301">
        <f t="shared" si="215"/>
        <v>0</v>
      </c>
      <c r="AF301">
        <f t="shared" si="216"/>
        <v>0</v>
      </c>
      <c r="AG301">
        <f t="shared" si="217"/>
        <v>0</v>
      </c>
      <c r="AH301">
        <f t="shared" si="218"/>
        <v>0</v>
      </c>
      <c r="AI301">
        <f t="shared" si="219"/>
        <v>0</v>
      </c>
      <c r="AJ301">
        <f t="shared" si="220"/>
        <v>0</v>
      </c>
      <c r="AK301">
        <f t="shared" si="221"/>
        <v>0</v>
      </c>
      <c r="AL301">
        <f t="shared" si="222"/>
        <v>0</v>
      </c>
      <c r="AM301">
        <f t="shared" si="201"/>
        <v>0</v>
      </c>
      <c r="AN301">
        <f>IF($S$2=0,0,(SUMPRODUCT($K$2:$R$2,Assumptions!$B$34:$I$34)/$U$2+$J$2/$U$2*Assumptions!$A$34*G301)*K301*O300)</f>
        <v>0</v>
      </c>
      <c r="AO301">
        <f t="shared" si="223"/>
        <v>0</v>
      </c>
      <c r="AP301">
        <f t="shared" si="224"/>
        <v>0</v>
      </c>
      <c r="AQ301">
        <f>IF(B301&gt;$AJ$2,0,AQ300*(1+Assumptions!$B$43)^(1/12))</f>
        <v>0</v>
      </c>
      <c r="AR301" s="27">
        <f>IF(B301&gt;$AJ$2,0,(O300+R300)*Assumptions!$B$39/12*AQ300+AV301*Assumptions!$B$41/12)</f>
        <v>0</v>
      </c>
      <c r="AS301">
        <f t="shared" si="225"/>
        <v>0</v>
      </c>
      <c r="AT301" s="28">
        <f t="shared" si="226"/>
        <v>0</v>
      </c>
      <c r="AU301">
        <f t="shared" si="227"/>
        <v>0</v>
      </c>
      <c r="AV301" s="28">
        <f t="shared" si="228"/>
        <v>0</v>
      </c>
      <c r="AW301" s="28">
        <f t="shared" si="229"/>
        <v>0</v>
      </c>
      <c r="AX301" s="23">
        <f>HLOOKUP(YEAR(A301),Assumptions!$A$25:$AL$29,2,TRUE)/100</f>
        <v>1.1739999999999999E-2</v>
      </c>
      <c r="AY301" s="29">
        <f>1/(1+HLOOKUP(YEAR(A301),Assumptions!$A$18:$AL$20,3,TRUE))^(1/12)</f>
        <v>0.99902750864006262</v>
      </c>
      <c r="AZ301" s="26">
        <f t="shared" si="230"/>
        <v>0</v>
      </c>
      <c r="BA301">
        <f t="shared" si="231"/>
        <v>0</v>
      </c>
      <c r="BB301">
        <f t="shared" si="232"/>
        <v>0</v>
      </c>
      <c r="BC301">
        <f t="shared" si="233"/>
        <v>0</v>
      </c>
    </row>
    <row r="302" spans="1:55" x14ac:dyDescent="0.2">
      <c r="A302" s="3">
        <f t="shared" si="202"/>
        <v>51956</v>
      </c>
      <c r="B302">
        <f t="shared" si="198"/>
        <v>304</v>
      </c>
      <c r="C302">
        <f t="shared" si="241"/>
        <v>25.25</v>
      </c>
      <c r="D302">
        <f t="shared" si="242"/>
        <v>0</v>
      </c>
      <c r="E302">
        <f t="shared" si="199"/>
        <v>81</v>
      </c>
      <c r="F302">
        <f>IF(C302&gt;=$T$2,0,VLOOKUP($E302,'Mortality Table'!$A$3:$C$128,2+AF$2,FALSE))</f>
        <v>0</v>
      </c>
      <c r="G302">
        <f>F302*Assumptions!$B$1</f>
        <v>0</v>
      </c>
      <c r="H302">
        <f t="shared" si="203"/>
        <v>0</v>
      </c>
      <c r="I302">
        <f t="shared" si="236"/>
        <v>0</v>
      </c>
      <c r="J302">
        <f>IF(B302&gt;$AJ$2,0,HLOOKUP(C302,Assumptions!$A$6:$J$7,2,TRUE))</f>
        <v>0</v>
      </c>
      <c r="K302" s="4">
        <f t="shared" si="237"/>
        <v>0</v>
      </c>
      <c r="L302" s="4">
        <f t="shared" si="204"/>
        <v>0</v>
      </c>
      <c r="M302" s="4">
        <f t="shared" si="238"/>
        <v>0</v>
      </c>
      <c r="N302">
        <f t="shared" si="205"/>
        <v>0</v>
      </c>
      <c r="O302" s="21">
        <f t="shared" si="239"/>
        <v>0</v>
      </c>
      <c r="P302">
        <f>IF(B302&gt;$AJ$2,0,HLOOKUP(C302,Assumptions!$A$12:$J$13,2,TRUE))</f>
        <v>0</v>
      </c>
      <c r="Q302">
        <f t="shared" si="240"/>
        <v>0</v>
      </c>
      <c r="R302">
        <f t="shared" si="206"/>
        <v>0</v>
      </c>
      <c r="S302">
        <f t="shared" si="234"/>
        <v>0</v>
      </c>
      <c r="T302">
        <f t="shared" si="235"/>
        <v>0</v>
      </c>
      <c r="U302">
        <f t="shared" si="207"/>
        <v>0</v>
      </c>
      <c r="V302">
        <f t="shared" si="208"/>
        <v>0</v>
      </c>
      <c r="W302">
        <f t="shared" si="209"/>
        <v>0</v>
      </c>
      <c r="X302">
        <f t="shared" si="200"/>
        <v>0</v>
      </c>
      <c r="Y302">
        <f t="shared" si="210"/>
        <v>0</v>
      </c>
      <c r="Z302">
        <f t="shared" si="211"/>
        <v>0</v>
      </c>
      <c r="AA302">
        <f t="shared" si="212"/>
        <v>0</v>
      </c>
      <c r="AB302">
        <f t="shared" si="213"/>
        <v>0</v>
      </c>
      <c r="AC302" s="23">
        <f>IF(B302&gt;$AJ$2,0,HLOOKUP(YEAR(A302),Assumptions!$A$25:$AL$29,4,TRUE)/100)</f>
        <v>0</v>
      </c>
      <c r="AD302">
        <f t="shared" si="214"/>
        <v>0</v>
      </c>
      <c r="AE302">
        <f t="shared" si="215"/>
        <v>0</v>
      </c>
      <c r="AF302">
        <f t="shared" si="216"/>
        <v>0</v>
      </c>
      <c r="AG302">
        <f t="shared" si="217"/>
        <v>0</v>
      </c>
      <c r="AH302">
        <f t="shared" si="218"/>
        <v>0</v>
      </c>
      <c r="AI302">
        <f t="shared" si="219"/>
        <v>0</v>
      </c>
      <c r="AJ302">
        <f t="shared" si="220"/>
        <v>0</v>
      </c>
      <c r="AK302">
        <f t="shared" si="221"/>
        <v>0</v>
      </c>
      <c r="AL302">
        <f t="shared" si="222"/>
        <v>0</v>
      </c>
      <c r="AM302">
        <f t="shared" si="201"/>
        <v>0</v>
      </c>
      <c r="AN302">
        <f>IF($S$2=0,0,(SUMPRODUCT($K$2:$R$2,Assumptions!$B$34:$I$34)/$U$2+$J$2/$U$2*Assumptions!$A$34*G302)*K302*O301)</f>
        <v>0</v>
      </c>
      <c r="AO302">
        <f t="shared" si="223"/>
        <v>0</v>
      </c>
      <c r="AP302">
        <f t="shared" si="224"/>
        <v>0</v>
      </c>
      <c r="AQ302">
        <f>IF(B302&gt;$AJ$2,0,AQ301*(1+Assumptions!$B$43)^(1/12))</f>
        <v>0</v>
      </c>
      <c r="AR302" s="27">
        <f>IF(B302&gt;$AJ$2,0,(O301+R301)*Assumptions!$B$39/12*AQ301+AV302*Assumptions!$B$41/12)</f>
        <v>0</v>
      </c>
      <c r="AS302">
        <f t="shared" si="225"/>
        <v>0</v>
      </c>
      <c r="AT302" s="28">
        <f t="shared" si="226"/>
        <v>0</v>
      </c>
      <c r="AU302">
        <f t="shared" si="227"/>
        <v>0</v>
      </c>
      <c r="AV302" s="28">
        <f t="shared" si="228"/>
        <v>0</v>
      </c>
      <c r="AW302" s="28">
        <f t="shared" si="229"/>
        <v>0</v>
      </c>
      <c r="AX302" s="23">
        <f>HLOOKUP(YEAR(A302),Assumptions!$A$25:$AL$29,2,TRUE)/100</f>
        <v>1.1739999999999999E-2</v>
      </c>
      <c r="AY302" s="29">
        <f>1/(1+HLOOKUP(YEAR(A302),Assumptions!$A$18:$AL$20,3,TRUE))^(1/12)</f>
        <v>0.99902750864006262</v>
      </c>
      <c r="AZ302" s="26">
        <f t="shared" si="230"/>
        <v>0</v>
      </c>
      <c r="BA302">
        <f t="shared" si="231"/>
        <v>0</v>
      </c>
      <c r="BB302">
        <f t="shared" si="232"/>
        <v>0</v>
      </c>
      <c r="BC302">
        <f t="shared" si="233"/>
        <v>0</v>
      </c>
    </row>
    <row r="303" spans="1:55" x14ac:dyDescent="0.2">
      <c r="A303" s="3">
        <f t="shared" si="202"/>
        <v>51986</v>
      </c>
      <c r="B303">
        <f t="shared" si="198"/>
        <v>305</v>
      </c>
      <c r="C303">
        <f t="shared" si="241"/>
        <v>25.333333333333332</v>
      </c>
      <c r="D303">
        <f t="shared" si="242"/>
        <v>0</v>
      </c>
      <c r="E303">
        <f t="shared" si="199"/>
        <v>81</v>
      </c>
      <c r="F303">
        <f>IF(C303&gt;=$T$2,0,VLOOKUP($E303,'Mortality Table'!$A$3:$C$128,2+AF$2,FALSE))</f>
        <v>0</v>
      </c>
      <c r="G303">
        <f>F303*Assumptions!$B$1</f>
        <v>0</v>
      </c>
      <c r="H303">
        <f t="shared" si="203"/>
        <v>0</v>
      </c>
      <c r="I303">
        <f t="shared" si="236"/>
        <v>0</v>
      </c>
      <c r="J303">
        <f>IF(B303&gt;$AJ$2,0,HLOOKUP(C303,Assumptions!$A$6:$J$7,2,TRUE))</f>
        <v>0</v>
      </c>
      <c r="K303" s="4">
        <f t="shared" si="237"/>
        <v>0</v>
      </c>
      <c r="L303" s="4">
        <f t="shared" si="204"/>
        <v>0</v>
      </c>
      <c r="M303" s="4">
        <f t="shared" si="238"/>
        <v>0</v>
      </c>
      <c r="N303">
        <f t="shared" si="205"/>
        <v>0</v>
      </c>
      <c r="O303" s="21">
        <f t="shared" si="239"/>
        <v>0</v>
      </c>
      <c r="P303">
        <f>IF(B303&gt;$AJ$2,0,HLOOKUP(C303,Assumptions!$A$12:$J$13,2,TRUE))</f>
        <v>0</v>
      </c>
      <c r="Q303">
        <f t="shared" si="240"/>
        <v>0</v>
      </c>
      <c r="R303">
        <f t="shared" si="206"/>
        <v>0</v>
      </c>
      <c r="S303">
        <f t="shared" si="234"/>
        <v>0</v>
      </c>
      <c r="T303">
        <f t="shared" si="235"/>
        <v>0</v>
      </c>
      <c r="U303">
        <f t="shared" si="207"/>
        <v>0</v>
      </c>
      <c r="V303">
        <f t="shared" si="208"/>
        <v>0</v>
      </c>
      <c r="W303">
        <f t="shared" si="209"/>
        <v>0</v>
      </c>
      <c r="X303">
        <f t="shared" si="200"/>
        <v>0</v>
      </c>
      <c r="Y303">
        <f t="shared" si="210"/>
        <v>0</v>
      </c>
      <c r="Z303">
        <f t="shared" si="211"/>
        <v>0</v>
      </c>
      <c r="AA303">
        <f t="shared" si="212"/>
        <v>0</v>
      </c>
      <c r="AB303">
        <f t="shared" si="213"/>
        <v>0</v>
      </c>
      <c r="AC303" s="23">
        <f>IF(B303&gt;$AJ$2,0,HLOOKUP(YEAR(A303),Assumptions!$A$25:$AL$29,4,TRUE)/100)</f>
        <v>0</v>
      </c>
      <c r="AD303">
        <f t="shared" si="214"/>
        <v>0</v>
      </c>
      <c r="AE303">
        <f t="shared" si="215"/>
        <v>0</v>
      </c>
      <c r="AF303">
        <f t="shared" si="216"/>
        <v>0</v>
      </c>
      <c r="AG303">
        <f t="shared" si="217"/>
        <v>0</v>
      </c>
      <c r="AH303">
        <f t="shared" si="218"/>
        <v>0</v>
      </c>
      <c r="AI303">
        <f t="shared" si="219"/>
        <v>0</v>
      </c>
      <c r="AJ303">
        <f t="shared" si="220"/>
        <v>0</v>
      </c>
      <c r="AK303">
        <f t="shared" si="221"/>
        <v>0</v>
      </c>
      <c r="AL303">
        <f t="shared" si="222"/>
        <v>0</v>
      </c>
      <c r="AM303">
        <f t="shared" si="201"/>
        <v>0</v>
      </c>
      <c r="AN303">
        <f>IF($S$2=0,0,(SUMPRODUCT($K$2:$R$2,Assumptions!$B$34:$I$34)/$U$2+$J$2/$U$2*Assumptions!$A$34*G303)*K303*O302)</f>
        <v>0</v>
      </c>
      <c r="AO303">
        <f t="shared" si="223"/>
        <v>0</v>
      </c>
      <c r="AP303">
        <f t="shared" si="224"/>
        <v>0</v>
      </c>
      <c r="AQ303">
        <f>IF(B303&gt;$AJ$2,0,AQ302*(1+Assumptions!$B$43)^(1/12))</f>
        <v>0</v>
      </c>
      <c r="AR303" s="27">
        <f>IF(B303&gt;$AJ$2,0,(O302+R302)*Assumptions!$B$39/12*AQ302+AV303*Assumptions!$B$41/12)</f>
        <v>0</v>
      </c>
      <c r="AS303">
        <f t="shared" si="225"/>
        <v>0</v>
      </c>
      <c r="AT303" s="28">
        <f t="shared" si="226"/>
        <v>0</v>
      </c>
      <c r="AU303">
        <f t="shared" si="227"/>
        <v>0</v>
      </c>
      <c r="AV303" s="28">
        <f t="shared" si="228"/>
        <v>0</v>
      </c>
      <c r="AW303" s="28">
        <f t="shared" si="229"/>
        <v>0</v>
      </c>
      <c r="AX303" s="23">
        <f>HLOOKUP(YEAR(A303),Assumptions!$A$25:$AL$29,2,TRUE)/100</f>
        <v>1.1739999999999999E-2</v>
      </c>
      <c r="AY303" s="29">
        <f>1/(1+HLOOKUP(YEAR(A303),Assumptions!$A$18:$AL$20,3,TRUE))^(1/12)</f>
        <v>0.99902750864006262</v>
      </c>
      <c r="AZ303" s="26">
        <f t="shared" si="230"/>
        <v>0</v>
      </c>
      <c r="BA303">
        <f t="shared" si="231"/>
        <v>0</v>
      </c>
      <c r="BB303">
        <f t="shared" si="232"/>
        <v>0</v>
      </c>
      <c r="BC303">
        <f t="shared" si="233"/>
        <v>0</v>
      </c>
    </row>
    <row r="304" spans="1:55" x14ac:dyDescent="0.2">
      <c r="A304" s="3">
        <f t="shared" si="202"/>
        <v>52017</v>
      </c>
      <c r="B304">
        <f t="shared" si="198"/>
        <v>306</v>
      </c>
      <c r="C304">
        <f t="shared" si="241"/>
        <v>25.416666666666668</v>
      </c>
      <c r="D304">
        <f t="shared" si="242"/>
        <v>0</v>
      </c>
      <c r="E304">
        <f t="shared" si="199"/>
        <v>81</v>
      </c>
      <c r="F304">
        <f>IF(C304&gt;=$T$2,0,VLOOKUP($E304,'Mortality Table'!$A$3:$C$128,2+AF$2,FALSE))</f>
        <v>0</v>
      </c>
      <c r="G304">
        <f>F304*Assumptions!$B$1</f>
        <v>0</v>
      </c>
      <c r="H304">
        <f t="shared" si="203"/>
        <v>0</v>
      </c>
      <c r="I304">
        <f t="shared" si="236"/>
        <v>0</v>
      </c>
      <c r="J304">
        <f>IF(B304&gt;$AJ$2,0,HLOOKUP(C304,Assumptions!$A$6:$J$7,2,TRUE))</f>
        <v>0</v>
      </c>
      <c r="K304" s="4">
        <f t="shared" si="237"/>
        <v>0</v>
      </c>
      <c r="L304" s="4">
        <f t="shared" si="204"/>
        <v>0</v>
      </c>
      <c r="M304" s="4">
        <f t="shared" si="238"/>
        <v>0</v>
      </c>
      <c r="N304">
        <f t="shared" si="205"/>
        <v>0</v>
      </c>
      <c r="O304" s="21">
        <f t="shared" si="239"/>
        <v>0</v>
      </c>
      <c r="P304">
        <f>IF(B304&gt;$AJ$2,0,HLOOKUP(C304,Assumptions!$A$12:$J$13,2,TRUE))</f>
        <v>0</v>
      </c>
      <c r="Q304">
        <f t="shared" si="240"/>
        <v>0</v>
      </c>
      <c r="R304">
        <f t="shared" si="206"/>
        <v>0</v>
      </c>
      <c r="S304">
        <f t="shared" si="234"/>
        <v>0</v>
      </c>
      <c r="T304">
        <f t="shared" si="235"/>
        <v>0</v>
      </c>
      <c r="U304">
        <f t="shared" si="207"/>
        <v>0</v>
      </c>
      <c r="V304">
        <f t="shared" si="208"/>
        <v>0</v>
      </c>
      <c r="W304">
        <f t="shared" si="209"/>
        <v>0</v>
      </c>
      <c r="X304">
        <f t="shared" si="200"/>
        <v>0</v>
      </c>
      <c r="Y304">
        <f t="shared" si="210"/>
        <v>0</v>
      </c>
      <c r="Z304">
        <f t="shared" si="211"/>
        <v>0</v>
      </c>
      <c r="AA304">
        <f t="shared" si="212"/>
        <v>0</v>
      </c>
      <c r="AB304">
        <f t="shared" si="213"/>
        <v>0</v>
      </c>
      <c r="AC304" s="23">
        <f>IF(B304&gt;$AJ$2,0,HLOOKUP(YEAR(A304),Assumptions!$A$25:$AL$29,4,TRUE)/100)</f>
        <v>0</v>
      </c>
      <c r="AD304">
        <f t="shared" si="214"/>
        <v>0</v>
      </c>
      <c r="AE304">
        <f t="shared" si="215"/>
        <v>0</v>
      </c>
      <c r="AF304">
        <f t="shared" si="216"/>
        <v>0</v>
      </c>
      <c r="AG304">
        <f t="shared" si="217"/>
        <v>0</v>
      </c>
      <c r="AH304">
        <f t="shared" si="218"/>
        <v>0</v>
      </c>
      <c r="AI304">
        <f t="shared" si="219"/>
        <v>0</v>
      </c>
      <c r="AJ304">
        <f t="shared" si="220"/>
        <v>0</v>
      </c>
      <c r="AK304">
        <f t="shared" si="221"/>
        <v>0</v>
      </c>
      <c r="AL304">
        <f t="shared" si="222"/>
        <v>0</v>
      </c>
      <c r="AM304">
        <f t="shared" si="201"/>
        <v>0</v>
      </c>
      <c r="AN304">
        <f>IF($S$2=0,0,(SUMPRODUCT($K$2:$R$2,Assumptions!$B$34:$I$34)/$U$2+$J$2/$U$2*Assumptions!$A$34*G304)*K304*O303)</f>
        <v>0</v>
      </c>
      <c r="AO304">
        <f t="shared" si="223"/>
        <v>0</v>
      </c>
      <c r="AP304">
        <f t="shared" si="224"/>
        <v>0</v>
      </c>
      <c r="AQ304">
        <f>IF(B304&gt;$AJ$2,0,AQ303*(1+Assumptions!$B$43)^(1/12))</f>
        <v>0</v>
      </c>
      <c r="AR304" s="27">
        <f>IF(B304&gt;$AJ$2,0,(O303+R303)*Assumptions!$B$39/12*AQ303+AV304*Assumptions!$B$41/12)</f>
        <v>0</v>
      </c>
      <c r="AS304">
        <f t="shared" si="225"/>
        <v>0</v>
      </c>
      <c r="AT304" s="28">
        <f t="shared" si="226"/>
        <v>0</v>
      </c>
      <c r="AU304">
        <f t="shared" si="227"/>
        <v>0</v>
      </c>
      <c r="AV304" s="28">
        <f t="shared" si="228"/>
        <v>0</v>
      </c>
      <c r="AW304" s="28">
        <f t="shared" si="229"/>
        <v>0</v>
      </c>
      <c r="AX304" s="23">
        <f>HLOOKUP(YEAR(A304),Assumptions!$A$25:$AL$29,2,TRUE)/100</f>
        <v>1.1739999999999999E-2</v>
      </c>
      <c r="AY304" s="29">
        <f>1/(1+HLOOKUP(YEAR(A304),Assumptions!$A$18:$AL$20,3,TRUE))^(1/12)</f>
        <v>0.99902750864006262</v>
      </c>
      <c r="AZ304" s="26">
        <f t="shared" si="230"/>
        <v>0</v>
      </c>
      <c r="BA304">
        <f t="shared" si="231"/>
        <v>0</v>
      </c>
      <c r="BB304">
        <f t="shared" si="232"/>
        <v>0</v>
      </c>
      <c r="BC304">
        <f t="shared" si="233"/>
        <v>0</v>
      </c>
    </row>
    <row r="305" spans="1:55" x14ac:dyDescent="0.2">
      <c r="A305" s="3">
        <f t="shared" si="202"/>
        <v>52047</v>
      </c>
      <c r="B305">
        <f t="shared" si="198"/>
        <v>307</v>
      </c>
      <c r="C305">
        <f t="shared" si="241"/>
        <v>25.5</v>
      </c>
      <c r="D305">
        <f t="shared" si="242"/>
        <v>0</v>
      </c>
      <c r="E305">
        <f t="shared" si="199"/>
        <v>81</v>
      </c>
      <c r="F305">
        <f>IF(C305&gt;=$T$2,0,VLOOKUP($E305,'Mortality Table'!$A$3:$C$128,2+AF$2,FALSE))</f>
        <v>0</v>
      </c>
      <c r="G305">
        <f>F305*Assumptions!$B$1</f>
        <v>0</v>
      </c>
      <c r="H305">
        <f t="shared" si="203"/>
        <v>0</v>
      </c>
      <c r="I305">
        <f t="shared" si="236"/>
        <v>0</v>
      </c>
      <c r="J305">
        <f>IF(B305&gt;$AJ$2,0,HLOOKUP(C305,Assumptions!$A$6:$J$7,2,TRUE))</f>
        <v>0</v>
      </c>
      <c r="K305" s="4">
        <f t="shared" si="237"/>
        <v>0</v>
      </c>
      <c r="L305" s="4">
        <f t="shared" si="204"/>
        <v>0</v>
      </c>
      <c r="M305" s="4">
        <f t="shared" si="238"/>
        <v>0</v>
      </c>
      <c r="N305">
        <f t="shared" si="205"/>
        <v>0</v>
      </c>
      <c r="O305" s="21">
        <f t="shared" si="239"/>
        <v>0</v>
      </c>
      <c r="P305">
        <f>IF(B305&gt;$AJ$2,0,HLOOKUP(C305,Assumptions!$A$12:$J$13,2,TRUE))</f>
        <v>0</v>
      </c>
      <c r="Q305">
        <f t="shared" si="240"/>
        <v>0</v>
      </c>
      <c r="R305">
        <f t="shared" si="206"/>
        <v>0</v>
      </c>
      <c r="S305">
        <f t="shared" si="234"/>
        <v>0</v>
      </c>
      <c r="T305">
        <f t="shared" si="235"/>
        <v>0</v>
      </c>
      <c r="U305">
        <f t="shared" si="207"/>
        <v>0</v>
      </c>
      <c r="V305">
        <f t="shared" si="208"/>
        <v>0</v>
      </c>
      <c r="W305">
        <f t="shared" si="209"/>
        <v>0</v>
      </c>
      <c r="X305">
        <f t="shared" si="200"/>
        <v>0</v>
      </c>
      <c r="Y305">
        <f t="shared" si="210"/>
        <v>0</v>
      </c>
      <c r="Z305">
        <f t="shared" si="211"/>
        <v>0</v>
      </c>
      <c r="AA305">
        <f t="shared" si="212"/>
        <v>0</v>
      </c>
      <c r="AB305">
        <f t="shared" si="213"/>
        <v>0</v>
      </c>
      <c r="AC305" s="23">
        <f>IF(B305&gt;$AJ$2,0,HLOOKUP(YEAR(A305),Assumptions!$A$25:$AL$29,4,TRUE)/100)</f>
        <v>0</v>
      </c>
      <c r="AD305">
        <f t="shared" si="214"/>
        <v>0</v>
      </c>
      <c r="AE305">
        <f t="shared" si="215"/>
        <v>0</v>
      </c>
      <c r="AF305">
        <f t="shared" si="216"/>
        <v>0</v>
      </c>
      <c r="AG305">
        <f t="shared" si="217"/>
        <v>0</v>
      </c>
      <c r="AH305">
        <f t="shared" si="218"/>
        <v>0</v>
      </c>
      <c r="AI305">
        <f t="shared" si="219"/>
        <v>0</v>
      </c>
      <c r="AJ305">
        <f t="shared" si="220"/>
        <v>0</v>
      </c>
      <c r="AK305">
        <f t="shared" si="221"/>
        <v>0</v>
      </c>
      <c r="AL305">
        <f t="shared" si="222"/>
        <v>0</v>
      </c>
      <c r="AM305">
        <f t="shared" si="201"/>
        <v>0</v>
      </c>
      <c r="AN305">
        <f>IF($S$2=0,0,(SUMPRODUCT($K$2:$R$2,Assumptions!$B$34:$I$34)/$U$2+$J$2/$U$2*Assumptions!$A$34*G305)*K305*O304)</f>
        <v>0</v>
      </c>
      <c r="AO305">
        <f t="shared" si="223"/>
        <v>0</v>
      </c>
      <c r="AP305">
        <f t="shared" si="224"/>
        <v>0</v>
      </c>
      <c r="AQ305">
        <f>IF(B305&gt;$AJ$2,0,AQ304*(1+Assumptions!$B$43)^(1/12))</f>
        <v>0</v>
      </c>
      <c r="AR305" s="27">
        <f>IF(B305&gt;$AJ$2,0,(O304+R304)*Assumptions!$B$39/12*AQ304+AV305*Assumptions!$B$41/12)</f>
        <v>0</v>
      </c>
      <c r="AS305">
        <f t="shared" si="225"/>
        <v>0</v>
      </c>
      <c r="AT305" s="28">
        <f t="shared" si="226"/>
        <v>0</v>
      </c>
      <c r="AU305">
        <f t="shared" si="227"/>
        <v>0</v>
      </c>
      <c r="AV305" s="28">
        <f t="shared" si="228"/>
        <v>0</v>
      </c>
      <c r="AW305" s="28">
        <f t="shared" si="229"/>
        <v>0</v>
      </c>
      <c r="AX305" s="23">
        <f>HLOOKUP(YEAR(A305),Assumptions!$A$25:$AL$29,2,TRUE)/100</f>
        <v>1.1739999999999999E-2</v>
      </c>
      <c r="AY305" s="29">
        <f>1/(1+HLOOKUP(YEAR(A305),Assumptions!$A$18:$AL$20,3,TRUE))^(1/12)</f>
        <v>0.99902750864006262</v>
      </c>
      <c r="AZ305" s="26">
        <f t="shared" si="230"/>
        <v>0</v>
      </c>
      <c r="BA305">
        <f t="shared" si="231"/>
        <v>0</v>
      </c>
      <c r="BB305">
        <f t="shared" si="232"/>
        <v>0</v>
      </c>
      <c r="BC305">
        <f t="shared" si="233"/>
        <v>0</v>
      </c>
    </row>
    <row r="306" spans="1:55" x14ac:dyDescent="0.2">
      <c r="A306" s="3">
        <f t="shared" si="202"/>
        <v>52078</v>
      </c>
      <c r="B306">
        <f t="shared" si="198"/>
        <v>308</v>
      </c>
      <c r="C306">
        <f t="shared" si="241"/>
        <v>25.583333333333332</v>
      </c>
      <c r="D306">
        <f t="shared" si="242"/>
        <v>0</v>
      </c>
      <c r="E306">
        <f t="shared" si="199"/>
        <v>81</v>
      </c>
      <c r="F306">
        <f>IF(C306&gt;=$T$2,0,VLOOKUP($E306,'Mortality Table'!$A$3:$C$128,2+AF$2,FALSE))</f>
        <v>0</v>
      </c>
      <c r="G306">
        <f>F306*Assumptions!$B$1</f>
        <v>0</v>
      </c>
      <c r="H306">
        <f t="shared" si="203"/>
        <v>0</v>
      </c>
      <c r="I306">
        <f t="shared" si="236"/>
        <v>0</v>
      </c>
      <c r="J306">
        <f>IF(B306&gt;$AJ$2,0,HLOOKUP(C306,Assumptions!$A$6:$J$7,2,TRUE))</f>
        <v>0</v>
      </c>
      <c r="K306" s="4">
        <f t="shared" si="237"/>
        <v>0</v>
      </c>
      <c r="L306" s="4">
        <f t="shared" si="204"/>
        <v>0</v>
      </c>
      <c r="M306" s="4">
        <f t="shared" si="238"/>
        <v>0</v>
      </c>
      <c r="N306">
        <f t="shared" si="205"/>
        <v>0</v>
      </c>
      <c r="O306" s="21">
        <f t="shared" si="239"/>
        <v>0</v>
      </c>
      <c r="P306">
        <f>IF(B306&gt;$AJ$2,0,HLOOKUP(C306,Assumptions!$A$12:$J$13,2,TRUE))</f>
        <v>0</v>
      </c>
      <c r="Q306">
        <f t="shared" si="240"/>
        <v>0</v>
      </c>
      <c r="R306">
        <f t="shared" si="206"/>
        <v>0</v>
      </c>
      <c r="S306">
        <f t="shared" si="234"/>
        <v>0</v>
      </c>
      <c r="T306">
        <f t="shared" si="235"/>
        <v>0</v>
      </c>
      <c r="U306">
        <f t="shared" si="207"/>
        <v>0</v>
      </c>
      <c r="V306">
        <f t="shared" si="208"/>
        <v>0</v>
      </c>
      <c r="W306">
        <f t="shared" si="209"/>
        <v>0</v>
      </c>
      <c r="X306">
        <f t="shared" si="200"/>
        <v>0</v>
      </c>
      <c r="Y306">
        <f t="shared" si="210"/>
        <v>0</v>
      </c>
      <c r="Z306">
        <f t="shared" si="211"/>
        <v>0</v>
      </c>
      <c r="AA306">
        <f t="shared" si="212"/>
        <v>0</v>
      </c>
      <c r="AB306">
        <f t="shared" si="213"/>
        <v>0</v>
      </c>
      <c r="AC306" s="23">
        <f>IF(B306&gt;$AJ$2,0,HLOOKUP(YEAR(A306),Assumptions!$A$25:$AL$29,4,TRUE)/100)</f>
        <v>0</v>
      </c>
      <c r="AD306">
        <f t="shared" si="214"/>
        <v>0</v>
      </c>
      <c r="AE306">
        <f t="shared" si="215"/>
        <v>0</v>
      </c>
      <c r="AF306">
        <f t="shared" si="216"/>
        <v>0</v>
      </c>
      <c r="AG306">
        <f t="shared" si="217"/>
        <v>0</v>
      </c>
      <c r="AH306">
        <f t="shared" si="218"/>
        <v>0</v>
      </c>
      <c r="AI306">
        <f t="shared" si="219"/>
        <v>0</v>
      </c>
      <c r="AJ306">
        <f t="shared" si="220"/>
        <v>0</v>
      </c>
      <c r="AK306">
        <f t="shared" si="221"/>
        <v>0</v>
      </c>
      <c r="AL306">
        <f t="shared" si="222"/>
        <v>0</v>
      </c>
      <c r="AM306">
        <f t="shared" si="201"/>
        <v>0</v>
      </c>
      <c r="AN306">
        <f>IF($S$2=0,0,(SUMPRODUCT($K$2:$R$2,Assumptions!$B$34:$I$34)/$U$2+$J$2/$U$2*Assumptions!$A$34*G306)*K306*O305)</f>
        <v>0</v>
      </c>
      <c r="AO306">
        <f t="shared" si="223"/>
        <v>0</v>
      </c>
      <c r="AP306">
        <f t="shared" si="224"/>
        <v>0</v>
      </c>
      <c r="AQ306">
        <f>IF(B306&gt;$AJ$2,0,AQ305*(1+Assumptions!$B$43)^(1/12))</f>
        <v>0</v>
      </c>
      <c r="AR306" s="27">
        <f>IF(B306&gt;$AJ$2,0,(O305+R305)*Assumptions!$B$39/12*AQ305+AV306*Assumptions!$B$41/12)</f>
        <v>0</v>
      </c>
      <c r="AS306">
        <f t="shared" si="225"/>
        <v>0</v>
      </c>
      <c r="AT306" s="28">
        <f t="shared" si="226"/>
        <v>0</v>
      </c>
      <c r="AU306">
        <f t="shared" si="227"/>
        <v>0</v>
      </c>
      <c r="AV306" s="28">
        <f t="shared" si="228"/>
        <v>0</v>
      </c>
      <c r="AW306" s="28">
        <f t="shared" si="229"/>
        <v>0</v>
      </c>
      <c r="AX306" s="23">
        <f>HLOOKUP(YEAR(A306),Assumptions!$A$25:$AL$29,2,TRUE)/100</f>
        <v>1.1739999999999999E-2</v>
      </c>
      <c r="AY306" s="29">
        <f>1/(1+HLOOKUP(YEAR(A306),Assumptions!$A$18:$AL$20,3,TRUE))^(1/12)</f>
        <v>0.99902750864006262</v>
      </c>
      <c r="AZ306" s="26">
        <f t="shared" si="230"/>
        <v>0</v>
      </c>
      <c r="BA306">
        <f t="shared" si="231"/>
        <v>0</v>
      </c>
      <c r="BB306">
        <f t="shared" si="232"/>
        <v>0</v>
      </c>
      <c r="BC306">
        <f t="shared" si="233"/>
        <v>0</v>
      </c>
    </row>
    <row r="307" spans="1:55" x14ac:dyDescent="0.2">
      <c r="A307" s="3">
        <f t="shared" si="202"/>
        <v>52109</v>
      </c>
      <c r="B307">
        <f t="shared" si="198"/>
        <v>309</v>
      </c>
      <c r="C307">
        <f t="shared" si="241"/>
        <v>25.666666666666668</v>
      </c>
      <c r="D307">
        <f t="shared" si="242"/>
        <v>0</v>
      </c>
      <c r="E307">
        <f t="shared" si="199"/>
        <v>81</v>
      </c>
      <c r="F307">
        <f>IF(C307&gt;=$T$2,0,VLOOKUP($E307,'Mortality Table'!$A$3:$C$128,2+AF$2,FALSE))</f>
        <v>0</v>
      </c>
      <c r="G307">
        <f>F307*Assumptions!$B$1</f>
        <v>0</v>
      </c>
      <c r="H307">
        <f t="shared" si="203"/>
        <v>0</v>
      </c>
      <c r="I307">
        <f t="shared" si="236"/>
        <v>0</v>
      </c>
      <c r="J307">
        <f>IF(B307&gt;$AJ$2,0,HLOOKUP(C307,Assumptions!$A$6:$J$7,2,TRUE))</f>
        <v>0</v>
      </c>
      <c r="K307" s="4">
        <f t="shared" si="237"/>
        <v>0</v>
      </c>
      <c r="L307" s="4">
        <f t="shared" si="204"/>
        <v>0</v>
      </c>
      <c r="M307" s="4">
        <f t="shared" si="238"/>
        <v>0</v>
      </c>
      <c r="N307">
        <f t="shared" si="205"/>
        <v>0</v>
      </c>
      <c r="O307" s="21">
        <f t="shared" si="239"/>
        <v>0</v>
      </c>
      <c r="P307">
        <f>IF(B307&gt;$AJ$2,0,HLOOKUP(C307,Assumptions!$A$12:$J$13,2,TRUE))</f>
        <v>0</v>
      </c>
      <c r="Q307">
        <f t="shared" si="240"/>
        <v>0</v>
      </c>
      <c r="R307">
        <f t="shared" si="206"/>
        <v>0</v>
      </c>
      <c r="S307">
        <f t="shared" si="234"/>
        <v>0</v>
      </c>
      <c r="T307">
        <f t="shared" si="235"/>
        <v>0</v>
      </c>
      <c r="U307">
        <f t="shared" si="207"/>
        <v>0</v>
      </c>
      <c r="V307">
        <f t="shared" si="208"/>
        <v>0</v>
      </c>
      <c r="W307">
        <f t="shared" si="209"/>
        <v>0</v>
      </c>
      <c r="X307">
        <f t="shared" si="200"/>
        <v>0</v>
      </c>
      <c r="Y307">
        <f t="shared" si="210"/>
        <v>0</v>
      </c>
      <c r="Z307">
        <f t="shared" si="211"/>
        <v>0</v>
      </c>
      <c r="AA307">
        <f t="shared" si="212"/>
        <v>0</v>
      </c>
      <c r="AB307">
        <f t="shared" si="213"/>
        <v>0</v>
      </c>
      <c r="AC307" s="23">
        <f>IF(B307&gt;$AJ$2,0,HLOOKUP(YEAR(A307),Assumptions!$A$25:$AL$29,4,TRUE)/100)</f>
        <v>0</v>
      </c>
      <c r="AD307">
        <f t="shared" si="214"/>
        <v>0</v>
      </c>
      <c r="AE307">
        <f t="shared" si="215"/>
        <v>0</v>
      </c>
      <c r="AF307">
        <f t="shared" si="216"/>
        <v>0</v>
      </c>
      <c r="AG307">
        <f t="shared" si="217"/>
        <v>0</v>
      </c>
      <c r="AH307">
        <f t="shared" si="218"/>
        <v>0</v>
      </c>
      <c r="AI307">
        <f t="shared" si="219"/>
        <v>0</v>
      </c>
      <c r="AJ307">
        <f t="shared" si="220"/>
        <v>0</v>
      </c>
      <c r="AK307">
        <f t="shared" si="221"/>
        <v>0</v>
      </c>
      <c r="AL307">
        <f t="shared" si="222"/>
        <v>0</v>
      </c>
      <c r="AM307">
        <f t="shared" si="201"/>
        <v>0</v>
      </c>
      <c r="AN307">
        <f>IF($S$2=0,0,(SUMPRODUCT($K$2:$R$2,Assumptions!$B$34:$I$34)/$U$2+$J$2/$U$2*Assumptions!$A$34*G307)*K307*O306)</f>
        <v>0</v>
      </c>
      <c r="AO307">
        <f t="shared" si="223"/>
        <v>0</v>
      </c>
      <c r="AP307">
        <f t="shared" si="224"/>
        <v>0</v>
      </c>
      <c r="AQ307">
        <f>IF(B307&gt;$AJ$2,0,AQ306*(1+Assumptions!$B$43)^(1/12))</f>
        <v>0</v>
      </c>
      <c r="AR307" s="27">
        <f>IF(B307&gt;$AJ$2,0,(O306+R306)*Assumptions!$B$39/12*AQ306+AV307*Assumptions!$B$41/12)</f>
        <v>0</v>
      </c>
      <c r="AS307">
        <f t="shared" si="225"/>
        <v>0</v>
      </c>
      <c r="AT307" s="28">
        <f t="shared" si="226"/>
        <v>0</v>
      </c>
      <c r="AU307">
        <f t="shared" si="227"/>
        <v>0</v>
      </c>
      <c r="AV307" s="28">
        <f t="shared" si="228"/>
        <v>0</v>
      </c>
      <c r="AW307" s="28">
        <f t="shared" si="229"/>
        <v>0</v>
      </c>
      <c r="AX307" s="23">
        <f>HLOOKUP(YEAR(A307),Assumptions!$A$25:$AL$29,2,TRUE)/100</f>
        <v>1.1739999999999999E-2</v>
      </c>
      <c r="AY307" s="29">
        <f>1/(1+HLOOKUP(YEAR(A307),Assumptions!$A$18:$AL$20,3,TRUE))^(1/12)</f>
        <v>0.99902750864006262</v>
      </c>
      <c r="AZ307" s="26">
        <f t="shared" si="230"/>
        <v>0</v>
      </c>
      <c r="BA307">
        <f t="shared" si="231"/>
        <v>0</v>
      </c>
      <c r="BB307">
        <f t="shared" si="232"/>
        <v>0</v>
      </c>
      <c r="BC307">
        <f t="shared" si="233"/>
        <v>0</v>
      </c>
    </row>
    <row r="308" spans="1:55" x14ac:dyDescent="0.2">
      <c r="A308" s="3">
        <f t="shared" si="202"/>
        <v>52139</v>
      </c>
      <c r="B308">
        <f t="shared" si="198"/>
        <v>310</v>
      </c>
      <c r="C308">
        <f t="shared" si="241"/>
        <v>25.75</v>
      </c>
      <c r="D308">
        <f t="shared" si="242"/>
        <v>0</v>
      </c>
      <c r="E308">
        <f t="shared" si="199"/>
        <v>81</v>
      </c>
      <c r="F308">
        <f>IF(C308&gt;=$T$2,0,VLOOKUP($E308,'Mortality Table'!$A$3:$C$128,2+AF$2,FALSE))</f>
        <v>0</v>
      </c>
      <c r="G308">
        <f>F308*Assumptions!$B$1</f>
        <v>0</v>
      </c>
      <c r="H308">
        <f t="shared" si="203"/>
        <v>0</v>
      </c>
      <c r="I308">
        <f t="shared" si="236"/>
        <v>0</v>
      </c>
      <c r="J308">
        <f>IF(B308&gt;$AJ$2,0,HLOOKUP(C308,Assumptions!$A$6:$J$7,2,TRUE))</f>
        <v>0</v>
      </c>
      <c r="K308" s="4">
        <f t="shared" si="237"/>
        <v>0</v>
      </c>
      <c r="L308" s="4">
        <f t="shared" si="204"/>
        <v>0</v>
      </c>
      <c r="M308" s="4">
        <f t="shared" si="238"/>
        <v>0</v>
      </c>
      <c r="N308">
        <f t="shared" si="205"/>
        <v>0</v>
      </c>
      <c r="O308" s="21">
        <f t="shared" si="239"/>
        <v>0</v>
      </c>
      <c r="P308">
        <f>IF(B308&gt;$AJ$2,0,HLOOKUP(C308,Assumptions!$A$12:$J$13,2,TRUE))</f>
        <v>0</v>
      </c>
      <c r="Q308">
        <f t="shared" si="240"/>
        <v>0</v>
      </c>
      <c r="R308">
        <f t="shared" si="206"/>
        <v>0</v>
      </c>
      <c r="S308">
        <f t="shared" si="234"/>
        <v>0</v>
      </c>
      <c r="T308">
        <f t="shared" si="235"/>
        <v>0</v>
      </c>
      <c r="U308">
        <f t="shared" si="207"/>
        <v>0</v>
      </c>
      <c r="V308">
        <f t="shared" si="208"/>
        <v>0</v>
      </c>
      <c r="W308">
        <f t="shared" si="209"/>
        <v>0</v>
      </c>
      <c r="X308">
        <f t="shared" si="200"/>
        <v>0</v>
      </c>
      <c r="Y308">
        <f t="shared" si="210"/>
        <v>0</v>
      </c>
      <c r="Z308">
        <f t="shared" si="211"/>
        <v>0</v>
      </c>
      <c r="AA308">
        <f t="shared" si="212"/>
        <v>0</v>
      </c>
      <c r="AB308">
        <f t="shared" si="213"/>
        <v>0</v>
      </c>
      <c r="AC308" s="23">
        <f>IF(B308&gt;$AJ$2,0,HLOOKUP(YEAR(A308),Assumptions!$A$25:$AL$29,4,TRUE)/100)</f>
        <v>0</v>
      </c>
      <c r="AD308">
        <f t="shared" si="214"/>
        <v>0</v>
      </c>
      <c r="AE308">
        <f t="shared" si="215"/>
        <v>0</v>
      </c>
      <c r="AF308">
        <f t="shared" si="216"/>
        <v>0</v>
      </c>
      <c r="AG308">
        <f t="shared" si="217"/>
        <v>0</v>
      </c>
      <c r="AH308">
        <f t="shared" si="218"/>
        <v>0</v>
      </c>
      <c r="AI308">
        <f t="shared" si="219"/>
        <v>0</v>
      </c>
      <c r="AJ308">
        <f t="shared" si="220"/>
        <v>0</v>
      </c>
      <c r="AK308">
        <f t="shared" si="221"/>
        <v>0</v>
      </c>
      <c r="AL308">
        <f t="shared" si="222"/>
        <v>0</v>
      </c>
      <c r="AM308">
        <f t="shared" si="201"/>
        <v>0</v>
      </c>
      <c r="AN308">
        <f>IF($S$2=0,0,(SUMPRODUCT($K$2:$R$2,Assumptions!$B$34:$I$34)/$U$2+$J$2/$U$2*Assumptions!$A$34*G308)*K308*O307)</f>
        <v>0</v>
      </c>
      <c r="AO308">
        <f t="shared" si="223"/>
        <v>0</v>
      </c>
      <c r="AP308">
        <f t="shared" si="224"/>
        <v>0</v>
      </c>
      <c r="AQ308">
        <f>IF(B308&gt;$AJ$2,0,AQ307*(1+Assumptions!$B$43)^(1/12))</f>
        <v>0</v>
      </c>
      <c r="AR308" s="27">
        <f>IF(B308&gt;$AJ$2,0,(O307+R307)*Assumptions!$B$39/12*AQ307+AV308*Assumptions!$B$41/12)</f>
        <v>0</v>
      </c>
      <c r="AS308">
        <f t="shared" si="225"/>
        <v>0</v>
      </c>
      <c r="AT308" s="28">
        <f t="shared" si="226"/>
        <v>0</v>
      </c>
      <c r="AU308">
        <f t="shared" si="227"/>
        <v>0</v>
      </c>
      <c r="AV308" s="28">
        <f t="shared" si="228"/>
        <v>0</v>
      </c>
      <c r="AW308" s="28">
        <f t="shared" si="229"/>
        <v>0</v>
      </c>
      <c r="AX308" s="23">
        <f>HLOOKUP(YEAR(A308),Assumptions!$A$25:$AL$29,2,TRUE)/100</f>
        <v>1.1739999999999999E-2</v>
      </c>
      <c r="AY308" s="29">
        <f>1/(1+HLOOKUP(YEAR(A308),Assumptions!$A$18:$AL$20,3,TRUE))^(1/12)</f>
        <v>0.99902750864006262</v>
      </c>
      <c r="AZ308" s="26">
        <f t="shared" si="230"/>
        <v>0</v>
      </c>
      <c r="BA308">
        <f t="shared" si="231"/>
        <v>0</v>
      </c>
      <c r="BB308">
        <f t="shared" si="232"/>
        <v>0</v>
      </c>
      <c r="BC308">
        <f t="shared" si="233"/>
        <v>0</v>
      </c>
    </row>
    <row r="309" spans="1:55" x14ac:dyDescent="0.2">
      <c r="A309" s="3">
        <f t="shared" si="202"/>
        <v>52170</v>
      </c>
      <c r="B309">
        <f t="shared" si="198"/>
        <v>311</v>
      </c>
      <c r="C309">
        <f t="shared" si="241"/>
        <v>25.833333333333332</v>
      </c>
      <c r="D309">
        <f t="shared" si="242"/>
        <v>0</v>
      </c>
      <c r="E309">
        <f t="shared" si="199"/>
        <v>81</v>
      </c>
      <c r="F309">
        <f>IF(C309&gt;=$T$2,0,VLOOKUP($E309,'Mortality Table'!$A$3:$C$128,2+AF$2,FALSE))</f>
        <v>0</v>
      </c>
      <c r="G309">
        <f>F309*Assumptions!$B$1</f>
        <v>0</v>
      </c>
      <c r="H309">
        <f t="shared" si="203"/>
        <v>0</v>
      </c>
      <c r="I309">
        <f t="shared" si="236"/>
        <v>0</v>
      </c>
      <c r="J309">
        <f>IF(B309&gt;$AJ$2,0,HLOOKUP(C309,Assumptions!$A$6:$J$7,2,TRUE))</f>
        <v>0</v>
      </c>
      <c r="K309" s="4">
        <f t="shared" si="237"/>
        <v>0</v>
      </c>
      <c r="L309" s="4">
        <f t="shared" si="204"/>
        <v>0</v>
      </c>
      <c r="M309" s="4">
        <f t="shared" si="238"/>
        <v>0</v>
      </c>
      <c r="N309">
        <f t="shared" si="205"/>
        <v>0</v>
      </c>
      <c r="O309" s="21">
        <f t="shared" si="239"/>
        <v>0</v>
      </c>
      <c r="P309">
        <f>IF(B309&gt;$AJ$2,0,HLOOKUP(C309,Assumptions!$A$12:$J$13,2,TRUE))</f>
        <v>0</v>
      </c>
      <c r="Q309">
        <f t="shared" si="240"/>
        <v>0</v>
      </c>
      <c r="R309">
        <f t="shared" si="206"/>
        <v>0</v>
      </c>
      <c r="S309">
        <f t="shared" si="234"/>
        <v>0</v>
      </c>
      <c r="T309">
        <f t="shared" si="235"/>
        <v>0</v>
      </c>
      <c r="U309">
        <f t="shared" si="207"/>
        <v>0</v>
      </c>
      <c r="V309">
        <f t="shared" si="208"/>
        <v>0</v>
      </c>
      <c r="W309">
        <f t="shared" si="209"/>
        <v>0</v>
      </c>
      <c r="X309">
        <f t="shared" si="200"/>
        <v>0</v>
      </c>
      <c r="Y309">
        <f t="shared" si="210"/>
        <v>0</v>
      </c>
      <c r="Z309">
        <f t="shared" si="211"/>
        <v>0</v>
      </c>
      <c r="AA309">
        <f t="shared" si="212"/>
        <v>0</v>
      </c>
      <c r="AB309">
        <f t="shared" si="213"/>
        <v>0</v>
      </c>
      <c r="AC309" s="23">
        <f>IF(B309&gt;$AJ$2,0,HLOOKUP(YEAR(A309),Assumptions!$A$25:$AL$29,4,TRUE)/100)</f>
        <v>0</v>
      </c>
      <c r="AD309">
        <f t="shared" si="214"/>
        <v>0</v>
      </c>
      <c r="AE309">
        <f t="shared" si="215"/>
        <v>0</v>
      </c>
      <c r="AF309">
        <f t="shared" si="216"/>
        <v>0</v>
      </c>
      <c r="AG309">
        <f t="shared" si="217"/>
        <v>0</v>
      </c>
      <c r="AH309">
        <f t="shared" si="218"/>
        <v>0</v>
      </c>
      <c r="AI309">
        <f t="shared" si="219"/>
        <v>0</v>
      </c>
      <c r="AJ309">
        <f t="shared" si="220"/>
        <v>0</v>
      </c>
      <c r="AK309">
        <f t="shared" si="221"/>
        <v>0</v>
      </c>
      <c r="AL309">
        <f t="shared" si="222"/>
        <v>0</v>
      </c>
      <c r="AM309">
        <f t="shared" si="201"/>
        <v>0</v>
      </c>
      <c r="AN309">
        <f>IF($S$2=0,0,(SUMPRODUCT($K$2:$R$2,Assumptions!$B$34:$I$34)/$U$2+$J$2/$U$2*Assumptions!$A$34*G309)*K309*O308)</f>
        <v>0</v>
      </c>
      <c r="AO309">
        <f t="shared" si="223"/>
        <v>0</v>
      </c>
      <c r="AP309">
        <f t="shared" si="224"/>
        <v>0</v>
      </c>
      <c r="AQ309">
        <f>IF(B309&gt;$AJ$2,0,AQ308*(1+Assumptions!$B$43)^(1/12))</f>
        <v>0</v>
      </c>
      <c r="AR309" s="27">
        <f>IF(B309&gt;$AJ$2,0,(O308+R308)*Assumptions!$B$39/12*AQ308+AV309*Assumptions!$B$41/12)</f>
        <v>0</v>
      </c>
      <c r="AS309">
        <f t="shared" si="225"/>
        <v>0</v>
      </c>
      <c r="AT309" s="28">
        <f t="shared" si="226"/>
        <v>0</v>
      </c>
      <c r="AU309">
        <f t="shared" si="227"/>
        <v>0</v>
      </c>
      <c r="AV309" s="28">
        <f t="shared" si="228"/>
        <v>0</v>
      </c>
      <c r="AW309" s="28">
        <f t="shared" si="229"/>
        <v>0</v>
      </c>
      <c r="AX309" s="23">
        <f>HLOOKUP(YEAR(A309),Assumptions!$A$25:$AL$29,2,TRUE)/100</f>
        <v>1.1739999999999999E-2</v>
      </c>
      <c r="AY309" s="29">
        <f>1/(1+HLOOKUP(YEAR(A309),Assumptions!$A$18:$AL$20,3,TRUE))^(1/12)</f>
        <v>0.99902750864006262</v>
      </c>
      <c r="AZ309" s="26">
        <f t="shared" si="230"/>
        <v>0</v>
      </c>
      <c r="BA309">
        <f t="shared" si="231"/>
        <v>0</v>
      </c>
      <c r="BB309">
        <f t="shared" si="232"/>
        <v>0</v>
      </c>
      <c r="BC309">
        <f t="shared" si="233"/>
        <v>0</v>
      </c>
    </row>
    <row r="310" spans="1:55" x14ac:dyDescent="0.2">
      <c r="A310" s="3">
        <f t="shared" si="202"/>
        <v>52200</v>
      </c>
      <c r="B310">
        <f t="shared" si="198"/>
        <v>312</v>
      </c>
      <c r="C310">
        <f t="shared" si="241"/>
        <v>25.916666666666668</v>
      </c>
      <c r="D310">
        <f t="shared" si="242"/>
        <v>0</v>
      </c>
      <c r="E310">
        <f t="shared" si="199"/>
        <v>81</v>
      </c>
      <c r="F310">
        <f>IF(C310&gt;=$T$2,0,VLOOKUP($E310,'Mortality Table'!$A$3:$C$128,2+AF$2,FALSE))</f>
        <v>0</v>
      </c>
      <c r="G310">
        <f>F310*Assumptions!$B$1</f>
        <v>0</v>
      </c>
      <c r="H310">
        <f t="shared" si="203"/>
        <v>0</v>
      </c>
      <c r="I310">
        <f t="shared" si="236"/>
        <v>0</v>
      </c>
      <c r="J310">
        <f>IF(B310&gt;$AJ$2,0,HLOOKUP(C310,Assumptions!$A$6:$J$7,2,TRUE))</f>
        <v>0</v>
      </c>
      <c r="K310" s="4">
        <f t="shared" si="237"/>
        <v>0</v>
      </c>
      <c r="L310" s="4">
        <f t="shared" si="204"/>
        <v>0</v>
      </c>
      <c r="M310" s="4">
        <f t="shared" si="238"/>
        <v>0</v>
      </c>
      <c r="N310">
        <f t="shared" si="205"/>
        <v>0</v>
      </c>
      <c r="O310" s="21">
        <f t="shared" si="239"/>
        <v>0</v>
      </c>
      <c r="P310">
        <f>IF(B310&gt;$AJ$2,0,HLOOKUP(C310,Assumptions!$A$12:$J$13,2,TRUE))</f>
        <v>0</v>
      </c>
      <c r="Q310">
        <f t="shared" si="240"/>
        <v>0</v>
      </c>
      <c r="R310">
        <f t="shared" si="206"/>
        <v>0</v>
      </c>
      <c r="S310">
        <f t="shared" si="234"/>
        <v>0</v>
      </c>
      <c r="T310">
        <f t="shared" si="235"/>
        <v>0</v>
      </c>
      <c r="U310">
        <f t="shared" si="207"/>
        <v>0</v>
      </c>
      <c r="V310">
        <f t="shared" si="208"/>
        <v>0</v>
      </c>
      <c r="W310">
        <f t="shared" si="209"/>
        <v>0</v>
      </c>
      <c r="X310">
        <f t="shared" si="200"/>
        <v>0</v>
      </c>
      <c r="Y310">
        <f t="shared" si="210"/>
        <v>0</v>
      </c>
      <c r="Z310">
        <f t="shared" si="211"/>
        <v>0</v>
      </c>
      <c r="AA310">
        <f t="shared" si="212"/>
        <v>0</v>
      </c>
      <c r="AB310">
        <f t="shared" si="213"/>
        <v>0</v>
      </c>
      <c r="AC310" s="23">
        <f>IF(B310&gt;$AJ$2,0,HLOOKUP(YEAR(A310),Assumptions!$A$25:$AL$29,4,TRUE)/100)</f>
        <v>0</v>
      </c>
      <c r="AD310">
        <f t="shared" si="214"/>
        <v>0</v>
      </c>
      <c r="AE310">
        <f t="shared" si="215"/>
        <v>0</v>
      </c>
      <c r="AF310">
        <f t="shared" si="216"/>
        <v>0</v>
      </c>
      <c r="AG310">
        <f t="shared" si="217"/>
        <v>0</v>
      </c>
      <c r="AH310">
        <f t="shared" si="218"/>
        <v>0</v>
      </c>
      <c r="AI310">
        <f t="shared" si="219"/>
        <v>0</v>
      </c>
      <c r="AJ310">
        <f t="shared" si="220"/>
        <v>0</v>
      </c>
      <c r="AK310">
        <f t="shared" si="221"/>
        <v>0</v>
      </c>
      <c r="AL310">
        <f t="shared" si="222"/>
        <v>0</v>
      </c>
      <c r="AM310">
        <f t="shared" si="201"/>
        <v>0</v>
      </c>
      <c r="AN310">
        <f>IF($S$2=0,0,(SUMPRODUCT($K$2:$R$2,Assumptions!$B$34:$I$34)/$U$2+$J$2/$U$2*Assumptions!$A$34*G310)*K310*O309)</f>
        <v>0</v>
      </c>
      <c r="AO310">
        <f t="shared" si="223"/>
        <v>0</v>
      </c>
      <c r="AP310">
        <f t="shared" si="224"/>
        <v>0</v>
      </c>
      <c r="AQ310">
        <f>IF(B310&gt;$AJ$2,0,AQ309*(1+Assumptions!$B$43)^(1/12))</f>
        <v>0</v>
      </c>
      <c r="AR310" s="27">
        <f>IF(B310&gt;$AJ$2,0,(O309+R309)*Assumptions!$B$39/12*AQ309+AV310*Assumptions!$B$41/12)</f>
        <v>0</v>
      </c>
      <c r="AS310">
        <f t="shared" si="225"/>
        <v>0</v>
      </c>
      <c r="AT310" s="28">
        <f t="shared" si="226"/>
        <v>0</v>
      </c>
      <c r="AU310">
        <f t="shared" si="227"/>
        <v>0</v>
      </c>
      <c r="AV310" s="28">
        <f t="shared" si="228"/>
        <v>0</v>
      </c>
      <c r="AW310" s="28">
        <f t="shared" si="229"/>
        <v>0</v>
      </c>
      <c r="AX310" s="23">
        <f>HLOOKUP(YEAR(A310),Assumptions!$A$25:$AL$29,2,TRUE)/100</f>
        <v>1.1739999999999999E-2</v>
      </c>
      <c r="AY310" s="29">
        <f>1/(1+HLOOKUP(YEAR(A310),Assumptions!$A$18:$AL$20,3,TRUE))^(1/12)</f>
        <v>0.99902750864006262</v>
      </c>
      <c r="AZ310" s="26">
        <f t="shared" si="230"/>
        <v>0</v>
      </c>
      <c r="BA310">
        <f t="shared" si="231"/>
        <v>0</v>
      </c>
      <c r="BB310">
        <f t="shared" si="232"/>
        <v>0</v>
      </c>
      <c r="BC310">
        <f t="shared" si="233"/>
        <v>0</v>
      </c>
    </row>
    <row r="311" spans="1:55" x14ac:dyDescent="0.2">
      <c r="A311" s="3">
        <f t="shared" si="202"/>
        <v>52231</v>
      </c>
      <c r="B311">
        <f t="shared" si="198"/>
        <v>313</v>
      </c>
      <c r="C311">
        <f t="shared" si="241"/>
        <v>26</v>
      </c>
      <c r="D311">
        <f t="shared" si="242"/>
        <v>1</v>
      </c>
      <c r="E311">
        <f t="shared" si="199"/>
        <v>82</v>
      </c>
      <c r="F311">
        <f>IF(C311&gt;=$T$2,0,VLOOKUP($E311,'Mortality Table'!$A$3:$C$128,2+AF$2,FALSE))</f>
        <v>0</v>
      </c>
      <c r="G311">
        <f>F311*Assumptions!$B$1</f>
        <v>0</v>
      </c>
      <c r="H311">
        <f t="shared" si="203"/>
        <v>0</v>
      </c>
      <c r="I311">
        <f t="shared" si="236"/>
        <v>0</v>
      </c>
      <c r="J311">
        <f>IF(B311&gt;$AJ$2,0,HLOOKUP(C311,Assumptions!$A$6:$J$7,2,TRUE))</f>
        <v>0</v>
      </c>
      <c r="K311" s="4">
        <f t="shared" si="237"/>
        <v>0</v>
      </c>
      <c r="L311" s="4">
        <f t="shared" si="204"/>
        <v>0</v>
      </c>
      <c r="M311" s="4">
        <f t="shared" si="238"/>
        <v>0</v>
      </c>
      <c r="N311">
        <f t="shared" si="205"/>
        <v>0</v>
      </c>
      <c r="O311" s="21">
        <f t="shared" si="239"/>
        <v>0</v>
      </c>
      <c r="P311">
        <f>IF(B311&gt;$AJ$2,0,HLOOKUP(C311,Assumptions!$A$12:$J$13,2,TRUE))</f>
        <v>0</v>
      </c>
      <c r="Q311">
        <f t="shared" si="240"/>
        <v>0</v>
      </c>
      <c r="R311">
        <f t="shared" si="206"/>
        <v>0</v>
      </c>
      <c r="S311">
        <f t="shared" si="234"/>
        <v>0</v>
      </c>
      <c r="T311">
        <f t="shared" si="235"/>
        <v>0</v>
      </c>
      <c r="U311">
        <f t="shared" si="207"/>
        <v>0</v>
      </c>
      <c r="V311">
        <f t="shared" si="208"/>
        <v>0</v>
      </c>
      <c r="W311">
        <f t="shared" si="209"/>
        <v>0</v>
      </c>
      <c r="X311">
        <f t="shared" si="200"/>
        <v>0</v>
      </c>
      <c r="Y311">
        <f t="shared" si="210"/>
        <v>0</v>
      </c>
      <c r="Z311">
        <f t="shared" si="211"/>
        <v>0</v>
      </c>
      <c r="AA311">
        <f t="shared" si="212"/>
        <v>0</v>
      </c>
      <c r="AB311">
        <f t="shared" si="213"/>
        <v>0</v>
      </c>
      <c r="AC311" s="23">
        <f>IF(B311&gt;$AJ$2,0,HLOOKUP(YEAR(A311),Assumptions!$A$25:$AL$29,4,TRUE)/100)</f>
        <v>0</v>
      </c>
      <c r="AD311">
        <f t="shared" si="214"/>
        <v>0</v>
      </c>
      <c r="AE311">
        <f t="shared" si="215"/>
        <v>0</v>
      </c>
      <c r="AF311">
        <f t="shared" si="216"/>
        <v>0</v>
      </c>
      <c r="AG311">
        <f t="shared" si="217"/>
        <v>0</v>
      </c>
      <c r="AH311">
        <f t="shared" si="218"/>
        <v>0</v>
      </c>
      <c r="AI311">
        <f t="shared" si="219"/>
        <v>0</v>
      </c>
      <c r="AJ311">
        <f t="shared" si="220"/>
        <v>0</v>
      </c>
      <c r="AK311">
        <f t="shared" si="221"/>
        <v>0</v>
      </c>
      <c r="AL311">
        <f t="shared" si="222"/>
        <v>0</v>
      </c>
      <c r="AM311">
        <f t="shared" si="201"/>
        <v>0</v>
      </c>
      <c r="AN311">
        <f>IF($S$2=0,0,(SUMPRODUCT($K$2:$R$2,Assumptions!$B$34:$I$34)/$U$2+$J$2/$U$2*Assumptions!$A$34*G311)*K311*O310)</f>
        <v>0</v>
      </c>
      <c r="AO311">
        <f t="shared" si="223"/>
        <v>0</v>
      </c>
      <c r="AP311">
        <f t="shared" si="224"/>
        <v>0</v>
      </c>
      <c r="AQ311">
        <f>IF(B311&gt;$AJ$2,0,AQ310*(1+Assumptions!$B$43)^(1/12))</f>
        <v>0</v>
      </c>
      <c r="AR311" s="27">
        <f>IF(B311&gt;$AJ$2,0,(O310+R310)*Assumptions!$B$39/12*AQ310+AV311*Assumptions!$B$41/12)</f>
        <v>0</v>
      </c>
      <c r="AS311">
        <f t="shared" si="225"/>
        <v>0</v>
      </c>
      <c r="AT311" s="28">
        <f t="shared" si="226"/>
        <v>0</v>
      </c>
      <c r="AU311">
        <f t="shared" si="227"/>
        <v>0</v>
      </c>
      <c r="AV311" s="28">
        <f t="shared" si="228"/>
        <v>0</v>
      </c>
      <c r="AW311" s="28">
        <f t="shared" si="229"/>
        <v>0</v>
      </c>
      <c r="AX311" s="23">
        <f>HLOOKUP(YEAR(A311),Assumptions!$A$25:$AL$29,2,TRUE)/100</f>
        <v>1.1739999999999999E-2</v>
      </c>
      <c r="AY311" s="29">
        <f>1/(1+HLOOKUP(YEAR(A311),Assumptions!$A$18:$AL$20,3,TRUE))^(1/12)</f>
        <v>0.99902750864006262</v>
      </c>
      <c r="AZ311" s="26">
        <f t="shared" si="230"/>
        <v>0</v>
      </c>
      <c r="BA311">
        <f t="shared" si="231"/>
        <v>0</v>
      </c>
      <c r="BB311">
        <f t="shared" si="232"/>
        <v>0</v>
      </c>
      <c r="BC311">
        <f t="shared" si="233"/>
        <v>0</v>
      </c>
    </row>
    <row r="312" spans="1:55" x14ac:dyDescent="0.2">
      <c r="A312" s="3">
        <f t="shared" si="202"/>
        <v>52262</v>
      </c>
      <c r="B312">
        <f t="shared" si="198"/>
        <v>314</v>
      </c>
      <c r="C312">
        <f t="shared" si="241"/>
        <v>26.083333333333332</v>
      </c>
      <c r="D312">
        <f t="shared" si="242"/>
        <v>0</v>
      </c>
      <c r="E312">
        <f t="shared" si="199"/>
        <v>82</v>
      </c>
      <c r="F312">
        <f>IF(C312&gt;=$T$2,0,VLOOKUP($E312,'Mortality Table'!$A$3:$C$128,2+AF$2,FALSE))</f>
        <v>0</v>
      </c>
      <c r="G312">
        <f>F312*Assumptions!$B$1</f>
        <v>0</v>
      </c>
      <c r="H312">
        <f t="shared" si="203"/>
        <v>0</v>
      </c>
      <c r="I312">
        <f t="shared" si="236"/>
        <v>0</v>
      </c>
      <c r="J312">
        <f>IF(B312&gt;$AJ$2,0,HLOOKUP(C312,Assumptions!$A$6:$J$7,2,TRUE))</f>
        <v>0</v>
      </c>
      <c r="K312" s="4">
        <f t="shared" si="237"/>
        <v>0</v>
      </c>
      <c r="L312" s="4">
        <f t="shared" si="204"/>
        <v>0</v>
      </c>
      <c r="M312" s="4">
        <f t="shared" si="238"/>
        <v>0</v>
      </c>
      <c r="N312">
        <f t="shared" si="205"/>
        <v>0</v>
      </c>
      <c r="O312" s="21">
        <f t="shared" si="239"/>
        <v>0</v>
      </c>
      <c r="P312">
        <f>IF(B312&gt;$AJ$2,0,HLOOKUP(C312,Assumptions!$A$12:$J$13,2,TRUE))</f>
        <v>0</v>
      </c>
      <c r="Q312">
        <f t="shared" si="240"/>
        <v>0</v>
      </c>
      <c r="R312">
        <f t="shared" si="206"/>
        <v>0</v>
      </c>
      <c r="S312">
        <f t="shared" si="234"/>
        <v>0</v>
      </c>
      <c r="T312">
        <f t="shared" si="235"/>
        <v>0</v>
      </c>
      <c r="U312">
        <f t="shared" si="207"/>
        <v>0</v>
      </c>
      <c r="V312">
        <f t="shared" si="208"/>
        <v>0</v>
      </c>
      <c r="W312">
        <f t="shared" si="209"/>
        <v>0</v>
      </c>
      <c r="X312">
        <f t="shared" si="200"/>
        <v>0</v>
      </c>
      <c r="Y312">
        <f t="shared" si="210"/>
        <v>0</v>
      </c>
      <c r="Z312">
        <f t="shared" si="211"/>
        <v>0</v>
      </c>
      <c r="AA312">
        <f t="shared" si="212"/>
        <v>0</v>
      </c>
      <c r="AB312">
        <f t="shared" si="213"/>
        <v>0</v>
      </c>
      <c r="AC312" s="23">
        <f>IF(B312&gt;$AJ$2,0,HLOOKUP(YEAR(A312),Assumptions!$A$25:$AL$29,4,TRUE)/100)</f>
        <v>0</v>
      </c>
      <c r="AD312">
        <f t="shared" si="214"/>
        <v>0</v>
      </c>
      <c r="AE312">
        <f t="shared" si="215"/>
        <v>0</v>
      </c>
      <c r="AF312">
        <f t="shared" si="216"/>
        <v>0</v>
      </c>
      <c r="AG312">
        <f t="shared" si="217"/>
        <v>0</v>
      </c>
      <c r="AH312">
        <f t="shared" si="218"/>
        <v>0</v>
      </c>
      <c r="AI312">
        <f t="shared" si="219"/>
        <v>0</v>
      </c>
      <c r="AJ312">
        <f t="shared" si="220"/>
        <v>0</v>
      </c>
      <c r="AK312">
        <f t="shared" si="221"/>
        <v>0</v>
      </c>
      <c r="AL312">
        <f t="shared" si="222"/>
        <v>0</v>
      </c>
      <c r="AM312">
        <f t="shared" si="201"/>
        <v>0</v>
      </c>
      <c r="AN312">
        <f>IF($S$2=0,0,(SUMPRODUCT($K$2:$R$2,Assumptions!$B$34:$I$34)/$U$2+$J$2/$U$2*Assumptions!$A$34*G312)*K312*O311)</f>
        <v>0</v>
      </c>
      <c r="AO312">
        <f t="shared" si="223"/>
        <v>0</v>
      </c>
      <c r="AP312">
        <f t="shared" si="224"/>
        <v>0</v>
      </c>
      <c r="AQ312">
        <f>IF(B312&gt;$AJ$2,0,AQ311*(1+Assumptions!$B$43)^(1/12))</f>
        <v>0</v>
      </c>
      <c r="AR312" s="27">
        <f>IF(B312&gt;$AJ$2,0,(O311+R311)*Assumptions!$B$39/12*AQ311+AV312*Assumptions!$B$41/12)</f>
        <v>0</v>
      </c>
      <c r="AS312">
        <f t="shared" si="225"/>
        <v>0</v>
      </c>
      <c r="AT312" s="28">
        <f t="shared" si="226"/>
        <v>0</v>
      </c>
      <c r="AU312">
        <f t="shared" si="227"/>
        <v>0</v>
      </c>
      <c r="AV312" s="28">
        <f t="shared" si="228"/>
        <v>0</v>
      </c>
      <c r="AW312" s="28">
        <f t="shared" si="229"/>
        <v>0</v>
      </c>
      <c r="AX312" s="23">
        <f>HLOOKUP(YEAR(A312),Assumptions!$A$25:$AL$29,2,TRUE)/100</f>
        <v>1.1739999999999999E-2</v>
      </c>
      <c r="AY312" s="29">
        <f>1/(1+HLOOKUP(YEAR(A312),Assumptions!$A$18:$AL$20,3,TRUE))^(1/12)</f>
        <v>0.99902750864006262</v>
      </c>
      <c r="AZ312" s="26">
        <f t="shared" si="230"/>
        <v>0</v>
      </c>
      <c r="BA312">
        <f t="shared" si="231"/>
        <v>0</v>
      </c>
      <c r="BB312">
        <f t="shared" si="232"/>
        <v>0</v>
      </c>
      <c r="BC312">
        <f t="shared" si="233"/>
        <v>0</v>
      </c>
    </row>
    <row r="313" spans="1:55" x14ac:dyDescent="0.2">
      <c r="A313" s="3">
        <f t="shared" si="202"/>
        <v>52290</v>
      </c>
      <c r="B313">
        <f t="shared" si="198"/>
        <v>315</v>
      </c>
      <c r="C313">
        <f t="shared" si="241"/>
        <v>26.166666666666668</v>
      </c>
      <c r="D313">
        <f t="shared" si="242"/>
        <v>0</v>
      </c>
      <c r="E313">
        <f t="shared" si="199"/>
        <v>82</v>
      </c>
      <c r="F313">
        <f>IF(C313&gt;=$T$2,0,VLOOKUP($E313,'Mortality Table'!$A$3:$C$128,2+AF$2,FALSE))</f>
        <v>0</v>
      </c>
      <c r="G313">
        <f>F313*Assumptions!$B$1</f>
        <v>0</v>
      </c>
      <c r="H313">
        <f t="shared" si="203"/>
        <v>0</v>
      </c>
      <c r="I313">
        <f t="shared" si="236"/>
        <v>0</v>
      </c>
      <c r="J313">
        <f>IF(B313&gt;$AJ$2,0,HLOOKUP(C313,Assumptions!$A$6:$J$7,2,TRUE))</f>
        <v>0</v>
      </c>
      <c r="K313" s="4">
        <f t="shared" si="237"/>
        <v>0</v>
      </c>
      <c r="L313" s="4">
        <f t="shared" si="204"/>
        <v>0</v>
      </c>
      <c r="M313" s="4">
        <f t="shared" si="238"/>
        <v>0</v>
      </c>
      <c r="N313">
        <f t="shared" si="205"/>
        <v>0</v>
      </c>
      <c r="O313" s="21">
        <f t="shared" si="239"/>
        <v>0</v>
      </c>
      <c r="P313">
        <f>IF(B313&gt;$AJ$2,0,HLOOKUP(C313,Assumptions!$A$12:$J$13,2,TRUE))</f>
        <v>0</v>
      </c>
      <c r="Q313">
        <f t="shared" si="240"/>
        <v>0</v>
      </c>
      <c r="R313">
        <f t="shared" si="206"/>
        <v>0</v>
      </c>
      <c r="S313">
        <f t="shared" si="234"/>
        <v>0</v>
      </c>
      <c r="T313">
        <f t="shared" si="235"/>
        <v>0</v>
      </c>
      <c r="U313">
        <f t="shared" si="207"/>
        <v>0</v>
      </c>
      <c r="V313">
        <f t="shared" si="208"/>
        <v>0</v>
      </c>
      <c r="W313">
        <f t="shared" si="209"/>
        <v>0</v>
      </c>
      <c r="X313">
        <f t="shared" si="200"/>
        <v>0</v>
      </c>
      <c r="Y313">
        <f t="shared" si="210"/>
        <v>0</v>
      </c>
      <c r="Z313">
        <f t="shared" si="211"/>
        <v>0</v>
      </c>
      <c r="AA313">
        <f t="shared" si="212"/>
        <v>0</v>
      </c>
      <c r="AB313">
        <f t="shared" si="213"/>
        <v>0</v>
      </c>
      <c r="AC313" s="23">
        <f>IF(B313&gt;$AJ$2,0,HLOOKUP(YEAR(A313),Assumptions!$A$25:$AL$29,4,TRUE)/100)</f>
        <v>0</v>
      </c>
      <c r="AD313">
        <f t="shared" si="214"/>
        <v>0</v>
      </c>
      <c r="AE313">
        <f t="shared" si="215"/>
        <v>0</v>
      </c>
      <c r="AF313">
        <f t="shared" si="216"/>
        <v>0</v>
      </c>
      <c r="AG313">
        <f t="shared" si="217"/>
        <v>0</v>
      </c>
      <c r="AH313">
        <f t="shared" si="218"/>
        <v>0</v>
      </c>
      <c r="AI313">
        <f t="shared" si="219"/>
        <v>0</v>
      </c>
      <c r="AJ313">
        <f t="shared" si="220"/>
        <v>0</v>
      </c>
      <c r="AK313">
        <f t="shared" si="221"/>
        <v>0</v>
      </c>
      <c r="AL313">
        <f t="shared" si="222"/>
        <v>0</v>
      </c>
      <c r="AM313">
        <f t="shared" si="201"/>
        <v>0</v>
      </c>
      <c r="AN313">
        <f>IF($S$2=0,0,(SUMPRODUCT($K$2:$R$2,Assumptions!$B$34:$I$34)/$U$2+$J$2/$U$2*Assumptions!$A$34*G313)*K313*O312)</f>
        <v>0</v>
      </c>
      <c r="AO313">
        <f t="shared" si="223"/>
        <v>0</v>
      </c>
      <c r="AP313">
        <f t="shared" si="224"/>
        <v>0</v>
      </c>
      <c r="AQ313">
        <f>IF(B313&gt;$AJ$2,0,AQ312*(1+Assumptions!$B$43)^(1/12))</f>
        <v>0</v>
      </c>
      <c r="AR313" s="27">
        <f>IF(B313&gt;$AJ$2,0,(O312+R312)*Assumptions!$B$39/12*AQ312+AV313*Assumptions!$B$41/12)</f>
        <v>0</v>
      </c>
      <c r="AS313">
        <f t="shared" si="225"/>
        <v>0</v>
      </c>
      <c r="AT313" s="28">
        <f t="shared" si="226"/>
        <v>0</v>
      </c>
      <c r="AU313">
        <f t="shared" si="227"/>
        <v>0</v>
      </c>
      <c r="AV313" s="28">
        <f t="shared" si="228"/>
        <v>0</v>
      </c>
      <c r="AW313" s="28">
        <f t="shared" si="229"/>
        <v>0</v>
      </c>
      <c r="AX313" s="23">
        <f>HLOOKUP(YEAR(A313),Assumptions!$A$25:$AL$29,2,TRUE)/100</f>
        <v>1.1739999999999999E-2</v>
      </c>
      <c r="AY313" s="29">
        <f>1/(1+HLOOKUP(YEAR(A313),Assumptions!$A$18:$AL$20,3,TRUE))^(1/12)</f>
        <v>0.99902750864006262</v>
      </c>
      <c r="AZ313" s="26">
        <f t="shared" si="230"/>
        <v>0</v>
      </c>
      <c r="BA313">
        <f t="shared" si="231"/>
        <v>0</v>
      </c>
      <c r="BB313">
        <f t="shared" si="232"/>
        <v>0</v>
      </c>
      <c r="BC313">
        <f t="shared" si="233"/>
        <v>0</v>
      </c>
    </row>
    <row r="314" spans="1:55" x14ac:dyDescent="0.2">
      <c r="A314" s="3">
        <f t="shared" si="202"/>
        <v>52321</v>
      </c>
      <c r="B314">
        <f t="shared" si="198"/>
        <v>316</v>
      </c>
      <c r="C314">
        <f t="shared" si="241"/>
        <v>26.25</v>
      </c>
      <c r="D314">
        <f t="shared" si="242"/>
        <v>0</v>
      </c>
      <c r="E314">
        <f t="shared" si="199"/>
        <v>82</v>
      </c>
      <c r="F314">
        <f>IF(C314&gt;=$T$2,0,VLOOKUP($E314,'Mortality Table'!$A$3:$C$128,2+AF$2,FALSE))</f>
        <v>0</v>
      </c>
      <c r="G314">
        <f>F314*Assumptions!$B$1</f>
        <v>0</v>
      </c>
      <c r="H314">
        <f t="shared" si="203"/>
        <v>0</v>
      </c>
      <c r="I314">
        <f t="shared" si="236"/>
        <v>0</v>
      </c>
      <c r="J314">
        <f>IF(B314&gt;$AJ$2,0,HLOOKUP(C314,Assumptions!$A$6:$J$7,2,TRUE))</f>
        <v>0</v>
      </c>
      <c r="K314" s="4">
        <f t="shared" si="237"/>
        <v>0</v>
      </c>
      <c r="L314" s="4">
        <f t="shared" si="204"/>
        <v>0</v>
      </c>
      <c r="M314" s="4">
        <f t="shared" si="238"/>
        <v>0</v>
      </c>
      <c r="N314">
        <f t="shared" si="205"/>
        <v>0</v>
      </c>
      <c r="O314" s="21">
        <f t="shared" si="239"/>
        <v>0</v>
      </c>
      <c r="P314">
        <f>IF(B314&gt;$AJ$2,0,HLOOKUP(C314,Assumptions!$A$12:$J$13,2,TRUE))</f>
        <v>0</v>
      </c>
      <c r="Q314">
        <f t="shared" si="240"/>
        <v>0</v>
      </c>
      <c r="R314">
        <f t="shared" si="206"/>
        <v>0</v>
      </c>
      <c r="S314">
        <f t="shared" si="234"/>
        <v>0</v>
      </c>
      <c r="T314">
        <f t="shared" si="235"/>
        <v>0</v>
      </c>
      <c r="U314">
        <f t="shared" si="207"/>
        <v>0</v>
      </c>
      <c r="V314">
        <f t="shared" si="208"/>
        <v>0</v>
      </c>
      <c r="W314">
        <f t="shared" si="209"/>
        <v>0</v>
      </c>
      <c r="X314">
        <f t="shared" si="200"/>
        <v>0</v>
      </c>
      <c r="Y314">
        <f t="shared" si="210"/>
        <v>0</v>
      </c>
      <c r="Z314">
        <f t="shared" si="211"/>
        <v>0</v>
      </c>
      <c r="AA314">
        <f t="shared" si="212"/>
        <v>0</v>
      </c>
      <c r="AB314">
        <f t="shared" si="213"/>
        <v>0</v>
      </c>
      <c r="AC314" s="23">
        <f>IF(B314&gt;$AJ$2,0,HLOOKUP(YEAR(A314),Assumptions!$A$25:$AL$29,4,TRUE)/100)</f>
        <v>0</v>
      </c>
      <c r="AD314">
        <f t="shared" si="214"/>
        <v>0</v>
      </c>
      <c r="AE314">
        <f t="shared" si="215"/>
        <v>0</v>
      </c>
      <c r="AF314">
        <f t="shared" si="216"/>
        <v>0</v>
      </c>
      <c r="AG314">
        <f t="shared" si="217"/>
        <v>0</v>
      </c>
      <c r="AH314">
        <f t="shared" si="218"/>
        <v>0</v>
      </c>
      <c r="AI314">
        <f t="shared" si="219"/>
        <v>0</v>
      </c>
      <c r="AJ314">
        <f t="shared" si="220"/>
        <v>0</v>
      </c>
      <c r="AK314">
        <f t="shared" si="221"/>
        <v>0</v>
      </c>
      <c r="AL314">
        <f t="shared" si="222"/>
        <v>0</v>
      </c>
      <c r="AM314">
        <f t="shared" si="201"/>
        <v>0</v>
      </c>
      <c r="AN314">
        <f>IF($S$2=0,0,(SUMPRODUCT($K$2:$R$2,Assumptions!$B$34:$I$34)/$U$2+$J$2/$U$2*Assumptions!$A$34*G314)*K314*O313)</f>
        <v>0</v>
      </c>
      <c r="AO314">
        <f t="shared" si="223"/>
        <v>0</v>
      </c>
      <c r="AP314">
        <f t="shared" si="224"/>
        <v>0</v>
      </c>
      <c r="AQ314">
        <f>IF(B314&gt;$AJ$2,0,AQ313*(1+Assumptions!$B$43)^(1/12))</f>
        <v>0</v>
      </c>
      <c r="AR314" s="27">
        <f>IF(B314&gt;$AJ$2,0,(O313+R313)*Assumptions!$B$39/12*AQ313+AV314*Assumptions!$B$41/12)</f>
        <v>0</v>
      </c>
      <c r="AS314">
        <f t="shared" si="225"/>
        <v>0</v>
      </c>
      <c r="AT314" s="28">
        <f t="shared" si="226"/>
        <v>0</v>
      </c>
      <c r="AU314">
        <f t="shared" si="227"/>
        <v>0</v>
      </c>
      <c r="AV314" s="28">
        <f t="shared" si="228"/>
        <v>0</v>
      </c>
      <c r="AW314" s="28">
        <f t="shared" si="229"/>
        <v>0</v>
      </c>
      <c r="AX314" s="23">
        <f>HLOOKUP(YEAR(A314),Assumptions!$A$25:$AL$29,2,TRUE)/100</f>
        <v>1.1739999999999999E-2</v>
      </c>
      <c r="AY314" s="29">
        <f>1/(1+HLOOKUP(YEAR(A314),Assumptions!$A$18:$AL$20,3,TRUE))^(1/12)</f>
        <v>0.99902750864006262</v>
      </c>
      <c r="AZ314" s="26">
        <f t="shared" si="230"/>
        <v>0</v>
      </c>
      <c r="BA314">
        <f t="shared" si="231"/>
        <v>0</v>
      </c>
      <c r="BB314">
        <f t="shared" si="232"/>
        <v>0</v>
      </c>
      <c r="BC314">
        <f t="shared" si="233"/>
        <v>0</v>
      </c>
    </row>
    <row r="315" spans="1:55" x14ac:dyDescent="0.2">
      <c r="A315" s="3">
        <f t="shared" si="202"/>
        <v>52351</v>
      </c>
      <c r="B315">
        <f t="shared" si="198"/>
        <v>317</v>
      </c>
      <c r="C315">
        <f t="shared" si="241"/>
        <v>26.333333333333332</v>
      </c>
      <c r="D315">
        <f t="shared" si="242"/>
        <v>0</v>
      </c>
      <c r="E315">
        <f t="shared" si="199"/>
        <v>82</v>
      </c>
      <c r="F315">
        <f>IF(C315&gt;=$T$2,0,VLOOKUP($E315,'Mortality Table'!$A$3:$C$128,2+AF$2,FALSE))</f>
        <v>0</v>
      </c>
      <c r="G315">
        <f>F315*Assumptions!$B$1</f>
        <v>0</v>
      </c>
      <c r="H315">
        <f t="shared" si="203"/>
        <v>0</v>
      </c>
      <c r="I315">
        <f t="shared" si="236"/>
        <v>0</v>
      </c>
      <c r="J315">
        <f>IF(B315&gt;$AJ$2,0,HLOOKUP(C315,Assumptions!$A$6:$J$7,2,TRUE))</f>
        <v>0</v>
      </c>
      <c r="K315" s="4">
        <f t="shared" si="237"/>
        <v>0</v>
      </c>
      <c r="L315" s="4">
        <f t="shared" si="204"/>
        <v>0</v>
      </c>
      <c r="M315" s="4">
        <f t="shared" si="238"/>
        <v>0</v>
      </c>
      <c r="N315">
        <f t="shared" si="205"/>
        <v>0</v>
      </c>
      <c r="O315" s="21">
        <f t="shared" si="239"/>
        <v>0</v>
      </c>
      <c r="P315">
        <f>IF(B315&gt;$AJ$2,0,HLOOKUP(C315,Assumptions!$A$12:$J$13,2,TRUE))</f>
        <v>0</v>
      </c>
      <c r="Q315">
        <f t="shared" si="240"/>
        <v>0</v>
      </c>
      <c r="R315">
        <f t="shared" si="206"/>
        <v>0</v>
      </c>
      <c r="S315">
        <f t="shared" si="234"/>
        <v>0</v>
      </c>
      <c r="T315">
        <f t="shared" si="235"/>
        <v>0</v>
      </c>
      <c r="U315">
        <f t="shared" si="207"/>
        <v>0</v>
      </c>
      <c r="V315">
        <f t="shared" si="208"/>
        <v>0</v>
      </c>
      <c r="W315">
        <f t="shared" si="209"/>
        <v>0</v>
      </c>
      <c r="X315">
        <f t="shared" si="200"/>
        <v>0</v>
      </c>
      <c r="Y315">
        <f t="shared" si="210"/>
        <v>0</v>
      </c>
      <c r="Z315">
        <f t="shared" si="211"/>
        <v>0</v>
      </c>
      <c r="AA315">
        <f t="shared" si="212"/>
        <v>0</v>
      </c>
      <c r="AB315">
        <f t="shared" si="213"/>
        <v>0</v>
      </c>
      <c r="AC315" s="23">
        <f>IF(B315&gt;$AJ$2,0,HLOOKUP(YEAR(A315),Assumptions!$A$25:$AL$29,4,TRUE)/100)</f>
        <v>0</v>
      </c>
      <c r="AD315">
        <f t="shared" si="214"/>
        <v>0</v>
      </c>
      <c r="AE315">
        <f t="shared" si="215"/>
        <v>0</v>
      </c>
      <c r="AF315">
        <f t="shared" si="216"/>
        <v>0</v>
      </c>
      <c r="AG315">
        <f t="shared" si="217"/>
        <v>0</v>
      </c>
      <c r="AH315">
        <f t="shared" si="218"/>
        <v>0</v>
      </c>
      <c r="AI315">
        <f t="shared" si="219"/>
        <v>0</v>
      </c>
      <c r="AJ315">
        <f t="shared" si="220"/>
        <v>0</v>
      </c>
      <c r="AK315">
        <f t="shared" si="221"/>
        <v>0</v>
      </c>
      <c r="AL315">
        <f t="shared" si="222"/>
        <v>0</v>
      </c>
      <c r="AM315">
        <f t="shared" si="201"/>
        <v>0</v>
      </c>
      <c r="AN315">
        <f>IF($S$2=0,0,(SUMPRODUCT($K$2:$R$2,Assumptions!$B$34:$I$34)/$U$2+$J$2/$U$2*Assumptions!$A$34*G315)*K315*O314)</f>
        <v>0</v>
      </c>
      <c r="AO315">
        <f t="shared" si="223"/>
        <v>0</v>
      </c>
      <c r="AP315">
        <f t="shared" si="224"/>
        <v>0</v>
      </c>
      <c r="AQ315">
        <f>IF(B315&gt;$AJ$2,0,AQ314*(1+Assumptions!$B$43)^(1/12))</f>
        <v>0</v>
      </c>
      <c r="AR315" s="27">
        <f>IF(B315&gt;$AJ$2,0,(O314+R314)*Assumptions!$B$39/12*AQ314+AV315*Assumptions!$B$41/12)</f>
        <v>0</v>
      </c>
      <c r="AS315">
        <f t="shared" si="225"/>
        <v>0</v>
      </c>
      <c r="AT315" s="28">
        <f t="shared" si="226"/>
        <v>0</v>
      </c>
      <c r="AU315">
        <f t="shared" si="227"/>
        <v>0</v>
      </c>
      <c r="AV315" s="28">
        <f t="shared" si="228"/>
        <v>0</v>
      </c>
      <c r="AW315" s="28">
        <f t="shared" si="229"/>
        <v>0</v>
      </c>
      <c r="AX315" s="23">
        <f>HLOOKUP(YEAR(A315),Assumptions!$A$25:$AL$29,2,TRUE)/100</f>
        <v>1.1739999999999999E-2</v>
      </c>
      <c r="AY315" s="29">
        <f>1/(1+HLOOKUP(YEAR(A315),Assumptions!$A$18:$AL$20,3,TRUE))^(1/12)</f>
        <v>0.99902750864006262</v>
      </c>
      <c r="AZ315" s="26">
        <f t="shared" si="230"/>
        <v>0</v>
      </c>
      <c r="BA315">
        <f t="shared" si="231"/>
        <v>0</v>
      </c>
      <c r="BB315">
        <f t="shared" si="232"/>
        <v>0</v>
      </c>
      <c r="BC315">
        <f t="shared" si="233"/>
        <v>0</v>
      </c>
    </row>
    <row r="316" spans="1:55" x14ac:dyDescent="0.2">
      <c r="A316" s="3">
        <f t="shared" si="202"/>
        <v>52382</v>
      </c>
      <c r="B316">
        <f t="shared" si="198"/>
        <v>318</v>
      </c>
      <c r="C316">
        <f t="shared" si="241"/>
        <v>26.416666666666668</v>
      </c>
      <c r="D316">
        <f t="shared" si="242"/>
        <v>0</v>
      </c>
      <c r="E316">
        <f t="shared" si="199"/>
        <v>82</v>
      </c>
      <c r="F316">
        <f>IF(C316&gt;=$T$2,0,VLOOKUP($E316,'Mortality Table'!$A$3:$C$128,2+AF$2,FALSE))</f>
        <v>0</v>
      </c>
      <c r="G316">
        <f>F316*Assumptions!$B$1</f>
        <v>0</v>
      </c>
      <c r="H316">
        <f t="shared" si="203"/>
        <v>0</v>
      </c>
      <c r="I316">
        <f t="shared" si="236"/>
        <v>0</v>
      </c>
      <c r="J316">
        <f>IF(B316&gt;$AJ$2,0,HLOOKUP(C316,Assumptions!$A$6:$J$7,2,TRUE))</f>
        <v>0</v>
      </c>
      <c r="K316" s="4">
        <f t="shared" si="237"/>
        <v>0</v>
      </c>
      <c r="L316" s="4">
        <f t="shared" si="204"/>
        <v>0</v>
      </c>
      <c r="M316" s="4">
        <f t="shared" si="238"/>
        <v>0</v>
      </c>
      <c r="N316">
        <f t="shared" si="205"/>
        <v>0</v>
      </c>
      <c r="O316" s="21">
        <f t="shared" si="239"/>
        <v>0</v>
      </c>
      <c r="P316">
        <f>IF(B316&gt;$AJ$2,0,HLOOKUP(C316,Assumptions!$A$12:$J$13,2,TRUE))</f>
        <v>0</v>
      </c>
      <c r="Q316">
        <f t="shared" si="240"/>
        <v>0</v>
      </c>
      <c r="R316">
        <f t="shared" si="206"/>
        <v>0</v>
      </c>
      <c r="S316">
        <f t="shared" si="234"/>
        <v>0</v>
      </c>
      <c r="T316">
        <f t="shared" si="235"/>
        <v>0</v>
      </c>
      <c r="U316">
        <f t="shared" si="207"/>
        <v>0</v>
      </c>
      <c r="V316">
        <f t="shared" si="208"/>
        <v>0</v>
      </c>
      <c r="W316">
        <f t="shared" si="209"/>
        <v>0</v>
      </c>
      <c r="X316">
        <f t="shared" si="200"/>
        <v>0</v>
      </c>
      <c r="Y316">
        <f t="shared" si="210"/>
        <v>0</v>
      </c>
      <c r="Z316">
        <f t="shared" si="211"/>
        <v>0</v>
      </c>
      <c r="AA316">
        <f t="shared" si="212"/>
        <v>0</v>
      </c>
      <c r="AB316">
        <f t="shared" si="213"/>
        <v>0</v>
      </c>
      <c r="AC316" s="23">
        <f>IF(B316&gt;$AJ$2,0,HLOOKUP(YEAR(A316),Assumptions!$A$25:$AL$29,4,TRUE)/100)</f>
        <v>0</v>
      </c>
      <c r="AD316">
        <f t="shared" si="214"/>
        <v>0</v>
      </c>
      <c r="AE316">
        <f t="shared" si="215"/>
        <v>0</v>
      </c>
      <c r="AF316">
        <f t="shared" si="216"/>
        <v>0</v>
      </c>
      <c r="AG316">
        <f t="shared" si="217"/>
        <v>0</v>
      </c>
      <c r="AH316">
        <f t="shared" si="218"/>
        <v>0</v>
      </c>
      <c r="AI316">
        <f t="shared" si="219"/>
        <v>0</v>
      </c>
      <c r="AJ316">
        <f t="shared" si="220"/>
        <v>0</v>
      </c>
      <c r="AK316">
        <f t="shared" si="221"/>
        <v>0</v>
      </c>
      <c r="AL316">
        <f t="shared" si="222"/>
        <v>0</v>
      </c>
      <c r="AM316">
        <f t="shared" si="201"/>
        <v>0</v>
      </c>
      <c r="AN316">
        <f>IF($S$2=0,0,(SUMPRODUCT($K$2:$R$2,Assumptions!$B$34:$I$34)/$U$2+$J$2/$U$2*Assumptions!$A$34*G316)*K316*O315)</f>
        <v>0</v>
      </c>
      <c r="AO316">
        <f t="shared" si="223"/>
        <v>0</v>
      </c>
      <c r="AP316">
        <f t="shared" si="224"/>
        <v>0</v>
      </c>
      <c r="AQ316">
        <f>IF(B316&gt;$AJ$2,0,AQ315*(1+Assumptions!$B$43)^(1/12))</f>
        <v>0</v>
      </c>
      <c r="AR316" s="27">
        <f>IF(B316&gt;$AJ$2,0,(O315+R315)*Assumptions!$B$39/12*AQ315+AV316*Assumptions!$B$41/12)</f>
        <v>0</v>
      </c>
      <c r="AS316">
        <f t="shared" si="225"/>
        <v>0</v>
      </c>
      <c r="AT316" s="28">
        <f t="shared" si="226"/>
        <v>0</v>
      </c>
      <c r="AU316">
        <f t="shared" si="227"/>
        <v>0</v>
      </c>
      <c r="AV316" s="28">
        <f t="shared" si="228"/>
        <v>0</v>
      </c>
      <c r="AW316" s="28">
        <f t="shared" si="229"/>
        <v>0</v>
      </c>
      <c r="AX316" s="23">
        <f>HLOOKUP(YEAR(A316),Assumptions!$A$25:$AL$29,2,TRUE)/100</f>
        <v>1.1739999999999999E-2</v>
      </c>
      <c r="AY316" s="29">
        <f>1/(1+HLOOKUP(YEAR(A316),Assumptions!$A$18:$AL$20,3,TRUE))^(1/12)</f>
        <v>0.99902750864006262</v>
      </c>
      <c r="AZ316" s="26">
        <f t="shared" si="230"/>
        <v>0</v>
      </c>
      <c r="BA316">
        <f t="shared" si="231"/>
        <v>0</v>
      </c>
      <c r="BB316">
        <f t="shared" si="232"/>
        <v>0</v>
      </c>
      <c r="BC316">
        <f t="shared" si="233"/>
        <v>0</v>
      </c>
    </row>
    <row r="317" spans="1:55" x14ac:dyDescent="0.2">
      <c r="A317" s="3">
        <f t="shared" si="202"/>
        <v>52412</v>
      </c>
      <c r="B317">
        <f t="shared" si="198"/>
        <v>319</v>
      </c>
      <c r="C317">
        <f t="shared" si="241"/>
        <v>26.5</v>
      </c>
      <c r="D317">
        <f t="shared" si="242"/>
        <v>0</v>
      </c>
      <c r="E317">
        <f t="shared" si="199"/>
        <v>82</v>
      </c>
      <c r="F317">
        <f>IF(C317&gt;=$T$2,0,VLOOKUP($E317,'Mortality Table'!$A$3:$C$128,2+AF$2,FALSE))</f>
        <v>0</v>
      </c>
      <c r="G317">
        <f>F317*Assumptions!$B$1</f>
        <v>0</v>
      </c>
      <c r="H317">
        <f t="shared" si="203"/>
        <v>0</v>
      </c>
      <c r="I317">
        <f t="shared" si="236"/>
        <v>0</v>
      </c>
      <c r="J317">
        <f>IF(B317&gt;$AJ$2,0,HLOOKUP(C317,Assumptions!$A$6:$J$7,2,TRUE))</f>
        <v>0</v>
      </c>
      <c r="K317" s="4">
        <f t="shared" si="237"/>
        <v>0</v>
      </c>
      <c r="L317" s="4">
        <f t="shared" si="204"/>
        <v>0</v>
      </c>
      <c r="M317" s="4">
        <f t="shared" si="238"/>
        <v>0</v>
      </c>
      <c r="N317">
        <f t="shared" si="205"/>
        <v>0</v>
      </c>
      <c r="O317" s="21">
        <f t="shared" si="239"/>
        <v>0</v>
      </c>
      <c r="P317">
        <f>IF(B317&gt;$AJ$2,0,HLOOKUP(C317,Assumptions!$A$12:$J$13,2,TRUE))</f>
        <v>0</v>
      </c>
      <c r="Q317">
        <f t="shared" si="240"/>
        <v>0</v>
      </c>
      <c r="R317">
        <f t="shared" si="206"/>
        <v>0</v>
      </c>
      <c r="S317">
        <f t="shared" si="234"/>
        <v>0</v>
      </c>
      <c r="T317">
        <f t="shared" si="235"/>
        <v>0</v>
      </c>
      <c r="U317">
        <f t="shared" si="207"/>
        <v>0</v>
      </c>
      <c r="V317">
        <f t="shared" si="208"/>
        <v>0</v>
      </c>
      <c r="W317">
        <f t="shared" si="209"/>
        <v>0</v>
      </c>
      <c r="X317">
        <f t="shared" si="200"/>
        <v>0</v>
      </c>
      <c r="Y317">
        <f t="shared" si="210"/>
        <v>0</v>
      </c>
      <c r="Z317">
        <f t="shared" si="211"/>
        <v>0</v>
      </c>
      <c r="AA317">
        <f t="shared" si="212"/>
        <v>0</v>
      </c>
      <c r="AB317">
        <f t="shared" si="213"/>
        <v>0</v>
      </c>
      <c r="AC317" s="23">
        <f>IF(B317&gt;$AJ$2,0,HLOOKUP(YEAR(A317),Assumptions!$A$25:$AL$29,4,TRUE)/100)</f>
        <v>0</v>
      </c>
      <c r="AD317">
        <f t="shared" si="214"/>
        <v>0</v>
      </c>
      <c r="AE317">
        <f t="shared" si="215"/>
        <v>0</v>
      </c>
      <c r="AF317">
        <f t="shared" si="216"/>
        <v>0</v>
      </c>
      <c r="AG317">
        <f t="shared" si="217"/>
        <v>0</v>
      </c>
      <c r="AH317">
        <f t="shared" si="218"/>
        <v>0</v>
      </c>
      <c r="AI317">
        <f t="shared" si="219"/>
        <v>0</v>
      </c>
      <c r="AJ317">
        <f t="shared" si="220"/>
        <v>0</v>
      </c>
      <c r="AK317">
        <f t="shared" si="221"/>
        <v>0</v>
      </c>
      <c r="AL317">
        <f t="shared" si="222"/>
        <v>0</v>
      </c>
      <c r="AM317">
        <f t="shared" si="201"/>
        <v>0</v>
      </c>
      <c r="AN317">
        <f>IF($S$2=0,0,(SUMPRODUCT($K$2:$R$2,Assumptions!$B$34:$I$34)/$U$2+$J$2/$U$2*Assumptions!$A$34*G317)*K317*O316)</f>
        <v>0</v>
      </c>
      <c r="AO317">
        <f t="shared" si="223"/>
        <v>0</v>
      </c>
      <c r="AP317">
        <f t="shared" si="224"/>
        <v>0</v>
      </c>
      <c r="AQ317">
        <f>IF(B317&gt;$AJ$2,0,AQ316*(1+Assumptions!$B$43)^(1/12))</f>
        <v>0</v>
      </c>
      <c r="AR317" s="27">
        <f>IF(B317&gt;$AJ$2,0,(O316+R316)*Assumptions!$B$39/12*AQ316+AV317*Assumptions!$B$41/12)</f>
        <v>0</v>
      </c>
      <c r="AS317">
        <f t="shared" si="225"/>
        <v>0</v>
      </c>
      <c r="AT317" s="28">
        <f t="shared" si="226"/>
        <v>0</v>
      </c>
      <c r="AU317">
        <f t="shared" si="227"/>
        <v>0</v>
      </c>
      <c r="AV317" s="28">
        <f t="shared" si="228"/>
        <v>0</v>
      </c>
      <c r="AW317" s="28">
        <f t="shared" si="229"/>
        <v>0</v>
      </c>
      <c r="AX317" s="23">
        <f>HLOOKUP(YEAR(A317),Assumptions!$A$25:$AL$29,2,TRUE)/100</f>
        <v>1.1739999999999999E-2</v>
      </c>
      <c r="AY317" s="29">
        <f>1/(1+HLOOKUP(YEAR(A317),Assumptions!$A$18:$AL$20,3,TRUE))^(1/12)</f>
        <v>0.99902750864006262</v>
      </c>
      <c r="AZ317" s="26">
        <f t="shared" si="230"/>
        <v>0</v>
      </c>
      <c r="BA317">
        <f t="shared" si="231"/>
        <v>0</v>
      </c>
      <c r="BB317">
        <f t="shared" si="232"/>
        <v>0</v>
      </c>
      <c r="BC317">
        <f t="shared" si="233"/>
        <v>0</v>
      </c>
    </row>
    <row r="318" spans="1:55" x14ac:dyDescent="0.2">
      <c r="A318" s="3">
        <f t="shared" si="202"/>
        <v>52443</v>
      </c>
      <c r="B318">
        <f t="shared" si="198"/>
        <v>320</v>
      </c>
      <c r="C318">
        <f t="shared" si="241"/>
        <v>26.583333333333332</v>
      </c>
      <c r="D318">
        <f t="shared" si="242"/>
        <v>0</v>
      </c>
      <c r="E318">
        <f t="shared" si="199"/>
        <v>82</v>
      </c>
      <c r="F318">
        <f>IF(C318&gt;=$T$2,0,VLOOKUP($E318,'Mortality Table'!$A$3:$C$128,2+AF$2,FALSE))</f>
        <v>0</v>
      </c>
      <c r="G318">
        <f>F318*Assumptions!$B$1</f>
        <v>0</v>
      </c>
      <c r="H318">
        <f t="shared" si="203"/>
        <v>0</v>
      </c>
      <c r="I318">
        <f t="shared" si="236"/>
        <v>0</v>
      </c>
      <c r="J318">
        <f>IF(B318&gt;$AJ$2,0,HLOOKUP(C318,Assumptions!$A$6:$J$7,2,TRUE))</f>
        <v>0</v>
      </c>
      <c r="K318" s="4">
        <f t="shared" si="237"/>
        <v>0</v>
      </c>
      <c r="L318" s="4">
        <f t="shared" si="204"/>
        <v>0</v>
      </c>
      <c r="M318" s="4">
        <f t="shared" si="238"/>
        <v>0</v>
      </c>
      <c r="N318">
        <f t="shared" si="205"/>
        <v>0</v>
      </c>
      <c r="O318" s="21">
        <f t="shared" si="239"/>
        <v>0</v>
      </c>
      <c r="P318">
        <f>IF(B318&gt;$AJ$2,0,HLOOKUP(C318,Assumptions!$A$12:$J$13,2,TRUE))</f>
        <v>0</v>
      </c>
      <c r="Q318">
        <f t="shared" si="240"/>
        <v>0</v>
      </c>
      <c r="R318">
        <f t="shared" si="206"/>
        <v>0</v>
      </c>
      <c r="S318">
        <f t="shared" si="234"/>
        <v>0</v>
      </c>
      <c r="T318">
        <f t="shared" si="235"/>
        <v>0</v>
      </c>
      <c r="U318">
        <f t="shared" si="207"/>
        <v>0</v>
      </c>
      <c r="V318">
        <f t="shared" si="208"/>
        <v>0</v>
      </c>
      <c r="W318">
        <f t="shared" si="209"/>
        <v>0</v>
      </c>
      <c r="X318">
        <f t="shared" si="200"/>
        <v>0</v>
      </c>
      <c r="Y318">
        <f t="shared" si="210"/>
        <v>0</v>
      </c>
      <c r="Z318">
        <f t="shared" si="211"/>
        <v>0</v>
      </c>
      <c r="AA318">
        <f t="shared" si="212"/>
        <v>0</v>
      </c>
      <c r="AB318">
        <f t="shared" si="213"/>
        <v>0</v>
      </c>
      <c r="AC318" s="23">
        <f>IF(B318&gt;$AJ$2,0,HLOOKUP(YEAR(A318),Assumptions!$A$25:$AL$29,4,TRUE)/100)</f>
        <v>0</v>
      </c>
      <c r="AD318">
        <f t="shared" si="214"/>
        <v>0</v>
      </c>
      <c r="AE318">
        <f t="shared" si="215"/>
        <v>0</v>
      </c>
      <c r="AF318">
        <f t="shared" si="216"/>
        <v>0</v>
      </c>
      <c r="AG318">
        <f t="shared" si="217"/>
        <v>0</v>
      </c>
      <c r="AH318">
        <f t="shared" si="218"/>
        <v>0</v>
      </c>
      <c r="AI318">
        <f t="shared" si="219"/>
        <v>0</v>
      </c>
      <c r="AJ318">
        <f t="shared" si="220"/>
        <v>0</v>
      </c>
      <c r="AK318">
        <f t="shared" si="221"/>
        <v>0</v>
      </c>
      <c r="AL318">
        <f t="shared" si="222"/>
        <v>0</v>
      </c>
      <c r="AM318">
        <f t="shared" si="201"/>
        <v>0</v>
      </c>
      <c r="AN318">
        <f>IF($S$2=0,0,(SUMPRODUCT($K$2:$R$2,Assumptions!$B$34:$I$34)/$U$2+$J$2/$U$2*Assumptions!$A$34*G318)*K318*O317)</f>
        <v>0</v>
      </c>
      <c r="AO318">
        <f t="shared" si="223"/>
        <v>0</v>
      </c>
      <c r="AP318">
        <f t="shared" si="224"/>
        <v>0</v>
      </c>
      <c r="AQ318">
        <f>IF(B318&gt;$AJ$2,0,AQ317*(1+Assumptions!$B$43)^(1/12))</f>
        <v>0</v>
      </c>
      <c r="AR318" s="27">
        <f>IF(B318&gt;$AJ$2,0,(O317+R317)*Assumptions!$B$39/12*AQ317+AV318*Assumptions!$B$41/12)</f>
        <v>0</v>
      </c>
      <c r="AS318">
        <f t="shared" si="225"/>
        <v>0</v>
      </c>
      <c r="AT318" s="28">
        <f t="shared" si="226"/>
        <v>0</v>
      </c>
      <c r="AU318">
        <f t="shared" si="227"/>
        <v>0</v>
      </c>
      <c r="AV318" s="28">
        <f t="shared" si="228"/>
        <v>0</v>
      </c>
      <c r="AW318" s="28">
        <f t="shared" si="229"/>
        <v>0</v>
      </c>
      <c r="AX318" s="23">
        <f>HLOOKUP(YEAR(A318),Assumptions!$A$25:$AL$29,2,TRUE)/100</f>
        <v>1.1739999999999999E-2</v>
      </c>
      <c r="AY318" s="29">
        <f>1/(1+HLOOKUP(YEAR(A318),Assumptions!$A$18:$AL$20,3,TRUE))^(1/12)</f>
        <v>0.99902750864006262</v>
      </c>
      <c r="AZ318" s="26">
        <f t="shared" si="230"/>
        <v>0</v>
      </c>
      <c r="BA318">
        <f t="shared" si="231"/>
        <v>0</v>
      </c>
      <c r="BB318">
        <f t="shared" si="232"/>
        <v>0</v>
      </c>
      <c r="BC318">
        <f t="shared" si="233"/>
        <v>0</v>
      </c>
    </row>
    <row r="319" spans="1:55" x14ac:dyDescent="0.2">
      <c r="A319" s="3">
        <f t="shared" si="202"/>
        <v>52474</v>
      </c>
      <c r="B319">
        <f t="shared" si="198"/>
        <v>321</v>
      </c>
      <c r="C319">
        <f t="shared" si="241"/>
        <v>26.666666666666668</v>
      </c>
      <c r="D319">
        <f t="shared" si="242"/>
        <v>0</v>
      </c>
      <c r="E319">
        <f t="shared" si="199"/>
        <v>82</v>
      </c>
      <c r="F319">
        <f>IF(C319&gt;=$T$2,0,VLOOKUP($E319,'Mortality Table'!$A$3:$C$128,2+AF$2,FALSE))</f>
        <v>0</v>
      </c>
      <c r="G319">
        <f>F319*Assumptions!$B$1</f>
        <v>0</v>
      </c>
      <c r="H319">
        <f t="shared" si="203"/>
        <v>0</v>
      </c>
      <c r="I319">
        <f t="shared" si="236"/>
        <v>0</v>
      </c>
      <c r="J319">
        <f>IF(B319&gt;$AJ$2,0,HLOOKUP(C319,Assumptions!$A$6:$J$7,2,TRUE))</f>
        <v>0</v>
      </c>
      <c r="K319" s="4">
        <f t="shared" si="237"/>
        <v>0</v>
      </c>
      <c r="L319" s="4">
        <f t="shared" si="204"/>
        <v>0</v>
      </c>
      <c r="M319" s="4">
        <f t="shared" si="238"/>
        <v>0</v>
      </c>
      <c r="N319">
        <f t="shared" si="205"/>
        <v>0</v>
      </c>
      <c r="O319" s="21">
        <f t="shared" si="239"/>
        <v>0</v>
      </c>
      <c r="P319">
        <f>IF(B319&gt;$AJ$2,0,HLOOKUP(C319,Assumptions!$A$12:$J$13,2,TRUE))</f>
        <v>0</v>
      </c>
      <c r="Q319">
        <f t="shared" si="240"/>
        <v>0</v>
      </c>
      <c r="R319">
        <f t="shared" si="206"/>
        <v>0</v>
      </c>
      <c r="S319">
        <f t="shared" si="234"/>
        <v>0</v>
      </c>
      <c r="T319">
        <f t="shared" si="235"/>
        <v>0</v>
      </c>
      <c r="U319">
        <f t="shared" si="207"/>
        <v>0</v>
      </c>
      <c r="V319">
        <f t="shared" si="208"/>
        <v>0</v>
      </c>
      <c r="W319">
        <f t="shared" si="209"/>
        <v>0</v>
      </c>
      <c r="X319">
        <f t="shared" si="200"/>
        <v>0</v>
      </c>
      <c r="Y319">
        <f t="shared" si="210"/>
        <v>0</v>
      </c>
      <c r="Z319">
        <f t="shared" si="211"/>
        <v>0</v>
      </c>
      <c r="AA319">
        <f t="shared" si="212"/>
        <v>0</v>
      </c>
      <c r="AB319">
        <f t="shared" si="213"/>
        <v>0</v>
      </c>
      <c r="AC319" s="23">
        <f>IF(B319&gt;$AJ$2,0,HLOOKUP(YEAR(A319),Assumptions!$A$25:$AL$29,4,TRUE)/100)</f>
        <v>0</v>
      </c>
      <c r="AD319">
        <f t="shared" si="214"/>
        <v>0</v>
      </c>
      <c r="AE319">
        <f t="shared" si="215"/>
        <v>0</v>
      </c>
      <c r="AF319">
        <f t="shared" si="216"/>
        <v>0</v>
      </c>
      <c r="AG319">
        <f t="shared" si="217"/>
        <v>0</v>
      </c>
      <c r="AH319">
        <f t="shared" si="218"/>
        <v>0</v>
      </c>
      <c r="AI319">
        <f t="shared" si="219"/>
        <v>0</v>
      </c>
      <c r="AJ319">
        <f t="shared" si="220"/>
        <v>0</v>
      </c>
      <c r="AK319">
        <f t="shared" si="221"/>
        <v>0</v>
      </c>
      <c r="AL319">
        <f t="shared" si="222"/>
        <v>0</v>
      </c>
      <c r="AM319">
        <f t="shared" si="201"/>
        <v>0</v>
      </c>
      <c r="AN319">
        <f>IF($S$2=0,0,(SUMPRODUCT($K$2:$R$2,Assumptions!$B$34:$I$34)/$U$2+$J$2/$U$2*Assumptions!$A$34*G319)*K319*O318)</f>
        <v>0</v>
      </c>
      <c r="AO319">
        <f t="shared" si="223"/>
        <v>0</v>
      </c>
      <c r="AP319">
        <f t="shared" si="224"/>
        <v>0</v>
      </c>
      <c r="AQ319">
        <f>IF(B319&gt;$AJ$2,0,AQ318*(1+Assumptions!$B$43)^(1/12))</f>
        <v>0</v>
      </c>
      <c r="AR319" s="27">
        <f>IF(B319&gt;$AJ$2,0,(O318+R318)*Assumptions!$B$39/12*AQ318+AV319*Assumptions!$B$41/12)</f>
        <v>0</v>
      </c>
      <c r="AS319">
        <f t="shared" si="225"/>
        <v>0</v>
      </c>
      <c r="AT319" s="28">
        <f t="shared" si="226"/>
        <v>0</v>
      </c>
      <c r="AU319">
        <f t="shared" si="227"/>
        <v>0</v>
      </c>
      <c r="AV319" s="28">
        <f t="shared" si="228"/>
        <v>0</v>
      </c>
      <c r="AW319" s="28">
        <f t="shared" si="229"/>
        <v>0</v>
      </c>
      <c r="AX319" s="23">
        <f>HLOOKUP(YEAR(A319),Assumptions!$A$25:$AL$29,2,TRUE)/100</f>
        <v>1.1739999999999999E-2</v>
      </c>
      <c r="AY319" s="29">
        <f>1/(1+HLOOKUP(YEAR(A319),Assumptions!$A$18:$AL$20,3,TRUE))^(1/12)</f>
        <v>0.99902750864006262</v>
      </c>
      <c r="AZ319" s="26">
        <f t="shared" si="230"/>
        <v>0</v>
      </c>
      <c r="BA319">
        <f t="shared" si="231"/>
        <v>0</v>
      </c>
      <c r="BB319">
        <f t="shared" si="232"/>
        <v>0</v>
      </c>
      <c r="BC319">
        <f t="shared" si="233"/>
        <v>0</v>
      </c>
    </row>
    <row r="320" spans="1:55" x14ac:dyDescent="0.2">
      <c r="A320" s="3">
        <f t="shared" si="202"/>
        <v>52504</v>
      </c>
      <c r="B320">
        <f t="shared" si="198"/>
        <v>322</v>
      </c>
      <c r="C320">
        <f t="shared" si="241"/>
        <v>26.75</v>
      </c>
      <c r="D320">
        <f t="shared" si="242"/>
        <v>0</v>
      </c>
      <c r="E320">
        <f t="shared" si="199"/>
        <v>82</v>
      </c>
      <c r="F320">
        <f>IF(C320&gt;=$T$2,0,VLOOKUP($E320,'Mortality Table'!$A$3:$C$128,2+AF$2,FALSE))</f>
        <v>0</v>
      </c>
      <c r="G320">
        <f>F320*Assumptions!$B$1</f>
        <v>0</v>
      </c>
      <c r="H320">
        <f t="shared" si="203"/>
        <v>0</v>
      </c>
      <c r="I320">
        <f t="shared" si="236"/>
        <v>0</v>
      </c>
      <c r="J320">
        <f>IF(B320&gt;$AJ$2,0,HLOOKUP(C320,Assumptions!$A$6:$J$7,2,TRUE))</f>
        <v>0</v>
      </c>
      <c r="K320" s="4">
        <f t="shared" si="237"/>
        <v>0</v>
      </c>
      <c r="L320" s="4">
        <f t="shared" si="204"/>
        <v>0</v>
      </c>
      <c r="M320" s="4">
        <f t="shared" si="238"/>
        <v>0</v>
      </c>
      <c r="N320">
        <f t="shared" si="205"/>
        <v>0</v>
      </c>
      <c r="O320" s="21">
        <f t="shared" si="239"/>
        <v>0</v>
      </c>
      <c r="P320">
        <f>IF(B320&gt;$AJ$2,0,HLOOKUP(C320,Assumptions!$A$12:$J$13,2,TRUE))</f>
        <v>0</v>
      </c>
      <c r="Q320">
        <f t="shared" si="240"/>
        <v>0</v>
      </c>
      <c r="R320">
        <f t="shared" si="206"/>
        <v>0</v>
      </c>
      <c r="S320">
        <f t="shared" si="234"/>
        <v>0</v>
      </c>
      <c r="T320">
        <f t="shared" si="235"/>
        <v>0</v>
      </c>
      <c r="U320">
        <f t="shared" si="207"/>
        <v>0</v>
      </c>
      <c r="V320">
        <f t="shared" si="208"/>
        <v>0</v>
      </c>
      <c r="W320">
        <f t="shared" si="209"/>
        <v>0</v>
      </c>
      <c r="X320">
        <f t="shared" si="200"/>
        <v>0</v>
      </c>
      <c r="Y320">
        <f t="shared" si="210"/>
        <v>0</v>
      </c>
      <c r="Z320">
        <f t="shared" si="211"/>
        <v>0</v>
      </c>
      <c r="AA320">
        <f t="shared" si="212"/>
        <v>0</v>
      </c>
      <c r="AB320">
        <f t="shared" si="213"/>
        <v>0</v>
      </c>
      <c r="AC320" s="23">
        <f>IF(B320&gt;$AJ$2,0,HLOOKUP(YEAR(A320),Assumptions!$A$25:$AL$29,4,TRUE)/100)</f>
        <v>0</v>
      </c>
      <c r="AD320">
        <f t="shared" si="214"/>
        <v>0</v>
      </c>
      <c r="AE320">
        <f t="shared" si="215"/>
        <v>0</v>
      </c>
      <c r="AF320">
        <f t="shared" si="216"/>
        <v>0</v>
      </c>
      <c r="AG320">
        <f t="shared" si="217"/>
        <v>0</v>
      </c>
      <c r="AH320">
        <f t="shared" si="218"/>
        <v>0</v>
      </c>
      <c r="AI320">
        <f t="shared" si="219"/>
        <v>0</v>
      </c>
      <c r="AJ320">
        <f t="shared" si="220"/>
        <v>0</v>
      </c>
      <c r="AK320">
        <f t="shared" si="221"/>
        <v>0</v>
      </c>
      <c r="AL320">
        <f t="shared" si="222"/>
        <v>0</v>
      </c>
      <c r="AM320">
        <f t="shared" si="201"/>
        <v>0</v>
      </c>
      <c r="AN320">
        <f>IF($S$2=0,0,(SUMPRODUCT($K$2:$R$2,Assumptions!$B$34:$I$34)/$U$2+$J$2/$U$2*Assumptions!$A$34*G320)*K320*O319)</f>
        <v>0</v>
      </c>
      <c r="AO320">
        <f t="shared" si="223"/>
        <v>0</v>
      </c>
      <c r="AP320">
        <f t="shared" si="224"/>
        <v>0</v>
      </c>
      <c r="AQ320">
        <f>IF(B320&gt;$AJ$2,0,AQ319*(1+Assumptions!$B$43)^(1/12))</f>
        <v>0</v>
      </c>
      <c r="AR320" s="27">
        <f>IF(B320&gt;$AJ$2,0,(O319+R319)*Assumptions!$B$39/12*AQ319+AV320*Assumptions!$B$41/12)</f>
        <v>0</v>
      </c>
      <c r="AS320">
        <f t="shared" si="225"/>
        <v>0</v>
      </c>
      <c r="AT320" s="28">
        <f t="shared" si="226"/>
        <v>0</v>
      </c>
      <c r="AU320">
        <f t="shared" si="227"/>
        <v>0</v>
      </c>
      <c r="AV320" s="28">
        <f t="shared" si="228"/>
        <v>0</v>
      </c>
      <c r="AW320" s="28">
        <f t="shared" si="229"/>
        <v>0</v>
      </c>
      <c r="AX320" s="23">
        <f>HLOOKUP(YEAR(A320),Assumptions!$A$25:$AL$29,2,TRUE)/100</f>
        <v>1.1739999999999999E-2</v>
      </c>
      <c r="AY320" s="29">
        <f>1/(1+HLOOKUP(YEAR(A320),Assumptions!$A$18:$AL$20,3,TRUE))^(1/12)</f>
        <v>0.99902750864006262</v>
      </c>
      <c r="AZ320" s="26">
        <f t="shared" si="230"/>
        <v>0</v>
      </c>
      <c r="BA320">
        <f t="shared" si="231"/>
        <v>0</v>
      </c>
      <c r="BB320">
        <f t="shared" si="232"/>
        <v>0</v>
      </c>
      <c r="BC320">
        <f t="shared" si="233"/>
        <v>0</v>
      </c>
    </row>
    <row r="321" spans="1:55" x14ac:dyDescent="0.2">
      <c r="A321" s="3">
        <f t="shared" si="202"/>
        <v>52535</v>
      </c>
      <c r="B321">
        <f t="shared" si="198"/>
        <v>323</v>
      </c>
      <c r="C321">
        <f t="shared" si="241"/>
        <v>26.833333333333332</v>
      </c>
      <c r="D321">
        <f t="shared" si="242"/>
        <v>0</v>
      </c>
      <c r="E321">
        <f t="shared" si="199"/>
        <v>82</v>
      </c>
      <c r="F321">
        <f>IF(C321&gt;=$T$2,0,VLOOKUP($E321,'Mortality Table'!$A$3:$C$128,2+AF$2,FALSE))</f>
        <v>0</v>
      </c>
      <c r="G321">
        <f>F321*Assumptions!$B$1</f>
        <v>0</v>
      </c>
      <c r="H321">
        <f t="shared" si="203"/>
        <v>0</v>
      </c>
      <c r="I321">
        <f t="shared" si="236"/>
        <v>0</v>
      </c>
      <c r="J321">
        <f>IF(B321&gt;$AJ$2,0,HLOOKUP(C321,Assumptions!$A$6:$J$7,2,TRUE))</f>
        <v>0</v>
      </c>
      <c r="K321" s="4">
        <f t="shared" si="237"/>
        <v>0</v>
      </c>
      <c r="L321" s="4">
        <f t="shared" si="204"/>
        <v>0</v>
      </c>
      <c r="M321" s="4">
        <f t="shared" si="238"/>
        <v>0</v>
      </c>
      <c r="N321">
        <f t="shared" si="205"/>
        <v>0</v>
      </c>
      <c r="O321" s="21">
        <f t="shared" si="239"/>
        <v>0</v>
      </c>
      <c r="P321">
        <f>IF(B321&gt;$AJ$2,0,HLOOKUP(C321,Assumptions!$A$12:$J$13,2,TRUE))</f>
        <v>0</v>
      </c>
      <c r="Q321">
        <f t="shared" si="240"/>
        <v>0</v>
      </c>
      <c r="R321">
        <f t="shared" si="206"/>
        <v>0</v>
      </c>
      <c r="S321">
        <f t="shared" si="234"/>
        <v>0</v>
      </c>
      <c r="T321">
        <f t="shared" si="235"/>
        <v>0</v>
      </c>
      <c r="U321">
        <f t="shared" si="207"/>
        <v>0</v>
      </c>
      <c r="V321">
        <f t="shared" si="208"/>
        <v>0</v>
      </c>
      <c r="W321">
        <f t="shared" si="209"/>
        <v>0</v>
      </c>
      <c r="X321">
        <f t="shared" si="200"/>
        <v>0</v>
      </c>
      <c r="Y321">
        <f t="shared" si="210"/>
        <v>0</v>
      </c>
      <c r="Z321">
        <f t="shared" si="211"/>
        <v>0</v>
      </c>
      <c r="AA321">
        <f t="shared" si="212"/>
        <v>0</v>
      </c>
      <c r="AB321">
        <f t="shared" si="213"/>
        <v>0</v>
      </c>
      <c r="AC321" s="23">
        <f>IF(B321&gt;$AJ$2,0,HLOOKUP(YEAR(A321),Assumptions!$A$25:$AL$29,4,TRUE)/100)</f>
        <v>0</v>
      </c>
      <c r="AD321">
        <f t="shared" si="214"/>
        <v>0</v>
      </c>
      <c r="AE321">
        <f t="shared" si="215"/>
        <v>0</v>
      </c>
      <c r="AF321">
        <f t="shared" si="216"/>
        <v>0</v>
      </c>
      <c r="AG321">
        <f t="shared" si="217"/>
        <v>0</v>
      </c>
      <c r="AH321">
        <f t="shared" si="218"/>
        <v>0</v>
      </c>
      <c r="AI321">
        <f t="shared" si="219"/>
        <v>0</v>
      </c>
      <c r="AJ321">
        <f t="shared" si="220"/>
        <v>0</v>
      </c>
      <c r="AK321">
        <f t="shared" si="221"/>
        <v>0</v>
      </c>
      <c r="AL321">
        <f t="shared" si="222"/>
        <v>0</v>
      </c>
      <c r="AM321">
        <f t="shared" si="201"/>
        <v>0</v>
      </c>
      <c r="AN321">
        <f>IF($S$2=0,0,(SUMPRODUCT($K$2:$R$2,Assumptions!$B$34:$I$34)/$U$2+$J$2/$U$2*Assumptions!$A$34*G321)*K321*O320)</f>
        <v>0</v>
      </c>
      <c r="AO321">
        <f t="shared" si="223"/>
        <v>0</v>
      </c>
      <c r="AP321">
        <f t="shared" si="224"/>
        <v>0</v>
      </c>
      <c r="AQ321">
        <f>IF(B321&gt;$AJ$2,0,AQ320*(1+Assumptions!$B$43)^(1/12))</f>
        <v>0</v>
      </c>
      <c r="AR321" s="27">
        <f>IF(B321&gt;$AJ$2,0,(O320+R320)*Assumptions!$B$39/12*AQ320+AV321*Assumptions!$B$41/12)</f>
        <v>0</v>
      </c>
      <c r="AS321">
        <f t="shared" si="225"/>
        <v>0</v>
      </c>
      <c r="AT321" s="28">
        <f t="shared" si="226"/>
        <v>0</v>
      </c>
      <c r="AU321">
        <f t="shared" si="227"/>
        <v>0</v>
      </c>
      <c r="AV321" s="28">
        <f t="shared" si="228"/>
        <v>0</v>
      </c>
      <c r="AW321" s="28">
        <f t="shared" si="229"/>
        <v>0</v>
      </c>
      <c r="AX321" s="23">
        <f>HLOOKUP(YEAR(A321),Assumptions!$A$25:$AL$29,2,TRUE)/100</f>
        <v>1.1739999999999999E-2</v>
      </c>
      <c r="AY321" s="29">
        <f>1/(1+HLOOKUP(YEAR(A321),Assumptions!$A$18:$AL$20,3,TRUE))^(1/12)</f>
        <v>0.99902750864006262</v>
      </c>
      <c r="AZ321" s="26">
        <f t="shared" si="230"/>
        <v>0</v>
      </c>
      <c r="BA321">
        <f t="shared" si="231"/>
        <v>0</v>
      </c>
      <c r="BB321">
        <f t="shared" si="232"/>
        <v>0</v>
      </c>
      <c r="BC321">
        <f t="shared" si="233"/>
        <v>0</v>
      </c>
    </row>
    <row r="322" spans="1:55" x14ac:dyDescent="0.2">
      <c r="A322" s="3">
        <f t="shared" si="202"/>
        <v>52565</v>
      </c>
      <c r="B322">
        <f t="shared" si="198"/>
        <v>324</v>
      </c>
      <c r="C322">
        <f t="shared" si="241"/>
        <v>26.916666666666668</v>
      </c>
      <c r="D322">
        <f t="shared" si="242"/>
        <v>0</v>
      </c>
      <c r="E322">
        <f t="shared" si="199"/>
        <v>82</v>
      </c>
      <c r="F322">
        <f>IF(C322&gt;=$T$2,0,VLOOKUP($E322,'Mortality Table'!$A$3:$C$128,2+AF$2,FALSE))</f>
        <v>0</v>
      </c>
      <c r="G322">
        <f>F322*Assumptions!$B$1</f>
        <v>0</v>
      </c>
      <c r="H322">
        <f t="shared" si="203"/>
        <v>0</v>
      </c>
      <c r="I322">
        <f t="shared" si="236"/>
        <v>0</v>
      </c>
      <c r="J322">
        <f>IF(B322&gt;$AJ$2,0,HLOOKUP(C322,Assumptions!$A$6:$J$7,2,TRUE))</f>
        <v>0</v>
      </c>
      <c r="K322" s="4">
        <f t="shared" si="237"/>
        <v>0</v>
      </c>
      <c r="L322" s="4">
        <f t="shared" si="204"/>
        <v>0</v>
      </c>
      <c r="M322" s="4">
        <f t="shared" si="238"/>
        <v>0</v>
      </c>
      <c r="N322">
        <f t="shared" si="205"/>
        <v>0</v>
      </c>
      <c r="O322" s="21">
        <f t="shared" si="239"/>
        <v>0</v>
      </c>
      <c r="P322">
        <f>IF(B322&gt;$AJ$2,0,HLOOKUP(C322,Assumptions!$A$12:$J$13,2,TRUE))</f>
        <v>0</v>
      </c>
      <c r="Q322">
        <f t="shared" si="240"/>
        <v>0</v>
      </c>
      <c r="R322">
        <f t="shared" si="206"/>
        <v>0</v>
      </c>
      <c r="S322">
        <f t="shared" si="234"/>
        <v>0</v>
      </c>
      <c r="T322">
        <f t="shared" si="235"/>
        <v>0</v>
      </c>
      <c r="U322">
        <f t="shared" si="207"/>
        <v>0</v>
      </c>
      <c r="V322">
        <f t="shared" si="208"/>
        <v>0</v>
      </c>
      <c r="W322">
        <f t="shared" si="209"/>
        <v>0</v>
      </c>
      <c r="X322">
        <f t="shared" si="200"/>
        <v>0</v>
      </c>
      <c r="Y322">
        <f t="shared" si="210"/>
        <v>0</v>
      </c>
      <c r="Z322">
        <f t="shared" si="211"/>
        <v>0</v>
      </c>
      <c r="AA322">
        <f t="shared" si="212"/>
        <v>0</v>
      </c>
      <c r="AB322">
        <f t="shared" si="213"/>
        <v>0</v>
      </c>
      <c r="AC322" s="23">
        <f>IF(B322&gt;$AJ$2,0,HLOOKUP(YEAR(A322),Assumptions!$A$25:$AL$29,4,TRUE)/100)</f>
        <v>0</v>
      </c>
      <c r="AD322">
        <f t="shared" si="214"/>
        <v>0</v>
      </c>
      <c r="AE322">
        <f t="shared" si="215"/>
        <v>0</v>
      </c>
      <c r="AF322">
        <f t="shared" si="216"/>
        <v>0</v>
      </c>
      <c r="AG322">
        <f t="shared" si="217"/>
        <v>0</v>
      </c>
      <c r="AH322">
        <f t="shared" si="218"/>
        <v>0</v>
      </c>
      <c r="AI322">
        <f t="shared" si="219"/>
        <v>0</v>
      </c>
      <c r="AJ322">
        <f t="shared" si="220"/>
        <v>0</v>
      </c>
      <c r="AK322">
        <f t="shared" si="221"/>
        <v>0</v>
      </c>
      <c r="AL322">
        <f t="shared" si="222"/>
        <v>0</v>
      </c>
      <c r="AM322">
        <f t="shared" si="201"/>
        <v>0</v>
      </c>
      <c r="AN322">
        <f>IF($S$2=0,0,(SUMPRODUCT($K$2:$R$2,Assumptions!$B$34:$I$34)/$U$2+$J$2/$U$2*Assumptions!$A$34*G322)*K322*O321)</f>
        <v>0</v>
      </c>
      <c r="AO322">
        <f t="shared" si="223"/>
        <v>0</v>
      </c>
      <c r="AP322">
        <f t="shared" si="224"/>
        <v>0</v>
      </c>
      <c r="AQ322">
        <f>IF(B322&gt;$AJ$2,0,AQ321*(1+Assumptions!$B$43)^(1/12))</f>
        <v>0</v>
      </c>
      <c r="AR322" s="27">
        <f>IF(B322&gt;$AJ$2,0,(O321+R321)*Assumptions!$B$39/12*AQ321+AV322*Assumptions!$B$41/12)</f>
        <v>0</v>
      </c>
      <c r="AS322">
        <f t="shared" si="225"/>
        <v>0</v>
      </c>
      <c r="AT322" s="28">
        <f t="shared" si="226"/>
        <v>0</v>
      </c>
      <c r="AU322">
        <f t="shared" si="227"/>
        <v>0</v>
      </c>
      <c r="AV322" s="28">
        <f t="shared" si="228"/>
        <v>0</v>
      </c>
      <c r="AW322" s="28">
        <f t="shared" si="229"/>
        <v>0</v>
      </c>
      <c r="AX322" s="23">
        <f>HLOOKUP(YEAR(A322),Assumptions!$A$25:$AL$29,2,TRUE)/100</f>
        <v>1.1739999999999999E-2</v>
      </c>
      <c r="AY322" s="29">
        <f>1/(1+HLOOKUP(YEAR(A322),Assumptions!$A$18:$AL$20,3,TRUE))^(1/12)</f>
        <v>0.99902750864006262</v>
      </c>
      <c r="AZ322" s="26">
        <f t="shared" si="230"/>
        <v>0</v>
      </c>
      <c r="BA322">
        <f t="shared" si="231"/>
        <v>0</v>
      </c>
      <c r="BB322">
        <f t="shared" si="232"/>
        <v>0</v>
      </c>
      <c r="BC322">
        <f t="shared" si="233"/>
        <v>0</v>
      </c>
    </row>
    <row r="323" spans="1:55" x14ac:dyDescent="0.2">
      <c r="A323" s="3">
        <f t="shared" si="202"/>
        <v>52596</v>
      </c>
      <c r="B323">
        <f t="shared" si="198"/>
        <v>325</v>
      </c>
      <c r="C323">
        <f t="shared" si="241"/>
        <v>27</v>
      </c>
      <c r="D323">
        <f t="shared" si="242"/>
        <v>1</v>
      </c>
      <c r="E323">
        <f t="shared" si="199"/>
        <v>83</v>
      </c>
      <c r="F323">
        <f>IF(C323&gt;=$T$2,0,VLOOKUP($E323,'Mortality Table'!$A$3:$C$128,2+AF$2,FALSE))</f>
        <v>0</v>
      </c>
      <c r="G323">
        <f>F323*Assumptions!$B$1</f>
        <v>0</v>
      </c>
      <c r="H323">
        <f t="shared" si="203"/>
        <v>0</v>
      </c>
      <c r="I323">
        <f t="shared" si="236"/>
        <v>0</v>
      </c>
      <c r="J323">
        <f>IF(B323&gt;$AJ$2,0,HLOOKUP(C323,Assumptions!$A$6:$J$7,2,TRUE))</f>
        <v>0</v>
      </c>
      <c r="K323" s="4">
        <f t="shared" si="237"/>
        <v>0</v>
      </c>
      <c r="L323" s="4">
        <f t="shared" si="204"/>
        <v>0</v>
      </c>
      <c r="M323" s="4">
        <f t="shared" si="238"/>
        <v>0</v>
      </c>
      <c r="N323">
        <f t="shared" si="205"/>
        <v>0</v>
      </c>
      <c r="O323" s="21">
        <f t="shared" si="239"/>
        <v>0</v>
      </c>
      <c r="P323">
        <f>IF(B323&gt;$AJ$2,0,HLOOKUP(C323,Assumptions!$A$12:$J$13,2,TRUE))</f>
        <v>0</v>
      </c>
      <c r="Q323">
        <f t="shared" si="240"/>
        <v>0</v>
      </c>
      <c r="R323">
        <f t="shared" si="206"/>
        <v>0</v>
      </c>
      <c r="S323">
        <f t="shared" si="234"/>
        <v>0</v>
      </c>
      <c r="T323">
        <f t="shared" si="235"/>
        <v>0</v>
      </c>
      <c r="U323">
        <f t="shared" si="207"/>
        <v>0</v>
      </c>
      <c r="V323">
        <f t="shared" si="208"/>
        <v>0</v>
      </c>
      <c r="W323">
        <f t="shared" si="209"/>
        <v>0</v>
      </c>
      <c r="X323">
        <f t="shared" si="200"/>
        <v>0</v>
      </c>
      <c r="Y323">
        <f t="shared" si="210"/>
        <v>0</v>
      </c>
      <c r="Z323">
        <f t="shared" si="211"/>
        <v>0</v>
      </c>
      <c r="AA323">
        <f t="shared" si="212"/>
        <v>0</v>
      </c>
      <c r="AB323">
        <f t="shared" si="213"/>
        <v>0</v>
      </c>
      <c r="AC323" s="23">
        <f>IF(B323&gt;$AJ$2,0,HLOOKUP(YEAR(A323),Assumptions!$A$25:$AL$29,4,TRUE)/100)</f>
        <v>0</v>
      </c>
      <c r="AD323">
        <f t="shared" si="214"/>
        <v>0</v>
      </c>
      <c r="AE323">
        <f t="shared" si="215"/>
        <v>0</v>
      </c>
      <c r="AF323">
        <f t="shared" si="216"/>
        <v>0</v>
      </c>
      <c r="AG323">
        <f t="shared" si="217"/>
        <v>0</v>
      </c>
      <c r="AH323">
        <f t="shared" si="218"/>
        <v>0</v>
      </c>
      <c r="AI323">
        <f t="shared" si="219"/>
        <v>0</v>
      </c>
      <c r="AJ323">
        <f t="shared" si="220"/>
        <v>0</v>
      </c>
      <c r="AK323">
        <f t="shared" si="221"/>
        <v>0</v>
      </c>
      <c r="AL323">
        <f t="shared" si="222"/>
        <v>0</v>
      </c>
      <c r="AM323">
        <f t="shared" si="201"/>
        <v>0</v>
      </c>
      <c r="AN323">
        <f>IF($S$2=0,0,(SUMPRODUCT($K$2:$R$2,Assumptions!$B$34:$I$34)/$U$2+$J$2/$U$2*Assumptions!$A$34*G323)*K323*O322)</f>
        <v>0</v>
      </c>
      <c r="AO323">
        <f t="shared" si="223"/>
        <v>0</v>
      </c>
      <c r="AP323">
        <f t="shared" si="224"/>
        <v>0</v>
      </c>
      <c r="AQ323">
        <f>IF(B323&gt;$AJ$2,0,AQ322*(1+Assumptions!$B$43)^(1/12))</f>
        <v>0</v>
      </c>
      <c r="AR323" s="27">
        <f>IF(B323&gt;$AJ$2,0,(O322+R322)*Assumptions!$B$39/12*AQ322+AV323*Assumptions!$B$41/12)</f>
        <v>0</v>
      </c>
      <c r="AS323">
        <f t="shared" si="225"/>
        <v>0</v>
      </c>
      <c r="AT323" s="28">
        <f t="shared" si="226"/>
        <v>0</v>
      </c>
      <c r="AU323">
        <f t="shared" si="227"/>
        <v>0</v>
      </c>
      <c r="AV323" s="28">
        <f t="shared" si="228"/>
        <v>0</v>
      </c>
      <c r="AW323" s="28">
        <f t="shared" si="229"/>
        <v>0</v>
      </c>
      <c r="AX323" s="23">
        <f>HLOOKUP(YEAR(A323),Assumptions!$A$25:$AL$29,2,TRUE)/100</f>
        <v>1.1739999999999999E-2</v>
      </c>
      <c r="AY323" s="29">
        <f>1/(1+HLOOKUP(YEAR(A323),Assumptions!$A$18:$AL$20,3,TRUE))^(1/12)</f>
        <v>0.99902750864006262</v>
      </c>
      <c r="AZ323" s="26">
        <f t="shared" si="230"/>
        <v>0</v>
      </c>
      <c r="BA323">
        <f t="shared" si="231"/>
        <v>0</v>
      </c>
      <c r="BB323">
        <f t="shared" si="232"/>
        <v>0</v>
      </c>
      <c r="BC323">
        <f t="shared" si="233"/>
        <v>0</v>
      </c>
    </row>
    <row r="324" spans="1:55" x14ac:dyDescent="0.2">
      <c r="A324" s="3">
        <f t="shared" si="202"/>
        <v>52627</v>
      </c>
      <c r="B324">
        <f t="shared" si="198"/>
        <v>326</v>
      </c>
      <c r="C324">
        <f t="shared" si="241"/>
        <v>27.083333333333332</v>
      </c>
      <c r="D324">
        <f t="shared" si="242"/>
        <v>0</v>
      </c>
      <c r="E324">
        <f t="shared" si="199"/>
        <v>83</v>
      </c>
      <c r="F324">
        <f>IF(C324&gt;=$T$2,0,VLOOKUP($E324,'Mortality Table'!$A$3:$C$128,2+AF$2,FALSE))</f>
        <v>0</v>
      </c>
      <c r="G324">
        <f>F324*Assumptions!$B$1</f>
        <v>0</v>
      </c>
      <c r="H324">
        <f t="shared" si="203"/>
        <v>0</v>
      </c>
      <c r="I324">
        <f t="shared" si="236"/>
        <v>0</v>
      </c>
      <c r="J324">
        <f>IF(B324&gt;$AJ$2,0,HLOOKUP(C324,Assumptions!$A$6:$J$7,2,TRUE))</f>
        <v>0</v>
      </c>
      <c r="K324" s="4">
        <f t="shared" si="237"/>
        <v>0</v>
      </c>
      <c r="L324" s="4">
        <f t="shared" si="204"/>
        <v>0</v>
      </c>
      <c r="M324" s="4">
        <f t="shared" si="238"/>
        <v>0</v>
      </c>
      <c r="N324">
        <f t="shared" si="205"/>
        <v>0</v>
      </c>
      <c r="O324" s="21">
        <f t="shared" si="239"/>
        <v>0</v>
      </c>
      <c r="P324">
        <f>IF(B324&gt;$AJ$2,0,HLOOKUP(C324,Assumptions!$A$12:$J$13,2,TRUE))</f>
        <v>0</v>
      </c>
      <c r="Q324">
        <f t="shared" si="240"/>
        <v>0</v>
      </c>
      <c r="R324">
        <f t="shared" si="206"/>
        <v>0</v>
      </c>
      <c r="S324">
        <f t="shared" si="234"/>
        <v>0</v>
      </c>
      <c r="T324">
        <f t="shared" si="235"/>
        <v>0</v>
      </c>
      <c r="U324">
        <f t="shared" si="207"/>
        <v>0</v>
      </c>
      <c r="V324">
        <f t="shared" si="208"/>
        <v>0</v>
      </c>
      <c r="W324">
        <f t="shared" si="209"/>
        <v>0</v>
      </c>
      <c r="X324">
        <f t="shared" si="200"/>
        <v>0</v>
      </c>
      <c r="Y324">
        <f t="shared" si="210"/>
        <v>0</v>
      </c>
      <c r="Z324">
        <f t="shared" si="211"/>
        <v>0</v>
      </c>
      <c r="AA324">
        <f t="shared" si="212"/>
        <v>0</v>
      </c>
      <c r="AB324">
        <f t="shared" si="213"/>
        <v>0</v>
      </c>
      <c r="AC324" s="23">
        <f>IF(B324&gt;$AJ$2,0,HLOOKUP(YEAR(A324),Assumptions!$A$25:$AL$29,4,TRUE)/100)</f>
        <v>0</v>
      </c>
      <c r="AD324">
        <f t="shared" si="214"/>
        <v>0</v>
      </c>
      <c r="AE324">
        <f t="shared" si="215"/>
        <v>0</v>
      </c>
      <c r="AF324">
        <f t="shared" si="216"/>
        <v>0</v>
      </c>
      <c r="AG324">
        <f t="shared" si="217"/>
        <v>0</v>
      </c>
      <c r="AH324">
        <f t="shared" si="218"/>
        <v>0</v>
      </c>
      <c r="AI324">
        <f t="shared" si="219"/>
        <v>0</v>
      </c>
      <c r="AJ324">
        <f t="shared" si="220"/>
        <v>0</v>
      </c>
      <c r="AK324">
        <f t="shared" si="221"/>
        <v>0</v>
      </c>
      <c r="AL324">
        <f t="shared" si="222"/>
        <v>0</v>
      </c>
      <c r="AM324">
        <f t="shared" si="201"/>
        <v>0</v>
      </c>
      <c r="AN324">
        <f>IF($S$2=0,0,(SUMPRODUCT($K$2:$R$2,Assumptions!$B$34:$I$34)/$U$2+$J$2/$U$2*Assumptions!$A$34*G324)*K324*O323)</f>
        <v>0</v>
      </c>
      <c r="AO324">
        <f t="shared" si="223"/>
        <v>0</v>
      </c>
      <c r="AP324">
        <f t="shared" si="224"/>
        <v>0</v>
      </c>
      <c r="AQ324">
        <f>IF(B324&gt;$AJ$2,0,AQ323*(1+Assumptions!$B$43)^(1/12))</f>
        <v>0</v>
      </c>
      <c r="AR324" s="27">
        <f>IF(B324&gt;$AJ$2,0,(O323+R323)*Assumptions!$B$39/12*AQ323+AV324*Assumptions!$B$41/12)</f>
        <v>0</v>
      </c>
      <c r="AS324">
        <f t="shared" si="225"/>
        <v>0</v>
      </c>
      <c r="AT324" s="28">
        <f t="shared" si="226"/>
        <v>0</v>
      </c>
      <c r="AU324">
        <f t="shared" si="227"/>
        <v>0</v>
      </c>
      <c r="AV324" s="28">
        <f t="shared" si="228"/>
        <v>0</v>
      </c>
      <c r="AW324" s="28">
        <f t="shared" si="229"/>
        <v>0</v>
      </c>
      <c r="AX324" s="23">
        <f>HLOOKUP(YEAR(A324),Assumptions!$A$25:$AL$29,2,TRUE)/100</f>
        <v>1.1739999999999999E-2</v>
      </c>
      <c r="AY324" s="29">
        <f>1/(1+HLOOKUP(YEAR(A324),Assumptions!$A$18:$AL$20,3,TRUE))^(1/12)</f>
        <v>0.99902750864006262</v>
      </c>
      <c r="AZ324" s="26">
        <f t="shared" si="230"/>
        <v>0</v>
      </c>
      <c r="BA324">
        <f t="shared" si="231"/>
        <v>0</v>
      </c>
      <c r="BB324">
        <f t="shared" si="232"/>
        <v>0</v>
      </c>
      <c r="BC324">
        <f t="shared" si="233"/>
        <v>0</v>
      </c>
    </row>
    <row r="325" spans="1:55" x14ac:dyDescent="0.2">
      <c r="A325" s="3">
        <f t="shared" si="202"/>
        <v>52656</v>
      </c>
      <c r="B325">
        <f t="shared" si="198"/>
        <v>327</v>
      </c>
      <c r="C325">
        <f t="shared" si="241"/>
        <v>27.166666666666668</v>
      </c>
      <c r="D325">
        <f t="shared" si="242"/>
        <v>0</v>
      </c>
      <c r="E325">
        <f t="shared" si="199"/>
        <v>83</v>
      </c>
      <c r="F325">
        <f>IF(C325&gt;=$T$2,0,VLOOKUP($E325,'Mortality Table'!$A$3:$C$128,2+AF$2,FALSE))</f>
        <v>0</v>
      </c>
      <c r="G325">
        <f>F325*Assumptions!$B$1</f>
        <v>0</v>
      </c>
      <c r="H325">
        <f t="shared" si="203"/>
        <v>0</v>
      </c>
      <c r="I325">
        <f t="shared" si="236"/>
        <v>0</v>
      </c>
      <c r="J325">
        <f>IF(B325&gt;$AJ$2,0,HLOOKUP(C325,Assumptions!$A$6:$J$7,2,TRUE))</f>
        <v>0</v>
      </c>
      <c r="K325" s="4">
        <f t="shared" si="237"/>
        <v>0</v>
      </c>
      <c r="L325" s="4">
        <f t="shared" si="204"/>
        <v>0</v>
      </c>
      <c r="M325" s="4">
        <f t="shared" si="238"/>
        <v>0</v>
      </c>
      <c r="N325">
        <f t="shared" si="205"/>
        <v>0</v>
      </c>
      <c r="O325" s="21">
        <f t="shared" si="239"/>
        <v>0</v>
      </c>
      <c r="P325">
        <f>IF(B325&gt;$AJ$2,0,HLOOKUP(C325,Assumptions!$A$12:$J$13,2,TRUE))</f>
        <v>0</v>
      </c>
      <c r="Q325">
        <f t="shared" si="240"/>
        <v>0</v>
      </c>
      <c r="R325">
        <f t="shared" si="206"/>
        <v>0</v>
      </c>
      <c r="S325">
        <f t="shared" si="234"/>
        <v>0</v>
      </c>
      <c r="T325">
        <f t="shared" si="235"/>
        <v>0</v>
      </c>
      <c r="U325">
        <f t="shared" si="207"/>
        <v>0</v>
      </c>
      <c r="V325">
        <f t="shared" si="208"/>
        <v>0</v>
      </c>
      <c r="W325">
        <f t="shared" si="209"/>
        <v>0</v>
      </c>
      <c r="X325">
        <f t="shared" si="200"/>
        <v>0</v>
      </c>
      <c r="Y325">
        <f t="shared" si="210"/>
        <v>0</v>
      </c>
      <c r="Z325">
        <f t="shared" si="211"/>
        <v>0</v>
      </c>
      <c r="AA325">
        <f t="shared" si="212"/>
        <v>0</v>
      </c>
      <c r="AB325">
        <f t="shared" si="213"/>
        <v>0</v>
      </c>
      <c r="AC325" s="23">
        <f>IF(B325&gt;$AJ$2,0,HLOOKUP(YEAR(A325),Assumptions!$A$25:$AL$29,4,TRUE)/100)</f>
        <v>0</v>
      </c>
      <c r="AD325">
        <f t="shared" si="214"/>
        <v>0</v>
      </c>
      <c r="AE325">
        <f t="shared" si="215"/>
        <v>0</v>
      </c>
      <c r="AF325">
        <f t="shared" si="216"/>
        <v>0</v>
      </c>
      <c r="AG325">
        <f t="shared" si="217"/>
        <v>0</v>
      </c>
      <c r="AH325">
        <f t="shared" si="218"/>
        <v>0</v>
      </c>
      <c r="AI325">
        <f t="shared" si="219"/>
        <v>0</v>
      </c>
      <c r="AJ325">
        <f t="shared" si="220"/>
        <v>0</v>
      </c>
      <c r="AK325">
        <f t="shared" si="221"/>
        <v>0</v>
      </c>
      <c r="AL325">
        <f t="shared" si="222"/>
        <v>0</v>
      </c>
      <c r="AM325">
        <f t="shared" si="201"/>
        <v>0</v>
      </c>
      <c r="AN325">
        <f>IF($S$2=0,0,(SUMPRODUCT($K$2:$R$2,Assumptions!$B$34:$I$34)/$U$2+$J$2/$U$2*Assumptions!$A$34*G325)*K325*O324)</f>
        <v>0</v>
      </c>
      <c r="AO325">
        <f t="shared" si="223"/>
        <v>0</v>
      </c>
      <c r="AP325">
        <f t="shared" si="224"/>
        <v>0</v>
      </c>
      <c r="AQ325">
        <f>IF(B325&gt;$AJ$2,0,AQ324*(1+Assumptions!$B$43)^(1/12))</f>
        <v>0</v>
      </c>
      <c r="AR325" s="27">
        <f>IF(B325&gt;$AJ$2,0,(O324+R324)*Assumptions!$B$39/12*AQ324+AV325*Assumptions!$B$41/12)</f>
        <v>0</v>
      </c>
      <c r="AS325">
        <f t="shared" si="225"/>
        <v>0</v>
      </c>
      <c r="AT325" s="28">
        <f t="shared" si="226"/>
        <v>0</v>
      </c>
      <c r="AU325">
        <f t="shared" si="227"/>
        <v>0</v>
      </c>
      <c r="AV325" s="28">
        <f t="shared" si="228"/>
        <v>0</v>
      </c>
      <c r="AW325" s="28">
        <f t="shared" si="229"/>
        <v>0</v>
      </c>
      <c r="AX325" s="23">
        <f>HLOOKUP(YEAR(A325),Assumptions!$A$25:$AL$29,2,TRUE)/100</f>
        <v>1.1739999999999999E-2</v>
      </c>
      <c r="AY325" s="29">
        <f>1/(1+HLOOKUP(YEAR(A325),Assumptions!$A$18:$AL$20,3,TRUE))^(1/12)</f>
        <v>0.99902750864006262</v>
      </c>
      <c r="AZ325" s="26">
        <f t="shared" si="230"/>
        <v>0</v>
      </c>
      <c r="BA325">
        <f t="shared" si="231"/>
        <v>0</v>
      </c>
      <c r="BB325">
        <f t="shared" si="232"/>
        <v>0</v>
      </c>
      <c r="BC325">
        <f t="shared" si="233"/>
        <v>0</v>
      </c>
    </row>
    <row r="326" spans="1:55" x14ac:dyDescent="0.2">
      <c r="A326" s="3">
        <f t="shared" si="202"/>
        <v>52687</v>
      </c>
      <c r="B326">
        <f t="shared" si="198"/>
        <v>328</v>
      </c>
      <c r="C326">
        <f t="shared" si="241"/>
        <v>27.25</v>
      </c>
      <c r="D326">
        <f t="shared" si="242"/>
        <v>0</v>
      </c>
      <c r="E326">
        <f t="shared" si="199"/>
        <v>83</v>
      </c>
      <c r="F326">
        <f>IF(C326&gt;=$T$2,0,VLOOKUP($E326,'Mortality Table'!$A$3:$C$128,2+AF$2,FALSE))</f>
        <v>0</v>
      </c>
      <c r="G326">
        <f>F326*Assumptions!$B$1</f>
        <v>0</v>
      </c>
      <c r="H326">
        <f t="shared" si="203"/>
        <v>0</v>
      </c>
      <c r="I326">
        <f t="shared" si="236"/>
        <v>0</v>
      </c>
      <c r="J326">
        <f>IF(B326&gt;$AJ$2,0,HLOOKUP(C326,Assumptions!$A$6:$J$7,2,TRUE))</f>
        <v>0</v>
      </c>
      <c r="K326" s="4">
        <f t="shared" si="237"/>
        <v>0</v>
      </c>
      <c r="L326" s="4">
        <f t="shared" si="204"/>
        <v>0</v>
      </c>
      <c r="M326" s="4">
        <f t="shared" si="238"/>
        <v>0</v>
      </c>
      <c r="N326">
        <f t="shared" si="205"/>
        <v>0</v>
      </c>
      <c r="O326" s="21">
        <f t="shared" si="239"/>
        <v>0</v>
      </c>
      <c r="P326">
        <f>IF(B326&gt;$AJ$2,0,HLOOKUP(C326,Assumptions!$A$12:$J$13,2,TRUE))</f>
        <v>0</v>
      </c>
      <c r="Q326">
        <f t="shared" si="240"/>
        <v>0</v>
      </c>
      <c r="R326">
        <f t="shared" si="206"/>
        <v>0</v>
      </c>
      <c r="S326">
        <f t="shared" si="234"/>
        <v>0</v>
      </c>
      <c r="T326">
        <f t="shared" si="235"/>
        <v>0</v>
      </c>
      <c r="U326">
        <f t="shared" si="207"/>
        <v>0</v>
      </c>
      <c r="V326">
        <f t="shared" si="208"/>
        <v>0</v>
      </c>
      <c r="W326">
        <f t="shared" si="209"/>
        <v>0</v>
      </c>
      <c r="X326">
        <f t="shared" si="200"/>
        <v>0</v>
      </c>
      <c r="Y326">
        <f t="shared" si="210"/>
        <v>0</v>
      </c>
      <c r="Z326">
        <f t="shared" si="211"/>
        <v>0</v>
      </c>
      <c r="AA326">
        <f t="shared" si="212"/>
        <v>0</v>
      </c>
      <c r="AB326">
        <f t="shared" si="213"/>
        <v>0</v>
      </c>
      <c r="AC326" s="23">
        <f>IF(B326&gt;$AJ$2,0,HLOOKUP(YEAR(A326),Assumptions!$A$25:$AL$29,4,TRUE)/100)</f>
        <v>0</v>
      </c>
      <c r="AD326">
        <f t="shared" si="214"/>
        <v>0</v>
      </c>
      <c r="AE326">
        <f t="shared" si="215"/>
        <v>0</v>
      </c>
      <c r="AF326">
        <f t="shared" si="216"/>
        <v>0</v>
      </c>
      <c r="AG326">
        <f t="shared" si="217"/>
        <v>0</v>
      </c>
      <c r="AH326">
        <f t="shared" si="218"/>
        <v>0</v>
      </c>
      <c r="AI326">
        <f t="shared" si="219"/>
        <v>0</v>
      </c>
      <c r="AJ326">
        <f t="shared" si="220"/>
        <v>0</v>
      </c>
      <c r="AK326">
        <f t="shared" si="221"/>
        <v>0</v>
      </c>
      <c r="AL326">
        <f t="shared" si="222"/>
        <v>0</v>
      </c>
      <c r="AM326">
        <f t="shared" si="201"/>
        <v>0</v>
      </c>
      <c r="AN326">
        <f>IF($S$2=0,0,(SUMPRODUCT($K$2:$R$2,Assumptions!$B$34:$I$34)/$U$2+$J$2/$U$2*Assumptions!$A$34*G326)*K326*O325)</f>
        <v>0</v>
      </c>
      <c r="AO326">
        <f t="shared" si="223"/>
        <v>0</v>
      </c>
      <c r="AP326">
        <f t="shared" si="224"/>
        <v>0</v>
      </c>
      <c r="AQ326">
        <f>IF(B326&gt;$AJ$2,0,AQ325*(1+Assumptions!$B$43)^(1/12))</f>
        <v>0</v>
      </c>
      <c r="AR326" s="27">
        <f>IF(B326&gt;$AJ$2,0,(O325+R325)*Assumptions!$B$39/12*AQ325+AV326*Assumptions!$B$41/12)</f>
        <v>0</v>
      </c>
      <c r="AS326">
        <f t="shared" si="225"/>
        <v>0</v>
      </c>
      <c r="AT326" s="28">
        <f t="shared" si="226"/>
        <v>0</v>
      </c>
      <c r="AU326">
        <f t="shared" si="227"/>
        <v>0</v>
      </c>
      <c r="AV326" s="28">
        <f t="shared" si="228"/>
        <v>0</v>
      </c>
      <c r="AW326" s="28">
        <f t="shared" si="229"/>
        <v>0</v>
      </c>
      <c r="AX326" s="23">
        <f>HLOOKUP(YEAR(A326),Assumptions!$A$25:$AL$29,2,TRUE)/100</f>
        <v>1.1739999999999999E-2</v>
      </c>
      <c r="AY326" s="29">
        <f>1/(1+HLOOKUP(YEAR(A326),Assumptions!$A$18:$AL$20,3,TRUE))^(1/12)</f>
        <v>0.99902750864006262</v>
      </c>
      <c r="AZ326" s="26">
        <f t="shared" si="230"/>
        <v>0</v>
      </c>
      <c r="BA326">
        <f t="shared" si="231"/>
        <v>0</v>
      </c>
      <c r="BB326">
        <f t="shared" si="232"/>
        <v>0</v>
      </c>
      <c r="BC326">
        <f t="shared" si="233"/>
        <v>0</v>
      </c>
    </row>
    <row r="327" spans="1:55" x14ac:dyDescent="0.2">
      <c r="A327" s="3">
        <f t="shared" si="202"/>
        <v>52717</v>
      </c>
      <c r="B327">
        <f t="shared" si="198"/>
        <v>329</v>
      </c>
      <c r="C327">
        <f t="shared" si="241"/>
        <v>27.333333333333332</v>
      </c>
      <c r="D327">
        <f t="shared" si="242"/>
        <v>0</v>
      </c>
      <c r="E327">
        <f t="shared" si="199"/>
        <v>83</v>
      </c>
      <c r="F327">
        <f>IF(C327&gt;=$T$2,0,VLOOKUP($E327,'Mortality Table'!$A$3:$C$128,2+AF$2,FALSE))</f>
        <v>0</v>
      </c>
      <c r="G327">
        <f>F327*Assumptions!$B$1</f>
        <v>0</v>
      </c>
      <c r="H327">
        <f t="shared" si="203"/>
        <v>0</v>
      </c>
      <c r="I327">
        <f t="shared" si="236"/>
        <v>0</v>
      </c>
      <c r="J327">
        <f>IF(B327&gt;$AJ$2,0,HLOOKUP(C327,Assumptions!$A$6:$J$7,2,TRUE))</f>
        <v>0</v>
      </c>
      <c r="K327" s="4">
        <f t="shared" si="237"/>
        <v>0</v>
      </c>
      <c r="L327" s="4">
        <f t="shared" si="204"/>
        <v>0</v>
      </c>
      <c r="M327" s="4">
        <f t="shared" si="238"/>
        <v>0</v>
      </c>
      <c r="N327">
        <f t="shared" si="205"/>
        <v>0</v>
      </c>
      <c r="O327" s="21">
        <f t="shared" si="239"/>
        <v>0</v>
      </c>
      <c r="P327">
        <f>IF(B327&gt;$AJ$2,0,HLOOKUP(C327,Assumptions!$A$12:$J$13,2,TRUE))</f>
        <v>0</v>
      </c>
      <c r="Q327">
        <f t="shared" si="240"/>
        <v>0</v>
      </c>
      <c r="R327">
        <f t="shared" si="206"/>
        <v>0</v>
      </c>
      <c r="S327">
        <f t="shared" si="234"/>
        <v>0</v>
      </c>
      <c r="T327">
        <f t="shared" si="235"/>
        <v>0</v>
      </c>
      <c r="U327">
        <f t="shared" si="207"/>
        <v>0</v>
      </c>
      <c r="V327">
        <f t="shared" si="208"/>
        <v>0</v>
      </c>
      <c r="W327">
        <f t="shared" si="209"/>
        <v>0</v>
      </c>
      <c r="X327">
        <f t="shared" si="200"/>
        <v>0</v>
      </c>
      <c r="Y327">
        <f t="shared" si="210"/>
        <v>0</v>
      </c>
      <c r="Z327">
        <f t="shared" si="211"/>
        <v>0</v>
      </c>
      <c r="AA327">
        <f t="shared" si="212"/>
        <v>0</v>
      </c>
      <c r="AB327">
        <f t="shared" si="213"/>
        <v>0</v>
      </c>
      <c r="AC327" s="23">
        <f>IF(B327&gt;$AJ$2,0,HLOOKUP(YEAR(A327),Assumptions!$A$25:$AL$29,4,TRUE)/100)</f>
        <v>0</v>
      </c>
      <c r="AD327">
        <f t="shared" si="214"/>
        <v>0</v>
      </c>
      <c r="AE327">
        <f t="shared" si="215"/>
        <v>0</v>
      </c>
      <c r="AF327">
        <f t="shared" si="216"/>
        <v>0</v>
      </c>
      <c r="AG327">
        <f t="shared" si="217"/>
        <v>0</v>
      </c>
      <c r="AH327">
        <f t="shared" si="218"/>
        <v>0</v>
      </c>
      <c r="AI327">
        <f t="shared" si="219"/>
        <v>0</v>
      </c>
      <c r="AJ327">
        <f t="shared" si="220"/>
        <v>0</v>
      </c>
      <c r="AK327">
        <f t="shared" si="221"/>
        <v>0</v>
      </c>
      <c r="AL327">
        <f t="shared" si="222"/>
        <v>0</v>
      </c>
      <c r="AM327">
        <f t="shared" si="201"/>
        <v>0</v>
      </c>
      <c r="AN327">
        <f>IF($S$2=0,0,(SUMPRODUCT($K$2:$R$2,Assumptions!$B$34:$I$34)/$U$2+$J$2/$U$2*Assumptions!$A$34*G327)*K327*O326)</f>
        <v>0</v>
      </c>
      <c r="AO327">
        <f t="shared" si="223"/>
        <v>0</v>
      </c>
      <c r="AP327">
        <f t="shared" si="224"/>
        <v>0</v>
      </c>
      <c r="AQ327">
        <f>IF(B327&gt;$AJ$2,0,AQ326*(1+Assumptions!$B$43)^(1/12))</f>
        <v>0</v>
      </c>
      <c r="AR327" s="27">
        <f>IF(B327&gt;$AJ$2,0,(O326+R326)*Assumptions!$B$39/12*AQ326+AV327*Assumptions!$B$41/12)</f>
        <v>0</v>
      </c>
      <c r="AS327">
        <f t="shared" si="225"/>
        <v>0</v>
      </c>
      <c r="AT327" s="28">
        <f t="shared" si="226"/>
        <v>0</v>
      </c>
      <c r="AU327">
        <f t="shared" si="227"/>
        <v>0</v>
      </c>
      <c r="AV327" s="28">
        <f t="shared" si="228"/>
        <v>0</v>
      </c>
      <c r="AW327" s="28">
        <f t="shared" si="229"/>
        <v>0</v>
      </c>
      <c r="AX327" s="23">
        <f>HLOOKUP(YEAR(A327),Assumptions!$A$25:$AL$29,2,TRUE)/100</f>
        <v>1.1739999999999999E-2</v>
      </c>
      <c r="AY327" s="29">
        <f>1/(1+HLOOKUP(YEAR(A327),Assumptions!$A$18:$AL$20,3,TRUE))^(1/12)</f>
        <v>0.99902750864006262</v>
      </c>
      <c r="AZ327" s="26">
        <f t="shared" si="230"/>
        <v>0</v>
      </c>
      <c r="BA327">
        <f t="shared" si="231"/>
        <v>0</v>
      </c>
      <c r="BB327">
        <f t="shared" si="232"/>
        <v>0</v>
      </c>
      <c r="BC327">
        <f t="shared" si="233"/>
        <v>0</v>
      </c>
    </row>
    <row r="328" spans="1:55" x14ac:dyDescent="0.2">
      <c r="A328" s="3">
        <f t="shared" si="202"/>
        <v>52748</v>
      </c>
      <c r="B328">
        <f t="shared" si="198"/>
        <v>330</v>
      </c>
      <c r="C328">
        <f t="shared" si="241"/>
        <v>27.416666666666668</v>
      </c>
      <c r="D328">
        <f t="shared" si="242"/>
        <v>0</v>
      </c>
      <c r="E328">
        <f t="shared" si="199"/>
        <v>83</v>
      </c>
      <c r="F328">
        <f>IF(C328&gt;=$T$2,0,VLOOKUP($E328,'Mortality Table'!$A$3:$C$128,2+AF$2,FALSE))</f>
        <v>0</v>
      </c>
      <c r="G328">
        <f>F328*Assumptions!$B$1</f>
        <v>0</v>
      </c>
      <c r="H328">
        <f t="shared" si="203"/>
        <v>0</v>
      </c>
      <c r="I328">
        <f t="shared" si="236"/>
        <v>0</v>
      </c>
      <c r="J328">
        <f>IF(B328&gt;$AJ$2,0,HLOOKUP(C328,Assumptions!$A$6:$J$7,2,TRUE))</f>
        <v>0</v>
      </c>
      <c r="K328" s="4">
        <f t="shared" si="237"/>
        <v>0</v>
      </c>
      <c r="L328" s="4">
        <f t="shared" si="204"/>
        <v>0</v>
      </c>
      <c r="M328" s="4">
        <f t="shared" si="238"/>
        <v>0</v>
      </c>
      <c r="N328">
        <f t="shared" si="205"/>
        <v>0</v>
      </c>
      <c r="O328" s="21">
        <f t="shared" si="239"/>
        <v>0</v>
      </c>
      <c r="P328">
        <f>IF(B328&gt;$AJ$2,0,HLOOKUP(C328,Assumptions!$A$12:$J$13,2,TRUE))</f>
        <v>0</v>
      </c>
      <c r="Q328">
        <f t="shared" si="240"/>
        <v>0</v>
      </c>
      <c r="R328">
        <f t="shared" si="206"/>
        <v>0</v>
      </c>
      <c r="S328">
        <f t="shared" si="234"/>
        <v>0</v>
      </c>
      <c r="T328">
        <f t="shared" si="235"/>
        <v>0</v>
      </c>
      <c r="U328">
        <f t="shared" si="207"/>
        <v>0</v>
      </c>
      <c r="V328">
        <f t="shared" si="208"/>
        <v>0</v>
      </c>
      <c r="W328">
        <f t="shared" si="209"/>
        <v>0</v>
      </c>
      <c r="X328">
        <f t="shared" si="200"/>
        <v>0</v>
      </c>
      <c r="Y328">
        <f t="shared" si="210"/>
        <v>0</v>
      </c>
      <c r="Z328">
        <f t="shared" si="211"/>
        <v>0</v>
      </c>
      <c r="AA328">
        <f t="shared" si="212"/>
        <v>0</v>
      </c>
      <c r="AB328">
        <f t="shared" si="213"/>
        <v>0</v>
      </c>
      <c r="AC328" s="23">
        <f>IF(B328&gt;$AJ$2,0,HLOOKUP(YEAR(A328),Assumptions!$A$25:$AL$29,4,TRUE)/100)</f>
        <v>0</v>
      </c>
      <c r="AD328">
        <f t="shared" si="214"/>
        <v>0</v>
      </c>
      <c r="AE328">
        <f t="shared" si="215"/>
        <v>0</v>
      </c>
      <c r="AF328">
        <f t="shared" si="216"/>
        <v>0</v>
      </c>
      <c r="AG328">
        <f t="shared" si="217"/>
        <v>0</v>
      </c>
      <c r="AH328">
        <f t="shared" si="218"/>
        <v>0</v>
      </c>
      <c r="AI328">
        <f t="shared" si="219"/>
        <v>0</v>
      </c>
      <c r="AJ328">
        <f t="shared" si="220"/>
        <v>0</v>
      </c>
      <c r="AK328">
        <f t="shared" si="221"/>
        <v>0</v>
      </c>
      <c r="AL328">
        <f t="shared" si="222"/>
        <v>0</v>
      </c>
      <c r="AM328">
        <f t="shared" si="201"/>
        <v>0</v>
      </c>
      <c r="AN328">
        <f>IF($S$2=0,0,(SUMPRODUCT($K$2:$R$2,Assumptions!$B$34:$I$34)/$U$2+$J$2/$U$2*Assumptions!$A$34*G328)*K328*O327)</f>
        <v>0</v>
      </c>
      <c r="AO328">
        <f t="shared" si="223"/>
        <v>0</v>
      </c>
      <c r="AP328">
        <f t="shared" si="224"/>
        <v>0</v>
      </c>
      <c r="AQ328">
        <f>IF(B328&gt;$AJ$2,0,AQ327*(1+Assumptions!$B$43)^(1/12))</f>
        <v>0</v>
      </c>
      <c r="AR328" s="27">
        <f>IF(B328&gt;$AJ$2,0,(O327+R327)*Assumptions!$B$39/12*AQ327+AV328*Assumptions!$B$41/12)</f>
        <v>0</v>
      </c>
      <c r="AS328">
        <f t="shared" si="225"/>
        <v>0</v>
      </c>
      <c r="AT328" s="28">
        <f t="shared" si="226"/>
        <v>0</v>
      </c>
      <c r="AU328">
        <f t="shared" si="227"/>
        <v>0</v>
      </c>
      <c r="AV328" s="28">
        <f t="shared" si="228"/>
        <v>0</v>
      </c>
      <c r="AW328" s="28">
        <f t="shared" si="229"/>
        <v>0</v>
      </c>
      <c r="AX328" s="23">
        <f>HLOOKUP(YEAR(A328),Assumptions!$A$25:$AL$29,2,TRUE)/100</f>
        <v>1.1739999999999999E-2</v>
      </c>
      <c r="AY328" s="29">
        <f>1/(1+HLOOKUP(YEAR(A328),Assumptions!$A$18:$AL$20,3,TRUE))^(1/12)</f>
        <v>0.99902750864006262</v>
      </c>
      <c r="AZ328" s="26">
        <f t="shared" si="230"/>
        <v>0</v>
      </c>
      <c r="BA328">
        <f t="shared" si="231"/>
        <v>0</v>
      </c>
      <c r="BB328">
        <f t="shared" si="232"/>
        <v>0</v>
      </c>
      <c r="BC328">
        <f t="shared" si="233"/>
        <v>0</v>
      </c>
    </row>
    <row r="329" spans="1:55" x14ac:dyDescent="0.2">
      <c r="A329" s="3">
        <f t="shared" si="202"/>
        <v>52778</v>
      </c>
      <c r="B329">
        <f t="shared" si="198"/>
        <v>331</v>
      </c>
      <c r="C329">
        <f t="shared" si="241"/>
        <v>27.5</v>
      </c>
      <c r="D329">
        <f t="shared" si="242"/>
        <v>0</v>
      </c>
      <c r="E329">
        <f t="shared" si="199"/>
        <v>83</v>
      </c>
      <c r="F329">
        <f>IF(C329&gt;=$T$2,0,VLOOKUP($E329,'Mortality Table'!$A$3:$C$128,2+AF$2,FALSE))</f>
        <v>0</v>
      </c>
      <c r="G329">
        <f>F329*Assumptions!$B$1</f>
        <v>0</v>
      </c>
      <c r="H329">
        <f t="shared" si="203"/>
        <v>0</v>
      </c>
      <c r="I329">
        <f t="shared" si="236"/>
        <v>0</v>
      </c>
      <c r="J329">
        <f>IF(B329&gt;$AJ$2,0,HLOOKUP(C329,Assumptions!$A$6:$J$7,2,TRUE))</f>
        <v>0</v>
      </c>
      <c r="K329" s="4">
        <f t="shared" si="237"/>
        <v>0</v>
      </c>
      <c r="L329" s="4">
        <f t="shared" si="204"/>
        <v>0</v>
      </c>
      <c r="M329" s="4">
        <f t="shared" si="238"/>
        <v>0</v>
      </c>
      <c r="N329">
        <f t="shared" si="205"/>
        <v>0</v>
      </c>
      <c r="O329" s="21">
        <f t="shared" si="239"/>
        <v>0</v>
      </c>
      <c r="P329">
        <f>IF(B329&gt;$AJ$2,0,HLOOKUP(C329,Assumptions!$A$12:$J$13,2,TRUE))</f>
        <v>0</v>
      </c>
      <c r="Q329">
        <f t="shared" si="240"/>
        <v>0</v>
      </c>
      <c r="R329">
        <f t="shared" si="206"/>
        <v>0</v>
      </c>
      <c r="S329">
        <f t="shared" si="234"/>
        <v>0</v>
      </c>
      <c r="T329">
        <f t="shared" si="235"/>
        <v>0</v>
      </c>
      <c r="U329">
        <f t="shared" si="207"/>
        <v>0</v>
      </c>
      <c r="V329">
        <f t="shared" si="208"/>
        <v>0</v>
      </c>
      <c r="W329">
        <f t="shared" si="209"/>
        <v>0</v>
      </c>
      <c r="X329">
        <f t="shared" si="200"/>
        <v>0</v>
      </c>
      <c r="Y329">
        <f t="shared" si="210"/>
        <v>0</v>
      </c>
      <c r="Z329">
        <f t="shared" si="211"/>
        <v>0</v>
      </c>
      <c r="AA329">
        <f t="shared" si="212"/>
        <v>0</v>
      </c>
      <c r="AB329">
        <f t="shared" si="213"/>
        <v>0</v>
      </c>
      <c r="AC329" s="23">
        <f>IF(B329&gt;$AJ$2,0,HLOOKUP(YEAR(A329),Assumptions!$A$25:$AL$29,4,TRUE)/100)</f>
        <v>0</v>
      </c>
      <c r="AD329">
        <f t="shared" si="214"/>
        <v>0</v>
      </c>
      <c r="AE329">
        <f t="shared" si="215"/>
        <v>0</v>
      </c>
      <c r="AF329">
        <f t="shared" si="216"/>
        <v>0</v>
      </c>
      <c r="AG329">
        <f t="shared" si="217"/>
        <v>0</v>
      </c>
      <c r="AH329">
        <f t="shared" si="218"/>
        <v>0</v>
      </c>
      <c r="AI329">
        <f t="shared" si="219"/>
        <v>0</v>
      </c>
      <c r="AJ329">
        <f t="shared" si="220"/>
        <v>0</v>
      </c>
      <c r="AK329">
        <f t="shared" si="221"/>
        <v>0</v>
      </c>
      <c r="AL329">
        <f t="shared" si="222"/>
        <v>0</v>
      </c>
      <c r="AM329">
        <f t="shared" si="201"/>
        <v>0</v>
      </c>
      <c r="AN329">
        <f>IF($S$2=0,0,(SUMPRODUCT($K$2:$R$2,Assumptions!$B$34:$I$34)/$U$2+$J$2/$U$2*Assumptions!$A$34*G329)*K329*O328)</f>
        <v>0</v>
      </c>
      <c r="AO329">
        <f t="shared" si="223"/>
        <v>0</v>
      </c>
      <c r="AP329">
        <f t="shared" si="224"/>
        <v>0</v>
      </c>
      <c r="AQ329">
        <f>IF(B329&gt;$AJ$2,0,AQ328*(1+Assumptions!$B$43)^(1/12))</f>
        <v>0</v>
      </c>
      <c r="AR329" s="27">
        <f>IF(B329&gt;$AJ$2,0,(O328+R328)*Assumptions!$B$39/12*AQ328+AV329*Assumptions!$B$41/12)</f>
        <v>0</v>
      </c>
      <c r="AS329">
        <f t="shared" si="225"/>
        <v>0</v>
      </c>
      <c r="AT329" s="28">
        <f t="shared" si="226"/>
        <v>0</v>
      </c>
      <c r="AU329">
        <f t="shared" si="227"/>
        <v>0</v>
      </c>
      <c r="AV329" s="28">
        <f t="shared" si="228"/>
        <v>0</v>
      </c>
      <c r="AW329" s="28">
        <f t="shared" si="229"/>
        <v>0</v>
      </c>
      <c r="AX329" s="23">
        <f>HLOOKUP(YEAR(A329),Assumptions!$A$25:$AL$29,2,TRUE)/100</f>
        <v>1.1739999999999999E-2</v>
      </c>
      <c r="AY329" s="29">
        <f>1/(1+HLOOKUP(YEAR(A329),Assumptions!$A$18:$AL$20,3,TRUE))^(1/12)</f>
        <v>0.99902750864006262</v>
      </c>
      <c r="AZ329" s="26">
        <f t="shared" si="230"/>
        <v>0</v>
      </c>
      <c r="BA329">
        <f t="shared" si="231"/>
        <v>0</v>
      </c>
      <c r="BB329">
        <f t="shared" si="232"/>
        <v>0</v>
      </c>
      <c r="BC329">
        <f t="shared" si="233"/>
        <v>0</v>
      </c>
    </row>
    <row r="330" spans="1:55" x14ac:dyDescent="0.2">
      <c r="A330" s="3">
        <f t="shared" si="202"/>
        <v>52809</v>
      </c>
      <c r="B330">
        <f t="shared" si="198"/>
        <v>332</v>
      </c>
      <c r="C330">
        <f t="shared" si="241"/>
        <v>27.583333333333332</v>
      </c>
      <c r="D330">
        <f t="shared" si="242"/>
        <v>0</v>
      </c>
      <c r="E330">
        <f t="shared" si="199"/>
        <v>83</v>
      </c>
      <c r="F330">
        <f>IF(C330&gt;=$T$2,0,VLOOKUP($E330,'Mortality Table'!$A$3:$C$128,2+AF$2,FALSE))</f>
        <v>0</v>
      </c>
      <c r="G330">
        <f>F330*Assumptions!$B$1</f>
        <v>0</v>
      </c>
      <c r="H330">
        <f t="shared" si="203"/>
        <v>0</v>
      </c>
      <c r="I330">
        <f t="shared" si="236"/>
        <v>0</v>
      </c>
      <c r="J330">
        <f>IF(B330&gt;$AJ$2,0,HLOOKUP(C330,Assumptions!$A$6:$J$7,2,TRUE))</f>
        <v>0</v>
      </c>
      <c r="K330" s="4">
        <f t="shared" si="237"/>
        <v>0</v>
      </c>
      <c r="L330" s="4">
        <f t="shared" si="204"/>
        <v>0</v>
      </c>
      <c r="M330" s="4">
        <f t="shared" si="238"/>
        <v>0</v>
      </c>
      <c r="N330">
        <f t="shared" si="205"/>
        <v>0</v>
      </c>
      <c r="O330" s="21">
        <f t="shared" si="239"/>
        <v>0</v>
      </c>
      <c r="P330">
        <f>IF(B330&gt;$AJ$2,0,HLOOKUP(C330,Assumptions!$A$12:$J$13,2,TRUE))</f>
        <v>0</v>
      </c>
      <c r="Q330">
        <f t="shared" si="240"/>
        <v>0</v>
      </c>
      <c r="R330">
        <f t="shared" si="206"/>
        <v>0</v>
      </c>
      <c r="S330">
        <f t="shared" si="234"/>
        <v>0</v>
      </c>
      <c r="T330">
        <f t="shared" si="235"/>
        <v>0</v>
      </c>
      <c r="U330">
        <f t="shared" si="207"/>
        <v>0</v>
      </c>
      <c r="V330">
        <f t="shared" si="208"/>
        <v>0</v>
      </c>
      <c r="W330">
        <f t="shared" si="209"/>
        <v>0</v>
      </c>
      <c r="X330">
        <f t="shared" si="200"/>
        <v>0</v>
      </c>
      <c r="Y330">
        <f t="shared" si="210"/>
        <v>0</v>
      </c>
      <c r="Z330">
        <f t="shared" si="211"/>
        <v>0</v>
      </c>
      <c r="AA330">
        <f t="shared" si="212"/>
        <v>0</v>
      </c>
      <c r="AB330">
        <f t="shared" si="213"/>
        <v>0</v>
      </c>
      <c r="AC330" s="23">
        <f>IF(B330&gt;$AJ$2,0,HLOOKUP(YEAR(A330),Assumptions!$A$25:$AL$29,4,TRUE)/100)</f>
        <v>0</v>
      </c>
      <c r="AD330">
        <f t="shared" si="214"/>
        <v>0</v>
      </c>
      <c r="AE330">
        <f t="shared" si="215"/>
        <v>0</v>
      </c>
      <c r="AF330">
        <f t="shared" si="216"/>
        <v>0</v>
      </c>
      <c r="AG330">
        <f t="shared" si="217"/>
        <v>0</v>
      </c>
      <c r="AH330">
        <f t="shared" si="218"/>
        <v>0</v>
      </c>
      <c r="AI330">
        <f t="shared" si="219"/>
        <v>0</v>
      </c>
      <c r="AJ330">
        <f t="shared" si="220"/>
        <v>0</v>
      </c>
      <c r="AK330">
        <f t="shared" si="221"/>
        <v>0</v>
      </c>
      <c r="AL330">
        <f t="shared" si="222"/>
        <v>0</v>
      </c>
      <c r="AM330">
        <f t="shared" si="201"/>
        <v>0</v>
      </c>
      <c r="AN330">
        <f>IF($S$2=0,0,(SUMPRODUCT($K$2:$R$2,Assumptions!$B$34:$I$34)/$U$2+$J$2/$U$2*Assumptions!$A$34*G330)*K330*O329)</f>
        <v>0</v>
      </c>
      <c r="AO330">
        <f t="shared" si="223"/>
        <v>0</v>
      </c>
      <c r="AP330">
        <f t="shared" si="224"/>
        <v>0</v>
      </c>
      <c r="AQ330">
        <f>IF(B330&gt;$AJ$2,0,AQ329*(1+Assumptions!$B$43)^(1/12))</f>
        <v>0</v>
      </c>
      <c r="AR330" s="27">
        <f>IF(B330&gt;$AJ$2,0,(O329+R329)*Assumptions!$B$39/12*AQ329+AV330*Assumptions!$B$41/12)</f>
        <v>0</v>
      </c>
      <c r="AS330">
        <f t="shared" si="225"/>
        <v>0</v>
      </c>
      <c r="AT330" s="28">
        <f t="shared" si="226"/>
        <v>0</v>
      </c>
      <c r="AU330">
        <f t="shared" si="227"/>
        <v>0</v>
      </c>
      <c r="AV330" s="28">
        <f t="shared" si="228"/>
        <v>0</v>
      </c>
      <c r="AW330" s="28">
        <f t="shared" si="229"/>
        <v>0</v>
      </c>
      <c r="AX330" s="23">
        <f>HLOOKUP(YEAR(A330),Assumptions!$A$25:$AL$29,2,TRUE)/100</f>
        <v>1.1739999999999999E-2</v>
      </c>
      <c r="AY330" s="29">
        <f>1/(1+HLOOKUP(YEAR(A330),Assumptions!$A$18:$AL$20,3,TRUE))^(1/12)</f>
        <v>0.99902750864006262</v>
      </c>
      <c r="AZ330" s="26">
        <f t="shared" si="230"/>
        <v>0</v>
      </c>
      <c r="BA330">
        <f t="shared" si="231"/>
        <v>0</v>
      </c>
      <c r="BB330">
        <f t="shared" si="232"/>
        <v>0</v>
      </c>
      <c r="BC330">
        <f t="shared" si="233"/>
        <v>0</v>
      </c>
    </row>
    <row r="331" spans="1:55" x14ac:dyDescent="0.2">
      <c r="A331" s="3">
        <f t="shared" si="202"/>
        <v>52840</v>
      </c>
      <c r="B331">
        <f t="shared" si="198"/>
        <v>333</v>
      </c>
      <c r="C331">
        <f t="shared" si="241"/>
        <v>27.666666666666668</v>
      </c>
      <c r="D331">
        <f t="shared" si="242"/>
        <v>0</v>
      </c>
      <c r="E331">
        <f t="shared" si="199"/>
        <v>83</v>
      </c>
      <c r="F331">
        <f>IF(C331&gt;=$T$2,0,VLOOKUP($E331,'Mortality Table'!$A$3:$C$128,2+AF$2,FALSE))</f>
        <v>0</v>
      </c>
      <c r="G331">
        <f>F331*Assumptions!$B$1</f>
        <v>0</v>
      </c>
      <c r="H331">
        <f t="shared" si="203"/>
        <v>0</v>
      </c>
      <c r="I331">
        <f t="shared" si="236"/>
        <v>0</v>
      </c>
      <c r="J331">
        <f>IF(B331&gt;$AJ$2,0,HLOOKUP(C331,Assumptions!$A$6:$J$7,2,TRUE))</f>
        <v>0</v>
      </c>
      <c r="K331" s="4">
        <f t="shared" si="237"/>
        <v>0</v>
      </c>
      <c r="L331" s="4">
        <f t="shared" si="204"/>
        <v>0</v>
      </c>
      <c r="M331" s="4">
        <f t="shared" si="238"/>
        <v>0</v>
      </c>
      <c r="N331">
        <f t="shared" si="205"/>
        <v>0</v>
      </c>
      <c r="O331" s="21">
        <f t="shared" si="239"/>
        <v>0</v>
      </c>
      <c r="P331">
        <f>IF(B331&gt;$AJ$2,0,HLOOKUP(C331,Assumptions!$A$12:$J$13,2,TRUE))</f>
        <v>0</v>
      </c>
      <c r="Q331">
        <f t="shared" si="240"/>
        <v>0</v>
      </c>
      <c r="R331">
        <f t="shared" si="206"/>
        <v>0</v>
      </c>
      <c r="S331">
        <f t="shared" si="234"/>
        <v>0</v>
      </c>
      <c r="T331">
        <f t="shared" si="235"/>
        <v>0</v>
      </c>
      <c r="U331">
        <f t="shared" si="207"/>
        <v>0</v>
      </c>
      <c r="V331">
        <f t="shared" si="208"/>
        <v>0</v>
      </c>
      <c r="W331">
        <f t="shared" si="209"/>
        <v>0</v>
      </c>
      <c r="X331">
        <f t="shared" si="200"/>
        <v>0</v>
      </c>
      <c r="Y331">
        <f t="shared" si="210"/>
        <v>0</v>
      </c>
      <c r="Z331">
        <f t="shared" si="211"/>
        <v>0</v>
      </c>
      <c r="AA331">
        <f t="shared" si="212"/>
        <v>0</v>
      </c>
      <c r="AB331">
        <f t="shared" si="213"/>
        <v>0</v>
      </c>
      <c r="AC331" s="23">
        <f>IF(B331&gt;$AJ$2,0,HLOOKUP(YEAR(A331),Assumptions!$A$25:$AL$29,4,TRUE)/100)</f>
        <v>0</v>
      </c>
      <c r="AD331">
        <f t="shared" si="214"/>
        <v>0</v>
      </c>
      <c r="AE331">
        <f t="shared" si="215"/>
        <v>0</v>
      </c>
      <c r="AF331">
        <f t="shared" si="216"/>
        <v>0</v>
      </c>
      <c r="AG331">
        <f t="shared" si="217"/>
        <v>0</v>
      </c>
      <c r="AH331">
        <f t="shared" si="218"/>
        <v>0</v>
      </c>
      <c r="AI331">
        <f t="shared" si="219"/>
        <v>0</v>
      </c>
      <c r="AJ331">
        <f t="shared" si="220"/>
        <v>0</v>
      </c>
      <c r="AK331">
        <f t="shared" si="221"/>
        <v>0</v>
      </c>
      <c r="AL331">
        <f t="shared" si="222"/>
        <v>0</v>
      </c>
      <c r="AM331">
        <f t="shared" si="201"/>
        <v>0</v>
      </c>
      <c r="AN331">
        <f>IF($S$2=0,0,(SUMPRODUCT($K$2:$R$2,Assumptions!$B$34:$I$34)/$U$2+$J$2/$U$2*Assumptions!$A$34*G331)*K331*O330)</f>
        <v>0</v>
      </c>
      <c r="AO331">
        <f t="shared" si="223"/>
        <v>0</v>
      </c>
      <c r="AP331">
        <f t="shared" si="224"/>
        <v>0</v>
      </c>
      <c r="AQ331">
        <f>IF(B331&gt;$AJ$2,0,AQ330*(1+Assumptions!$B$43)^(1/12))</f>
        <v>0</v>
      </c>
      <c r="AR331" s="27">
        <f>IF(B331&gt;$AJ$2,0,(O330+R330)*Assumptions!$B$39/12*AQ330+AV331*Assumptions!$B$41/12)</f>
        <v>0</v>
      </c>
      <c r="AS331">
        <f t="shared" si="225"/>
        <v>0</v>
      </c>
      <c r="AT331" s="28">
        <f t="shared" si="226"/>
        <v>0</v>
      </c>
      <c r="AU331">
        <f t="shared" si="227"/>
        <v>0</v>
      </c>
      <c r="AV331" s="28">
        <f t="shared" si="228"/>
        <v>0</v>
      </c>
      <c r="AW331" s="28">
        <f t="shared" si="229"/>
        <v>0</v>
      </c>
      <c r="AX331" s="23">
        <f>HLOOKUP(YEAR(A331),Assumptions!$A$25:$AL$29,2,TRUE)/100</f>
        <v>1.1739999999999999E-2</v>
      </c>
      <c r="AY331" s="29">
        <f>1/(1+HLOOKUP(YEAR(A331),Assumptions!$A$18:$AL$20,3,TRUE))^(1/12)</f>
        <v>0.99902750864006262</v>
      </c>
      <c r="AZ331" s="26">
        <f t="shared" si="230"/>
        <v>0</v>
      </c>
      <c r="BA331">
        <f t="shared" si="231"/>
        <v>0</v>
      </c>
      <c r="BB331">
        <f t="shared" si="232"/>
        <v>0</v>
      </c>
      <c r="BC331">
        <f t="shared" si="233"/>
        <v>0</v>
      </c>
    </row>
    <row r="332" spans="1:55" x14ac:dyDescent="0.2">
      <c r="A332" s="3">
        <f t="shared" si="202"/>
        <v>52870</v>
      </c>
      <c r="B332">
        <f t="shared" ref="B332:B395" si="243">B331+1</f>
        <v>334</v>
      </c>
      <c r="C332">
        <f t="shared" si="241"/>
        <v>27.75</v>
      </c>
      <c r="D332">
        <f t="shared" si="242"/>
        <v>0</v>
      </c>
      <c r="E332">
        <f t="shared" ref="E332:E395" si="244">$C$2+INT($C332)</f>
        <v>83</v>
      </c>
      <c r="F332">
        <f>IF(C332&gt;=$T$2,0,VLOOKUP($E332,'Mortality Table'!$A$3:$C$128,2+AF$2,FALSE))</f>
        <v>0</v>
      </c>
      <c r="G332">
        <f>F332*Assumptions!$B$1</f>
        <v>0</v>
      </c>
      <c r="H332">
        <f t="shared" si="203"/>
        <v>0</v>
      </c>
      <c r="I332">
        <f t="shared" si="236"/>
        <v>0</v>
      </c>
      <c r="J332">
        <f>IF(B332&gt;$AJ$2,0,HLOOKUP(C332,Assumptions!$A$6:$J$7,2,TRUE))</f>
        <v>0</v>
      </c>
      <c r="K332" s="4">
        <f t="shared" si="237"/>
        <v>0</v>
      </c>
      <c r="L332" s="4">
        <f t="shared" si="204"/>
        <v>0</v>
      </c>
      <c r="M332" s="4">
        <f t="shared" si="238"/>
        <v>0</v>
      </c>
      <c r="N332">
        <f t="shared" si="205"/>
        <v>0</v>
      </c>
      <c r="O332" s="21">
        <f t="shared" si="239"/>
        <v>0</v>
      </c>
      <c r="P332">
        <f>IF(B332&gt;$AJ$2,0,HLOOKUP(C332,Assumptions!$A$12:$J$13,2,TRUE))</f>
        <v>0</v>
      </c>
      <c r="Q332">
        <f t="shared" si="240"/>
        <v>0</v>
      </c>
      <c r="R332">
        <f t="shared" si="206"/>
        <v>0</v>
      </c>
      <c r="S332">
        <f t="shared" si="234"/>
        <v>0</v>
      </c>
      <c r="T332">
        <f t="shared" si="235"/>
        <v>0</v>
      </c>
      <c r="U332">
        <f t="shared" si="207"/>
        <v>0</v>
      </c>
      <c r="V332">
        <f t="shared" si="208"/>
        <v>0</v>
      </c>
      <c r="W332">
        <f t="shared" si="209"/>
        <v>0</v>
      </c>
      <c r="X332">
        <f t="shared" ref="X332:X395" si="245">U332/$U$2*K332*O331</f>
        <v>0</v>
      </c>
      <c r="Y332">
        <f t="shared" si="210"/>
        <v>0</v>
      </c>
      <c r="Z332">
        <f t="shared" si="211"/>
        <v>0</v>
      </c>
      <c r="AA332">
        <f t="shared" si="212"/>
        <v>0</v>
      </c>
      <c r="AB332">
        <f t="shared" si="213"/>
        <v>0</v>
      </c>
      <c r="AC332" s="23">
        <f>IF(B332&gt;$AJ$2,0,HLOOKUP(YEAR(A332),Assumptions!$A$25:$AL$29,4,TRUE)/100)</f>
        <v>0</v>
      </c>
      <c r="AD332">
        <f t="shared" si="214"/>
        <v>0</v>
      </c>
      <c r="AE332">
        <f t="shared" si="215"/>
        <v>0</v>
      </c>
      <c r="AF332">
        <f t="shared" si="216"/>
        <v>0</v>
      </c>
      <c r="AG332">
        <f t="shared" si="217"/>
        <v>0</v>
      </c>
      <c r="AH332">
        <f t="shared" si="218"/>
        <v>0</v>
      </c>
      <c r="AI332">
        <f t="shared" si="219"/>
        <v>0</v>
      </c>
      <c r="AJ332">
        <f t="shared" si="220"/>
        <v>0</v>
      </c>
      <c r="AK332">
        <f t="shared" si="221"/>
        <v>0</v>
      </c>
      <c r="AL332">
        <f t="shared" si="222"/>
        <v>0</v>
      </c>
      <c r="AM332">
        <f t="shared" ref="AM332:AM395" si="246">IF($AJ$2+1=B332,O331*(Z331+AD331+MAX(0,IF(MONTH(A332)=1,AB331-AD331-Z331,0)))+R331*(AF331+AH331),0)</f>
        <v>0</v>
      </c>
      <c r="AN332">
        <f>IF($S$2=0,0,(SUMPRODUCT($K$2:$R$2,Assumptions!$B$34:$I$34)/$U$2+$J$2/$U$2*Assumptions!$A$34*G332)*K332*O331)</f>
        <v>0</v>
      </c>
      <c r="AO332">
        <f t="shared" si="223"/>
        <v>0</v>
      </c>
      <c r="AP332">
        <f t="shared" si="224"/>
        <v>0</v>
      </c>
      <c r="AQ332">
        <f>IF(B332&gt;$AJ$2,0,AQ331*(1+Assumptions!$B$43)^(1/12))</f>
        <v>0</v>
      </c>
      <c r="AR332" s="27">
        <f>IF(B332&gt;$AJ$2,0,(O331+R331)*Assumptions!$B$39/12*AQ331+AV332*Assumptions!$B$41/12)</f>
        <v>0</v>
      </c>
      <c r="AS332">
        <f t="shared" si="225"/>
        <v>0</v>
      </c>
      <c r="AT332" s="28">
        <f t="shared" si="226"/>
        <v>0</v>
      </c>
      <c r="AU332">
        <f t="shared" si="227"/>
        <v>0</v>
      </c>
      <c r="AV332" s="28">
        <f t="shared" si="228"/>
        <v>0</v>
      </c>
      <c r="AW332" s="28">
        <f t="shared" si="229"/>
        <v>0</v>
      </c>
      <c r="AX332" s="23">
        <f>HLOOKUP(YEAR(A332),Assumptions!$A$25:$AL$29,2,TRUE)/100</f>
        <v>1.1739999999999999E-2</v>
      </c>
      <c r="AY332" s="29">
        <f>1/(1+HLOOKUP(YEAR(A332),Assumptions!$A$18:$AL$20,3,TRUE))^(1/12)</f>
        <v>0.99902750864006262</v>
      </c>
      <c r="AZ332" s="26">
        <f t="shared" si="230"/>
        <v>0</v>
      </c>
      <c r="BA332">
        <f t="shared" si="231"/>
        <v>0</v>
      </c>
      <c r="BB332">
        <f t="shared" si="232"/>
        <v>0</v>
      </c>
      <c r="BC332">
        <f t="shared" si="233"/>
        <v>0</v>
      </c>
    </row>
    <row r="333" spans="1:55" x14ac:dyDescent="0.2">
      <c r="A333" s="3">
        <f t="shared" ref="A333:A396" si="247">DATE(YEAR(A332),MONTH(A332)+2,1)-1</f>
        <v>52901</v>
      </c>
      <c r="B333">
        <f t="shared" si="243"/>
        <v>335</v>
      </c>
      <c r="C333">
        <f t="shared" si="241"/>
        <v>27.833333333333332</v>
      </c>
      <c r="D333">
        <f t="shared" si="242"/>
        <v>0</v>
      </c>
      <c r="E333">
        <f t="shared" si="244"/>
        <v>83</v>
      </c>
      <c r="F333">
        <f>IF(C333&gt;=$T$2,0,VLOOKUP($E333,'Mortality Table'!$A$3:$C$128,2+AF$2,FALSE))</f>
        <v>0</v>
      </c>
      <c r="G333">
        <f>F333*Assumptions!$B$1</f>
        <v>0</v>
      </c>
      <c r="H333">
        <f t="shared" ref="H333:H396" si="248">(1-(1-G333)^(1/12))</f>
        <v>0</v>
      </c>
      <c r="I333">
        <f t="shared" si="236"/>
        <v>0</v>
      </c>
      <c r="J333">
        <f>IF(B333&gt;$AJ$2,0,HLOOKUP(C333,Assumptions!$A$6:$J$7,2,TRUE))</f>
        <v>0</v>
      </c>
      <c r="K333" s="4">
        <f t="shared" si="237"/>
        <v>0</v>
      </c>
      <c r="L333" s="4">
        <f t="shared" ref="L333:L396" si="249">IF(B333&gt;$AJ$2,0,IF(B333=$AJ$2,1/$U$2,IF(K334=0,0,1/$U$2)))</f>
        <v>0</v>
      </c>
      <c r="M333" s="4">
        <f t="shared" si="238"/>
        <v>0</v>
      </c>
      <c r="N333">
        <f t="shared" ref="N333:N396" si="250">M333*O332*(1-H333/2)</f>
        <v>0</v>
      </c>
      <c r="O333" s="21">
        <f t="shared" si="239"/>
        <v>0</v>
      </c>
      <c r="P333">
        <f>IF(B333&gt;$AJ$2,0,HLOOKUP(C333,Assumptions!$A$12:$J$13,2,TRUE))</f>
        <v>0</v>
      </c>
      <c r="Q333">
        <f t="shared" si="240"/>
        <v>0</v>
      </c>
      <c r="R333">
        <f t="shared" ref="R333:R396" si="251">IF(B333&gt;$AJ$2,0,Q333+R332-S333-T333)</f>
        <v>0</v>
      </c>
      <c r="S333">
        <f t="shared" si="234"/>
        <v>0</v>
      </c>
      <c r="T333">
        <f t="shared" si="235"/>
        <v>0</v>
      </c>
      <c r="U333">
        <f t="shared" ref="U333:U396" si="252">IF(B333&gt;$AJ$2,0,U332*(1+$I$2/100)^D333)</f>
        <v>0</v>
      </c>
      <c r="V333">
        <f t="shared" ref="V333:V396" si="253">IF(B333&gt;$AJ$2,0,IF(E333&lt;=75,SUM($J$2:$R$2),0))</f>
        <v>0</v>
      </c>
      <c r="W333">
        <f t="shared" ref="W333:W396" si="254">IF(B333&gt;$AJ$2,0,($G$2+IF(B333&lt;13,$D$2,IF(B333&lt;25,$E$2,IF(B333&lt;37,$F$2,0))))/100)</f>
        <v>0</v>
      </c>
      <c r="X333">
        <f t="shared" si="245"/>
        <v>0</v>
      </c>
      <c r="Y333">
        <f t="shared" ref="Y333:Y396" si="255">IF($W$2=0,0,(U333-V333)*(1-W333)/$U$2*K333)</f>
        <v>0</v>
      </c>
      <c r="Z333">
        <f t="shared" ref="Z333:Z396" si="256">IF(B333&gt;$AJ$2,0,(Z332+Y333)*(1+$V$2/100)^(1/12))</f>
        <v>0</v>
      </c>
      <c r="AA333">
        <f t="shared" ref="AA333:AA396" si="257">IF(B333&gt;$AJ$2,0,MAX(0,IF(MONTH(A333)=1,AB332-AD332-Z332,0)))</f>
        <v>0</v>
      </c>
      <c r="AB333">
        <f t="shared" ref="AB333:AB396" si="258">IF(B333&gt;$AJ$2,0,(AB332+Y333)*(1+MAX(AC333,$V$2/100))^(1/12))</f>
        <v>0</v>
      </c>
      <c r="AC333" s="23">
        <f>IF(B333&gt;$AJ$2,0,HLOOKUP(YEAR(A333),Assumptions!$A$25:$AL$29,4,TRUE)/100)</f>
        <v>0</v>
      </c>
      <c r="AD333">
        <f t="shared" ref="AD333:AD396" si="259">IF(B333&gt;$AJ$2,0,AD332+AA333)*(1+$V$2/100)^(1/12)</f>
        <v>0</v>
      </c>
      <c r="AE333">
        <f t="shared" ref="AE333:AE396" si="260">IF(B333&gt;$AJ$2,0,IF(R333=0,0,(AF333*(R333-Q333)+Q333*Z333)/R333))</f>
        <v>0</v>
      </c>
      <c r="AF333">
        <f t="shared" ref="AF333:AF396" si="261">IF(B333&gt;$AJ$2,0,AE332*(1+$V$2/100)^(1/12))</f>
        <v>0</v>
      </c>
      <c r="AG333">
        <f t="shared" ref="AG333:AG396" si="262">IF(B333&gt;$AJ$2,0,IF(R333=0,0,(AG332*(R333-Q333)*(1+MAX(AC333,$V$2/100))^(1/12)+Q333*AB333)/R333))</f>
        <v>0</v>
      </c>
      <c r="AH333">
        <f t="shared" ref="AH333:AH396" si="263">IF(B333&gt;$AJ$2,0,IF(R333=0,0,(AI333*(R333-Q333)+Q333*AD333)/R333))</f>
        <v>0</v>
      </c>
      <c r="AI333">
        <f t="shared" ref="AI333:AI396" si="264">IF(B333&gt;$AJ$2,0,(AH332+AJ333)*(1+$V$2/100)^(1/12))</f>
        <v>0</v>
      </c>
      <c r="AJ333">
        <f t="shared" ref="AJ333:AJ396" si="265">IF(B333&gt;$AJ$2,0,MAX(0,IF(MONTH(A333)=1,AG332-AE332-AH332)))</f>
        <v>0</v>
      </c>
      <c r="AK333">
        <f t="shared" ref="AK333:AK396" si="266">I333*(Z333+AD333)+S333*(AF333+AI333)</f>
        <v>0</v>
      </c>
      <c r="AL333">
        <f t="shared" ref="AL333:AL396" si="267">N333*(Z333+AD333+BC333)+T333*(AE333+AH333)</f>
        <v>0</v>
      </c>
      <c r="AM333">
        <f t="shared" si="246"/>
        <v>0</v>
      </c>
      <c r="AN333">
        <f>IF($S$2=0,0,(SUMPRODUCT($K$2:$R$2,Assumptions!$B$34:$I$34)/$U$2+$J$2/$U$2*Assumptions!$A$34*G333)*K333*O332)</f>
        <v>0</v>
      </c>
      <c r="AO333">
        <f t="shared" ref="AO333:AO396" si="268">($P$2+$R$2)/$U$2*K333*O332</f>
        <v>0</v>
      </c>
      <c r="AP333">
        <f t="shared" ref="AP333:AP396" si="269">IF(B333&lt;=12,(X333-AO333)*$AB$2+AO333*0.06,IF(B333&lt;=24,(X333-AO333)*$AC$2+AO333*0.06,IF(B333&lt;=36,(X333-AO333)*$AD$2+AO333*0.06,0)))</f>
        <v>0</v>
      </c>
      <c r="AQ333">
        <f>IF(B333&gt;$AJ$2,0,AQ332*(1+Assumptions!$B$43)^(1/12))</f>
        <v>0</v>
      </c>
      <c r="AR333" s="27">
        <f>IF(B333&gt;$AJ$2,0,(O332+R332)*Assumptions!$B$39/12*AQ332+AV333*Assumptions!$B$41/12)</f>
        <v>0</v>
      </c>
      <c r="AS333">
        <f t="shared" ref="AS333:AS396" si="270">IF(B333&gt;$AJ$2,0,Y333*K333*O332)</f>
        <v>0</v>
      </c>
      <c r="AT333" s="28">
        <f t="shared" ref="AT333:AT396" si="271">IF(B333&gt;$AJ$2,0,O333*(Z333+AD333+AA334+BC333)+R333*(AE333+AH333+AJ334))</f>
        <v>0</v>
      </c>
      <c r="AU333">
        <f t="shared" ref="AU333:AU396" si="272">IF(B333&gt;$AJ$2,0,IF(MONTH(A333)=12,0,AU332+AW333*((1+AX333)^(1/12)-1)-BB333*((1+$V$2/100)^(1/12)-1)))</f>
        <v>0</v>
      </c>
      <c r="AV333" s="28">
        <f t="shared" ref="AV333:AV396" si="273">IF(B333&gt;$AJ$2,0,AT332+AS333-AN333+AU332)</f>
        <v>0</v>
      </c>
      <c r="AW333" s="28">
        <f t="shared" ref="AW333:AW396" si="274">IF(B333&gt;$AJ$2,0,AT332+X333+AU332-AN333-AP333-AR333)</f>
        <v>0</v>
      </c>
      <c r="AX333" s="23">
        <f>HLOOKUP(YEAR(A333),Assumptions!$A$25:$AL$29,2,TRUE)/100</f>
        <v>1.1739999999999999E-2</v>
      </c>
      <c r="AY333" s="29">
        <f>1/(1+HLOOKUP(YEAR(A333),Assumptions!$A$18:$AL$20,3,TRUE))^(1/12)</f>
        <v>0.99902750864006262</v>
      </c>
      <c r="AZ333" s="26">
        <f t="shared" ref="AZ333:AZ396" si="275">(AZ334+BA334+AR334+AP334-X334)*AY334</f>
        <v>0</v>
      </c>
      <c r="BA333">
        <f t="shared" ref="BA333:BA396" si="276">AK333+AL333+AM333+AN333</f>
        <v>0</v>
      </c>
      <c r="BB333">
        <f t="shared" ref="BB333:BB396" si="277">IF(B333&gt;$AJ$2,0,AT332-BC332*O332+AS333-AN333)</f>
        <v>0</v>
      </c>
      <c r="BC333">
        <f t="shared" ref="BC333:BC396" si="278">IF($W$2=0,0,IF(B333&gt;$AJ$2,0,BC332+V333/$U$2*K333-$U$2/12*V333/$U$2))</f>
        <v>0</v>
      </c>
    </row>
    <row r="334" spans="1:55" x14ac:dyDescent="0.2">
      <c r="A334" s="3">
        <f t="shared" si="247"/>
        <v>52931</v>
      </c>
      <c r="B334">
        <f t="shared" si="243"/>
        <v>336</v>
      </c>
      <c r="C334">
        <f t="shared" si="241"/>
        <v>27.916666666666668</v>
      </c>
      <c r="D334">
        <f t="shared" si="242"/>
        <v>0</v>
      </c>
      <c r="E334">
        <f t="shared" si="244"/>
        <v>83</v>
      </c>
      <c r="F334">
        <f>IF(C334&gt;=$T$2,0,VLOOKUP($E334,'Mortality Table'!$A$3:$C$128,2+AF$2,FALSE))</f>
        <v>0</v>
      </c>
      <c r="G334">
        <f>F334*Assumptions!$B$1</f>
        <v>0</v>
      </c>
      <c r="H334">
        <f t="shared" si="248"/>
        <v>0</v>
      </c>
      <c r="I334">
        <f t="shared" si="236"/>
        <v>0</v>
      </c>
      <c r="J334">
        <f>IF(B334&gt;$AJ$2,0,HLOOKUP(C334,Assumptions!$A$6:$J$7,2,TRUE))</f>
        <v>0</v>
      </c>
      <c r="K334" s="4">
        <f t="shared" si="237"/>
        <v>0</v>
      </c>
      <c r="L334" s="4">
        <f t="shared" si="249"/>
        <v>0</v>
      </c>
      <c r="M334" s="4">
        <f t="shared" si="238"/>
        <v>0</v>
      </c>
      <c r="N334">
        <f t="shared" si="250"/>
        <v>0</v>
      </c>
      <c r="O334" s="21">
        <f t="shared" si="239"/>
        <v>0</v>
      </c>
      <c r="P334">
        <f>IF(B334&gt;$AJ$2,0,HLOOKUP(C334,Assumptions!$A$12:$J$13,2,TRUE))</f>
        <v>0</v>
      </c>
      <c r="Q334">
        <f t="shared" si="240"/>
        <v>0</v>
      </c>
      <c r="R334">
        <f t="shared" si="251"/>
        <v>0</v>
      </c>
      <c r="S334">
        <f t="shared" ref="S334:S397" si="279">H334*R333*(1-M334/2)</f>
        <v>0</v>
      </c>
      <c r="T334">
        <f t="shared" ref="T334:T397" si="280">M334*R333*(1-H334/2)</f>
        <v>0</v>
      </c>
      <c r="U334">
        <f t="shared" si="252"/>
        <v>0</v>
      </c>
      <c r="V334">
        <f t="shared" si="253"/>
        <v>0</v>
      </c>
      <c r="W334">
        <f t="shared" si="254"/>
        <v>0</v>
      </c>
      <c r="X334">
        <f t="shared" si="245"/>
        <v>0</v>
      </c>
      <c r="Y334">
        <f t="shared" si="255"/>
        <v>0</v>
      </c>
      <c r="Z334">
        <f t="shared" si="256"/>
        <v>0</v>
      </c>
      <c r="AA334">
        <f t="shared" si="257"/>
        <v>0</v>
      </c>
      <c r="AB334">
        <f t="shared" si="258"/>
        <v>0</v>
      </c>
      <c r="AC334" s="23">
        <f>IF(B334&gt;$AJ$2,0,HLOOKUP(YEAR(A334),Assumptions!$A$25:$AL$29,4,TRUE)/100)</f>
        <v>0</v>
      </c>
      <c r="AD334">
        <f t="shared" si="259"/>
        <v>0</v>
      </c>
      <c r="AE334">
        <f t="shared" si="260"/>
        <v>0</v>
      </c>
      <c r="AF334">
        <f t="shared" si="261"/>
        <v>0</v>
      </c>
      <c r="AG334">
        <f t="shared" si="262"/>
        <v>0</v>
      </c>
      <c r="AH334">
        <f t="shared" si="263"/>
        <v>0</v>
      </c>
      <c r="AI334">
        <f t="shared" si="264"/>
        <v>0</v>
      </c>
      <c r="AJ334">
        <f t="shared" si="265"/>
        <v>0</v>
      </c>
      <c r="AK334">
        <f t="shared" si="266"/>
        <v>0</v>
      </c>
      <c r="AL334">
        <f t="shared" si="267"/>
        <v>0</v>
      </c>
      <c r="AM334">
        <f t="shared" si="246"/>
        <v>0</v>
      </c>
      <c r="AN334">
        <f>IF($S$2=0,0,(SUMPRODUCT($K$2:$R$2,Assumptions!$B$34:$I$34)/$U$2+$J$2/$U$2*Assumptions!$A$34*G334)*K334*O333)</f>
        <v>0</v>
      </c>
      <c r="AO334">
        <f t="shared" si="268"/>
        <v>0</v>
      </c>
      <c r="AP334">
        <f t="shared" si="269"/>
        <v>0</v>
      </c>
      <c r="AQ334">
        <f>IF(B334&gt;$AJ$2,0,AQ333*(1+Assumptions!$B$43)^(1/12))</f>
        <v>0</v>
      </c>
      <c r="AR334" s="27">
        <f>IF(B334&gt;$AJ$2,0,(O333+R333)*Assumptions!$B$39/12*AQ333+AV334*Assumptions!$B$41/12)</f>
        <v>0</v>
      </c>
      <c r="AS334">
        <f t="shared" si="270"/>
        <v>0</v>
      </c>
      <c r="AT334" s="28">
        <f t="shared" si="271"/>
        <v>0</v>
      </c>
      <c r="AU334">
        <f t="shared" si="272"/>
        <v>0</v>
      </c>
      <c r="AV334" s="28">
        <f t="shared" si="273"/>
        <v>0</v>
      </c>
      <c r="AW334" s="28">
        <f t="shared" si="274"/>
        <v>0</v>
      </c>
      <c r="AX334" s="23">
        <f>HLOOKUP(YEAR(A334),Assumptions!$A$25:$AL$29,2,TRUE)/100</f>
        <v>1.1739999999999999E-2</v>
      </c>
      <c r="AY334" s="29">
        <f>1/(1+HLOOKUP(YEAR(A334),Assumptions!$A$18:$AL$20,3,TRUE))^(1/12)</f>
        <v>0.99902750864006262</v>
      </c>
      <c r="AZ334" s="26">
        <f t="shared" si="275"/>
        <v>0</v>
      </c>
      <c r="BA334">
        <f t="shared" si="276"/>
        <v>0</v>
      </c>
      <c r="BB334">
        <f t="shared" si="277"/>
        <v>0</v>
      </c>
      <c r="BC334">
        <f t="shared" si="278"/>
        <v>0</v>
      </c>
    </row>
    <row r="335" spans="1:55" x14ac:dyDescent="0.2">
      <c r="A335" s="3">
        <f t="shared" si="247"/>
        <v>52962</v>
      </c>
      <c r="B335">
        <f t="shared" si="243"/>
        <v>337</v>
      </c>
      <c r="C335">
        <f t="shared" si="241"/>
        <v>28</v>
      </c>
      <c r="D335">
        <f t="shared" si="242"/>
        <v>1</v>
      </c>
      <c r="E335">
        <f t="shared" si="244"/>
        <v>84</v>
      </c>
      <c r="F335">
        <f>IF(C335&gt;=$T$2,0,VLOOKUP($E335,'Mortality Table'!$A$3:$C$128,2+AF$2,FALSE))</f>
        <v>0</v>
      </c>
      <c r="G335">
        <f>F335*Assumptions!$B$1</f>
        <v>0</v>
      </c>
      <c r="H335">
        <f t="shared" si="248"/>
        <v>0</v>
      </c>
      <c r="I335">
        <f t="shared" si="236"/>
        <v>0</v>
      </c>
      <c r="J335">
        <f>IF(B335&gt;$AJ$2,0,HLOOKUP(C335,Assumptions!$A$6:$J$7,2,TRUE))</f>
        <v>0</v>
      </c>
      <c r="K335" s="4">
        <f t="shared" si="237"/>
        <v>0</v>
      </c>
      <c r="L335" s="4">
        <f t="shared" si="249"/>
        <v>0</v>
      </c>
      <c r="M335" s="4">
        <f t="shared" si="238"/>
        <v>0</v>
      </c>
      <c r="N335">
        <f t="shared" si="250"/>
        <v>0</v>
      </c>
      <c r="O335" s="21">
        <f t="shared" si="239"/>
        <v>0</v>
      </c>
      <c r="P335">
        <f>IF(B335&gt;$AJ$2,0,HLOOKUP(C335,Assumptions!$A$12:$J$13,2,TRUE))</f>
        <v>0</v>
      </c>
      <c r="Q335">
        <f t="shared" si="240"/>
        <v>0</v>
      </c>
      <c r="R335">
        <f t="shared" si="251"/>
        <v>0</v>
      </c>
      <c r="S335">
        <f t="shared" si="279"/>
        <v>0</v>
      </c>
      <c r="T335">
        <f t="shared" si="280"/>
        <v>0</v>
      </c>
      <c r="U335">
        <f t="shared" si="252"/>
        <v>0</v>
      </c>
      <c r="V335">
        <f t="shared" si="253"/>
        <v>0</v>
      </c>
      <c r="W335">
        <f t="shared" si="254"/>
        <v>0</v>
      </c>
      <c r="X335">
        <f t="shared" si="245"/>
        <v>0</v>
      </c>
      <c r="Y335">
        <f t="shared" si="255"/>
        <v>0</v>
      </c>
      <c r="Z335">
        <f t="shared" si="256"/>
        <v>0</v>
      </c>
      <c r="AA335">
        <f t="shared" si="257"/>
        <v>0</v>
      </c>
      <c r="AB335">
        <f t="shared" si="258"/>
        <v>0</v>
      </c>
      <c r="AC335" s="23">
        <f>IF(B335&gt;$AJ$2,0,HLOOKUP(YEAR(A335),Assumptions!$A$25:$AL$29,4,TRUE)/100)</f>
        <v>0</v>
      </c>
      <c r="AD335">
        <f t="shared" si="259"/>
        <v>0</v>
      </c>
      <c r="AE335">
        <f t="shared" si="260"/>
        <v>0</v>
      </c>
      <c r="AF335">
        <f t="shared" si="261"/>
        <v>0</v>
      </c>
      <c r="AG335">
        <f t="shared" si="262"/>
        <v>0</v>
      </c>
      <c r="AH335">
        <f t="shared" si="263"/>
        <v>0</v>
      </c>
      <c r="AI335">
        <f t="shared" si="264"/>
        <v>0</v>
      </c>
      <c r="AJ335">
        <f t="shared" si="265"/>
        <v>0</v>
      </c>
      <c r="AK335">
        <f t="shared" si="266"/>
        <v>0</v>
      </c>
      <c r="AL335">
        <f t="shared" si="267"/>
        <v>0</v>
      </c>
      <c r="AM335">
        <f t="shared" si="246"/>
        <v>0</v>
      </c>
      <c r="AN335">
        <f>IF($S$2=0,0,(SUMPRODUCT($K$2:$R$2,Assumptions!$B$34:$I$34)/$U$2+$J$2/$U$2*Assumptions!$A$34*G335)*K335*O334)</f>
        <v>0</v>
      </c>
      <c r="AO335">
        <f t="shared" si="268"/>
        <v>0</v>
      </c>
      <c r="AP335">
        <f t="shared" si="269"/>
        <v>0</v>
      </c>
      <c r="AQ335">
        <f>IF(B335&gt;$AJ$2,0,AQ334*(1+Assumptions!$B$43)^(1/12))</f>
        <v>0</v>
      </c>
      <c r="AR335" s="27">
        <f>IF(B335&gt;$AJ$2,0,(O334+R334)*Assumptions!$B$39/12*AQ334+AV335*Assumptions!$B$41/12)</f>
        <v>0</v>
      </c>
      <c r="AS335">
        <f t="shared" si="270"/>
        <v>0</v>
      </c>
      <c r="AT335" s="28">
        <f t="shared" si="271"/>
        <v>0</v>
      </c>
      <c r="AU335">
        <f t="shared" si="272"/>
        <v>0</v>
      </c>
      <c r="AV335" s="28">
        <f t="shared" si="273"/>
        <v>0</v>
      </c>
      <c r="AW335" s="28">
        <f t="shared" si="274"/>
        <v>0</v>
      </c>
      <c r="AX335" s="23">
        <f>HLOOKUP(YEAR(A335),Assumptions!$A$25:$AL$29,2,TRUE)/100</f>
        <v>1.1739999999999999E-2</v>
      </c>
      <c r="AY335" s="29">
        <f>1/(1+HLOOKUP(YEAR(A335),Assumptions!$A$18:$AL$20,3,TRUE))^(1/12)</f>
        <v>0.99902750864006262</v>
      </c>
      <c r="AZ335" s="26">
        <f t="shared" si="275"/>
        <v>0</v>
      </c>
      <c r="BA335">
        <f t="shared" si="276"/>
        <v>0</v>
      </c>
      <c r="BB335">
        <f t="shared" si="277"/>
        <v>0</v>
      </c>
      <c r="BC335">
        <f t="shared" si="278"/>
        <v>0</v>
      </c>
    </row>
    <row r="336" spans="1:55" x14ac:dyDescent="0.2">
      <c r="A336" s="3">
        <f t="shared" si="247"/>
        <v>52993</v>
      </c>
      <c r="B336">
        <f t="shared" si="243"/>
        <v>338</v>
      </c>
      <c r="C336">
        <f t="shared" si="241"/>
        <v>28.083333333333332</v>
      </c>
      <c r="D336">
        <f t="shared" si="242"/>
        <v>0</v>
      </c>
      <c r="E336">
        <f t="shared" si="244"/>
        <v>84</v>
      </c>
      <c r="F336">
        <f>IF(C336&gt;=$T$2,0,VLOOKUP($E336,'Mortality Table'!$A$3:$C$128,2+AF$2,FALSE))</f>
        <v>0</v>
      </c>
      <c r="G336">
        <f>F336*Assumptions!$B$1</f>
        <v>0</v>
      </c>
      <c r="H336">
        <f t="shared" si="248"/>
        <v>0</v>
      </c>
      <c r="I336">
        <f t="shared" si="236"/>
        <v>0</v>
      </c>
      <c r="J336">
        <f>IF(B336&gt;$AJ$2,0,HLOOKUP(C336,Assumptions!$A$6:$J$7,2,TRUE))</f>
        <v>0</v>
      </c>
      <c r="K336" s="4">
        <f t="shared" si="237"/>
        <v>0</v>
      </c>
      <c r="L336" s="4">
        <f t="shared" si="249"/>
        <v>0</v>
      </c>
      <c r="M336" s="4">
        <f t="shared" si="238"/>
        <v>0</v>
      </c>
      <c r="N336">
        <f t="shared" si="250"/>
        <v>0</v>
      </c>
      <c r="O336" s="21">
        <f t="shared" si="239"/>
        <v>0</v>
      </c>
      <c r="P336">
        <f>IF(B336&gt;$AJ$2,0,HLOOKUP(C336,Assumptions!$A$12:$J$13,2,TRUE))</f>
        <v>0</v>
      </c>
      <c r="Q336">
        <f t="shared" si="240"/>
        <v>0</v>
      </c>
      <c r="R336">
        <f t="shared" si="251"/>
        <v>0</v>
      </c>
      <c r="S336">
        <f t="shared" si="279"/>
        <v>0</v>
      </c>
      <c r="T336">
        <f t="shared" si="280"/>
        <v>0</v>
      </c>
      <c r="U336">
        <f t="shared" si="252"/>
        <v>0</v>
      </c>
      <c r="V336">
        <f t="shared" si="253"/>
        <v>0</v>
      </c>
      <c r="W336">
        <f t="shared" si="254"/>
        <v>0</v>
      </c>
      <c r="X336">
        <f t="shared" si="245"/>
        <v>0</v>
      </c>
      <c r="Y336">
        <f t="shared" si="255"/>
        <v>0</v>
      </c>
      <c r="Z336">
        <f t="shared" si="256"/>
        <v>0</v>
      </c>
      <c r="AA336">
        <f t="shared" si="257"/>
        <v>0</v>
      </c>
      <c r="AB336">
        <f t="shared" si="258"/>
        <v>0</v>
      </c>
      <c r="AC336" s="23">
        <f>IF(B336&gt;$AJ$2,0,HLOOKUP(YEAR(A336),Assumptions!$A$25:$AL$29,4,TRUE)/100)</f>
        <v>0</v>
      </c>
      <c r="AD336">
        <f t="shared" si="259"/>
        <v>0</v>
      </c>
      <c r="AE336">
        <f t="shared" si="260"/>
        <v>0</v>
      </c>
      <c r="AF336">
        <f t="shared" si="261"/>
        <v>0</v>
      </c>
      <c r="AG336">
        <f t="shared" si="262"/>
        <v>0</v>
      </c>
      <c r="AH336">
        <f t="shared" si="263"/>
        <v>0</v>
      </c>
      <c r="AI336">
        <f t="shared" si="264"/>
        <v>0</v>
      </c>
      <c r="AJ336">
        <f t="shared" si="265"/>
        <v>0</v>
      </c>
      <c r="AK336">
        <f t="shared" si="266"/>
        <v>0</v>
      </c>
      <c r="AL336">
        <f t="shared" si="267"/>
        <v>0</v>
      </c>
      <c r="AM336">
        <f t="shared" si="246"/>
        <v>0</v>
      </c>
      <c r="AN336">
        <f>IF($S$2=0,0,(SUMPRODUCT($K$2:$R$2,Assumptions!$B$34:$I$34)/$U$2+$J$2/$U$2*Assumptions!$A$34*G336)*K336*O335)</f>
        <v>0</v>
      </c>
      <c r="AO336">
        <f t="shared" si="268"/>
        <v>0</v>
      </c>
      <c r="AP336">
        <f t="shared" si="269"/>
        <v>0</v>
      </c>
      <c r="AQ336">
        <f>IF(B336&gt;$AJ$2,0,AQ335*(1+Assumptions!$B$43)^(1/12))</f>
        <v>0</v>
      </c>
      <c r="AR336" s="27">
        <f>IF(B336&gt;$AJ$2,0,(O335+R335)*Assumptions!$B$39/12*AQ335+AV336*Assumptions!$B$41/12)</f>
        <v>0</v>
      </c>
      <c r="AS336">
        <f t="shared" si="270"/>
        <v>0</v>
      </c>
      <c r="AT336" s="28">
        <f t="shared" si="271"/>
        <v>0</v>
      </c>
      <c r="AU336">
        <f t="shared" si="272"/>
        <v>0</v>
      </c>
      <c r="AV336" s="28">
        <f t="shared" si="273"/>
        <v>0</v>
      </c>
      <c r="AW336" s="28">
        <f t="shared" si="274"/>
        <v>0</v>
      </c>
      <c r="AX336" s="23">
        <f>HLOOKUP(YEAR(A336),Assumptions!$A$25:$AL$29,2,TRUE)/100</f>
        <v>1.1739999999999999E-2</v>
      </c>
      <c r="AY336" s="29">
        <f>1/(1+HLOOKUP(YEAR(A336),Assumptions!$A$18:$AL$20,3,TRUE))^(1/12)</f>
        <v>0.99902750864006262</v>
      </c>
      <c r="AZ336" s="26">
        <f t="shared" si="275"/>
        <v>0</v>
      </c>
      <c r="BA336">
        <f t="shared" si="276"/>
        <v>0</v>
      </c>
      <c r="BB336">
        <f t="shared" si="277"/>
        <v>0</v>
      </c>
      <c r="BC336">
        <f t="shared" si="278"/>
        <v>0</v>
      </c>
    </row>
    <row r="337" spans="1:55" x14ac:dyDescent="0.2">
      <c r="A337" s="3">
        <f t="shared" si="247"/>
        <v>53021</v>
      </c>
      <c r="B337">
        <f t="shared" si="243"/>
        <v>339</v>
      </c>
      <c r="C337">
        <f t="shared" si="241"/>
        <v>28.166666666666668</v>
      </c>
      <c r="D337">
        <f t="shared" si="242"/>
        <v>0</v>
      </c>
      <c r="E337">
        <f t="shared" si="244"/>
        <v>84</v>
      </c>
      <c r="F337">
        <f>IF(C337&gt;=$T$2,0,VLOOKUP($E337,'Mortality Table'!$A$3:$C$128,2+AF$2,FALSE))</f>
        <v>0</v>
      </c>
      <c r="G337">
        <f>F337*Assumptions!$B$1</f>
        <v>0</v>
      </c>
      <c r="H337">
        <f t="shared" si="248"/>
        <v>0</v>
      </c>
      <c r="I337">
        <f t="shared" si="236"/>
        <v>0</v>
      </c>
      <c r="J337">
        <f>IF(B337&gt;$AJ$2,0,HLOOKUP(C337,Assumptions!$A$6:$J$7,2,TRUE))</f>
        <v>0</v>
      </c>
      <c r="K337" s="4">
        <f t="shared" si="237"/>
        <v>0</v>
      </c>
      <c r="L337" s="4">
        <f t="shared" si="249"/>
        <v>0</v>
      </c>
      <c r="M337" s="4">
        <f t="shared" si="238"/>
        <v>0</v>
      </c>
      <c r="N337">
        <f t="shared" si="250"/>
        <v>0</v>
      </c>
      <c r="O337" s="21">
        <f t="shared" si="239"/>
        <v>0</v>
      </c>
      <c r="P337">
        <f>IF(B337&gt;$AJ$2,0,HLOOKUP(C337,Assumptions!$A$12:$J$13,2,TRUE))</f>
        <v>0</v>
      </c>
      <c r="Q337">
        <f t="shared" si="240"/>
        <v>0</v>
      </c>
      <c r="R337">
        <f t="shared" si="251"/>
        <v>0</v>
      </c>
      <c r="S337">
        <f t="shared" si="279"/>
        <v>0</v>
      </c>
      <c r="T337">
        <f t="shared" si="280"/>
        <v>0</v>
      </c>
      <c r="U337">
        <f t="shared" si="252"/>
        <v>0</v>
      </c>
      <c r="V337">
        <f t="shared" si="253"/>
        <v>0</v>
      </c>
      <c r="W337">
        <f t="shared" si="254"/>
        <v>0</v>
      </c>
      <c r="X337">
        <f t="shared" si="245"/>
        <v>0</v>
      </c>
      <c r="Y337">
        <f t="shared" si="255"/>
        <v>0</v>
      </c>
      <c r="Z337">
        <f t="shared" si="256"/>
        <v>0</v>
      </c>
      <c r="AA337">
        <f t="shared" si="257"/>
        <v>0</v>
      </c>
      <c r="AB337">
        <f t="shared" si="258"/>
        <v>0</v>
      </c>
      <c r="AC337" s="23">
        <f>IF(B337&gt;$AJ$2,0,HLOOKUP(YEAR(A337),Assumptions!$A$25:$AL$29,4,TRUE)/100)</f>
        <v>0</v>
      </c>
      <c r="AD337">
        <f t="shared" si="259"/>
        <v>0</v>
      </c>
      <c r="AE337">
        <f t="shared" si="260"/>
        <v>0</v>
      </c>
      <c r="AF337">
        <f t="shared" si="261"/>
        <v>0</v>
      </c>
      <c r="AG337">
        <f t="shared" si="262"/>
        <v>0</v>
      </c>
      <c r="AH337">
        <f t="shared" si="263"/>
        <v>0</v>
      </c>
      <c r="AI337">
        <f t="shared" si="264"/>
        <v>0</v>
      </c>
      <c r="AJ337">
        <f t="shared" si="265"/>
        <v>0</v>
      </c>
      <c r="AK337">
        <f t="shared" si="266"/>
        <v>0</v>
      </c>
      <c r="AL337">
        <f t="shared" si="267"/>
        <v>0</v>
      </c>
      <c r="AM337">
        <f t="shared" si="246"/>
        <v>0</v>
      </c>
      <c r="AN337">
        <f>IF($S$2=0,0,(SUMPRODUCT($K$2:$R$2,Assumptions!$B$34:$I$34)/$U$2+$J$2/$U$2*Assumptions!$A$34*G337)*K337*O336)</f>
        <v>0</v>
      </c>
      <c r="AO337">
        <f t="shared" si="268"/>
        <v>0</v>
      </c>
      <c r="AP337">
        <f t="shared" si="269"/>
        <v>0</v>
      </c>
      <c r="AQ337">
        <f>IF(B337&gt;$AJ$2,0,AQ336*(1+Assumptions!$B$43)^(1/12))</f>
        <v>0</v>
      </c>
      <c r="AR337" s="27">
        <f>IF(B337&gt;$AJ$2,0,(O336+R336)*Assumptions!$B$39/12*AQ336+AV337*Assumptions!$B$41/12)</f>
        <v>0</v>
      </c>
      <c r="AS337">
        <f t="shared" si="270"/>
        <v>0</v>
      </c>
      <c r="AT337" s="28">
        <f t="shared" si="271"/>
        <v>0</v>
      </c>
      <c r="AU337">
        <f t="shared" si="272"/>
        <v>0</v>
      </c>
      <c r="AV337" s="28">
        <f t="shared" si="273"/>
        <v>0</v>
      </c>
      <c r="AW337" s="28">
        <f t="shared" si="274"/>
        <v>0</v>
      </c>
      <c r="AX337" s="23">
        <f>HLOOKUP(YEAR(A337),Assumptions!$A$25:$AL$29,2,TRUE)/100</f>
        <v>1.1739999999999999E-2</v>
      </c>
      <c r="AY337" s="29">
        <f>1/(1+HLOOKUP(YEAR(A337),Assumptions!$A$18:$AL$20,3,TRUE))^(1/12)</f>
        <v>0.99902750864006262</v>
      </c>
      <c r="AZ337" s="26">
        <f t="shared" si="275"/>
        <v>0</v>
      </c>
      <c r="BA337">
        <f t="shared" si="276"/>
        <v>0</v>
      </c>
      <c r="BB337">
        <f t="shared" si="277"/>
        <v>0</v>
      </c>
      <c r="BC337">
        <f t="shared" si="278"/>
        <v>0</v>
      </c>
    </row>
    <row r="338" spans="1:55" x14ac:dyDescent="0.2">
      <c r="A338" s="3">
        <f t="shared" si="247"/>
        <v>53052</v>
      </c>
      <c r="B338">
        <f t="shared" si="243"/>
        <v>340</v>
      </c>
      <c r="C338">
        <f t="shared" si="241"/>
        <v>28.25</v>
      </c>
      <c r="D338">
        <f t="shared" si="242"/>
        <v>0</v>
      </c>
      <c r="E338">
        <f t="shared" si="244"/>
        <v>84</v>
      </c>
      <c r="F338">
        <f>IF(C338&gt;=$T$2,0,VLOOKUP($E338,'Mortality Table'!$A$3:$C$128,2+AF$2,FALSE))</f>
        <v>0</v>
      </c>
      <c r="G338">
        <f>F338*Assumptions!$B$1</f>
        <v>0</v>
      </c>
      <c r="H338">
        <f t="shared" si="248"/>
        <v>0</v>
      </c>
      <c r="I338">
        <f t="shared" si="236"/>
        <v>0</v>
      </c>
      <c r="J338">
        <f>IF(B338&gt;$AJ$2,0,HLOOKUP(C338,Assumptions!$A$6:$J$7,2,TRUE))</f>
        <v>0</v>
      </c>
      <c r="K338" s="4">
        <f t="shared" si="237"/>
        <v>0</v>
      </c>
      <c r="L338" s="4">
        <f t="shared" si="249"/>
        <v>0</v>
      </c>
      <c r="M338" s="4">
        <f t="shared" si="238"/>
        <v>0</v>
      </c>
      <c r="N338">
        <f t="shared" si="250"/>
        <v>0</v>
      </c>
      <c r="O338" s="21">
        <f t="shared" si="239"/>
        <v>0</v>
      </c>
      <c r="P338">
        <f>IF(B338&gt;$AJ$2,0,HLOOKUP(C338,Assumptions!$A$12:$J$13,2,TRUE))</f>
        <v>0</v>
      </c>
      <c r="Q338">
        <f t="shared" si="240"/>
        <v>0</v>
      </c>
      <c r="R338">
        <f t="shared" si="251"/>
        <v>0</v>
      </c>
      <c r="S338">
        <f t="shared" si="279"/>
        <v>0</v>
      </c>
      <c r="T338">
        <f t="shared" si="280"/>
        <v>0</v>
      </c>
      <c r="U338">
        <f t="shared" si="252"/>
        <v>0</v>
      </c>
      <c r="V338">
        <f t="shared" si="253"/>
        <v>0</v>
      </c>
      <c r="W338">
        <f t="shared" si="254"/>
        <v>0</v>
      </c>
      <c r="X338">
        <f t="shared" si="245"/>
        <v>0</v>
      </c>
      <c r="Y338">
        <f t="shared" si="255"/>
        <v>0</v>
      </c>
      <c r="Z338">
        <f t="shared" si="256"/>
        <v>0</v>
      </c>
      <c r="AA338">
        <f t="shared" si="257"/>
        <v>0</v>
      </c>
      <c r="AB338">
        <f t="shared" si="258"/>
        <v>0</v>
      </c>
      <c r="AC338" s="23">
        <f>IF(B338&gt;$AJ$2,0,HLOOKUP(YEAR(A338),Assumptions!$A$25:$AL$29,4,TRUE)/100)</f>
        <v>0</v>
      </c>
      <c r="AD338">
        <f t="shared" si="259"/>
        <v>0</v>
      </c>
      <c r="AE338">
        <f t="shared" si="260"/>
        <v>0</v>
      </c>
      <c r="AF338">
        <f t="shared" si="261"/>
        <v>0</v>
      </c>
      <c r="AG338">
        <f t="shared" si="262"/>
        <v>0</v>
      </c>
      <c r="AH338">
        <f t="shared" si="263"/>
        <v>0</v>
      </c>
      <c r="AI338">
        <f t="shared" si="264"/>
        <v>0</v>
      </c>
      <c r="AJ338">
        <f t="shared" si="265"/>
        <v>0</v>
      </c>
      <c r="AK338">
        <f t="shared" si="266"/>
        <v>0</v>
      </c>
      <c r="AL338">
        <f t="shared" si="267"/>
        <v>0</v>
      </c>
      <c r="AM338">
        <f t="shared" si="246"/>
        <v>0</v>
      </c>
      <c r="AN338">
        <f>IF($S$2=0,0,(SUMPRODUCT($K$2:$R$2,Assumptions!$B$34:$I$34)/$U$2+$J$2/$U$2*Assumptions!$A$34*G338)*K338*O337)</f>
        <v>0</v>
      </c>
      <c r="AO338">
        <f t="shared" si="268"/>
        <v>0</v>
      </c>
      <c r="AP338">
        <f t="shared" si="269"/>
        <v>0</v>
      </c>
      <c r="AQ338">
        <f>IF(B338&gt;$AJ$2,0,AQ337*(1+Assumptions!$B$43)^(1/12))</f>
        <v>0</v>
      </c>
      <c r="AR338" s="27">
        <f>IF(B338&gt;$AJ$2,0,(O337+R337)*Assumptions!$B$39/12*AQ337+AV338*Assumptions!$B$41/12)</f>
        <v>0</v>
      </c>
      <c r="AS338">
        <f t="shared" si="270"/>
        <v>0</v>
      </c>
      <c r="AT338" s="28">
        <f t="shared" si="271"/>
        <v>0</v>
      </c>
      <c r="AU338">
        <f t="shared" si="272"/>
        <v>0</v>
      </c>
      <c r="AV338" s="28">
        <f t="shared" si="273"/>
        <v>0</v>
      </c>
      <c r="AW338" s="28">
        <f t="shared" si="274"/>
        <v>0</v>
      </c>
      <c r="AX338" s="23">
        <f>HLOOKUP(YEAR(A338),Assumptions!$A$25:$AL$29,2,TRUE)/100</f>
        <v>1.1739999999999999E-2</v>
      </c>
      <c r="AY338" s="29">
        <f>1/(1+HLOOKUP(YEAR(A338),Assumptions!$A$18:$AL$20,3,TRUE))^(1/12)</f>
        <v>0.99902750864006262</v>
      </c>
      <c r="AZ338" s="26">
        <f t="shared" si="275"/>
        <v>0</v>
      </c>
      <c r="BA338">
        <f t="shared" si="276"/>
        <v>0</v>
      </c>
      <c r="BB338">
        <f t="shared" si="277"/>
        <v>0</v>
      </c>
      <c r="BC338">
        <f t="shared" si="278"/>
        <v>0</v>
      </c>
    </row>
    <row r="339" spans="1:55" x14ac:dyDescent="0.2">
      <c r="A339" s="3">
        <f t="shared" si="247"/>
        <v>53082</v>
      </c>
      <c r="B339">
        <f t="shared" si="243"/>
        <v>341</v>
      </c>
      <c r="C339">
        <f t="shared" si="241"/>
        <v>28.333333333333332</v>
      </c>
      <c r="D339">
        <f t="shared" si="242"/>
        <v>0</v>
      </c>
      <c r="E339">
        <f t="shared" si="244"/>
        <v>84</v>
      </c>
      <c r="F339">
        <f>IF(C339&gt;=$T$2,0,VLOOKUP($E339,'Mortality Table'!$A$3:$C$128,2+AF$2,FALSE))</f>
        <v>0</v>
      </c>
      <c r="G339">
        <f>F339*Assumptions!$B$1</f>
        <v>0</v>
      </c>
      <c r="H339">
        <f t="shared" si="248"/>
        <v>0</v>
      </c>
      <c r="I339">
        <f t="shared" si="236"/>
        <v>0</v>
      </c>
      <c r="J339">
        <f>IF(B339&gt;$AJ$2,0,HLOOKUP(C339,Assumptions!$A$6:$J$7,2,TRUE))</f>
        <v>0</v>
      </c>
      <c r="K339" s="4">
        <f t="shared" si="237"/>
        <v>0</v>
      </c>
      <c r="L339" s="4">
        <f t="shared" si="249"/>
        <v>0</v>
      </c>
      <c r="M339" s="4">
        <f t="shared" si="238"/>
        <v>0</v>
      </c>
      <c r="N339">
        <f t="shared" si="250"/>
        <v>0</v>
      </c>
      <c r="O339" s="21">
        <f t="shared" si="239"/>
        <v>0</v>
      </c>
      <c r="P339">
        <f>IF(B339&gt;$AJ$2,0,HLOOKUP(C339,Assumptions!$A$12:$J$13,2,TRUE))</f>
        <v>0</v>
      </c>
      <c r="Q339">
        <f t="shared" si="240"/>
        <v>0</v>
      </c>
      <c r="R339">
        <f t="shared" si="251"/>
        <v>0</v>
      </c>
      <c r="S339">
        <f t="shared" si="279"/>
        <v>0</v>
      </c>
      <c r="T339">
        <f t="shared" si="280"/>
        <v>0</v>
      </c>
      <c r="U339">
        <f t="shared" si="252"/>
        <v>0</v>
      </c>
      <c r="V339">
        <f t="shared" si="253"/>
        <v>0</v>
      </c>
      <c r="W339">
        <f t="shared" si="254"/>
        <v>0</v>
      </c>
      <c r="X339">
        <f t="shared" si="245"/>
        <v>0</v>
      </c>
      <c r="Y339">
        <f t="shared" si="255"/>
        <v>0</v>
      </c>
      <c r="Z339">
        <f t="shared" si="256"/>
        <v>0</v>
      </c>
      <c r="AA339">
        <f t="shared" si="257"/>
        <v>0</v>
      </c>
      <c r="AB339">
        <f t="shared" si="258"/>
        <v>0</v>
      </c>
      <c r="AC339" s="23">
        <f>IF(B339&gt;$AJ$2,0,HLOOKUP(YEAR(A339),Assumptions!$A$25:$AL$29,4,TRUE)/100)</f>
        <v>0</v>
      </c>
      <c r="AD339">
        <f t="shared" si="259"/>
        <v>0</v>
      </c>
      <c r="AE339">
        <f t="shared" si="260"/>
        <v>0</v>
      </c>
      <c r="AF339">
        <f t="shared" si="261"/>
        <v>0</v>
      </c>
      <c r="AG339">
        <f t="shared" si="262"/>
        <v>0</v>
      </c>
      <c r="AH339">
        <f t="shared" si="263"/>
        <v>0</v>
      </c>
      <c r="AI339">
        <f t="shared" si="264"/>
        <v>0</v>
      </c>
      <c r="AJ339">
        <f t="shared" si="265"/>
        <v>0</v>
      </c>
      <c r="AK339">
        <f t="shared" si="266"/>
        <v>0</v>
      </c>
      <c r="AL339">
        <f t="shared" si="267"/>
        <v>0</v>
      </c>
      <c r="AM339">
        <f t="shared" si="246"/>
        <v>0</v>
      </c>
      <c r="AN339">
        <f>IF($S$2=0,0,(SUMPRODUCT($K$2:$R$2,Assumptions!$B$34:$I$34)/$U$2+$J$2/$U$2*Assumptions!$A$34*G339)*K339*O338)</f>
        <v>0</v>
      </c>
      <c r="AO339">
        <f t="shared" si="268"/>
        <v>0</v>
      </c>
      <c r="AP339">
        <f t="shared" si="269"/>
        <v>0</v>
      </c>
      <c r="AQ339">
        <f>IF(B339&gt;$AJ$2,0,AQ338*(1+Assumptions!$B$43)^(1/12))</f>
        <v>0</v>
      </c>
      <c r="AR339" s="27">
        <f>IF(B339&gt;$AJ$2,0,(O338+R338)*Assumptions!$B$39/12*AQ338+AV339*Assumptions!$B$41/12)</f>
        <v>0</v>
      </c>
      <c r="AS339">
        <f t="shared" si="270"/>
        <v>0</v>
      </c>
      <c r="AT339" s="28">
        <f t="shared" si="271"/>
        <v>0</v>
      </c>
      <c r="AU339">
        <f t="shared" si="272"/>
        <v>0</v>
      </c>
      <c r="AV339" s="28">
        <f t="shared" si="273"/>
        <v>0</v>
      </c>
      <c r="AW339" s="28">
        <f t="shared" si="274"/>
        <v>0</v>
      </c>
      <c r="AX339" s="23">
        <f>HLOOKUP(YEAR(A339),Assumptions!$A$25:$AL$29,2,TRUE)/100</f>
        <v>1.1739999999999999E-2</v>
      </c>
      <c r="AY339" s="29">
        <f>1/(1+HLOOKUP(YEAR(A339),Assumptions!$A$18:$AL$20,3,TRUE))^(1/12)</f>
        <v>0.99902750864006262</v>
      </c>
      <c r="AZ339" s="26">
        <f t="shared" si="275"/>
        <v>0</v>
      </c>
      <c r="BA339">
        <f t="shared" si="276"/>
        <v>0</v>
      </c>
      <c r="BB339">
        <f t="shared" si="277"/>
        <v>0</v>
      </c>
      <c r="BC339">
        <f t="shared" si="278"/>
        <v>0</v>
      </c>
    </row>
    <row r="340" spans="1:55" x14ac:dyDescent="0.2">
      <c r="A340" s="3">
        <f t="shared" si="247"/>
        <v>53113</v>
      </c>
      <c r="B340">
        <f t="shared" si="243"/>
        <v>342</v>
      </c>
      <c r="C340">
        <f t="shared" si="241"/>
        <v>28.416666666666668</v>
      </c>
      <c r="D340">
        <f t="shared" si="242"/>
        <v>0</v>
      </c>
      <c r="E340">
        <f t="shared" si="244"/>
        <v>84</v>
      </c>
      <c r="F340">
        <f>IF(C340&gt;=$T$2,0,VLOOKUP($E340,'Mortality Table'!$A$3:$C$128,2+AF$2,FALSE))</f>
        <v>0</v>
      </c>
      <c r="G340">
        <f>F340*Assumptions!$B$1</f>
        <v>0</v>
      </c>
      <c r="H340">
        <f t="shared" si="248"/>
        <v>0</v>
      </c>
      <c r="I340">
        <f t="shared" si="236"/>
        <v>0</v>
      </c>
      <c r="J340">
        <f>IF(B340&gt;$AJ$2,0,HLOOKUP(C340,Assumptions!$A$6:$J$7,2,TRUE))</f>
        <v>0</v>
      </c>
      <c r="K340" s="4">
        <f t="shared" si="237"/>
        <v>0</v>
      </c>
      <c r="L340" s="4">
        <f t="shared" si="249"/>
        <v>0</v>
      </c>
      <c r="M340" s="4">
        <f t="shared" si="238"/>
        <v>0</v>
      </c>
      <c r="N340">
        <f t="shared" si="250"/>
        <v>0</v>
      </c>
      <c r="O340" s="21">
        <f t="shared" si="239"/>
        <v>0</v>
      </c>
      <c r="P340">
        <f>IF(B340&gt;$AJ$2,0,HLOOKUP(C340,Assumptions!$A$12:$J$13,2,TRUE))</f>
        <v>0</v>
      </c>
      <c r="Q340">
        <f t="shared" si="240"/>
        <v>0</v>
      </c>
      <c r="R340">
        <f t="shared" si="251"/>
        <v>0</v>
      </c>
      <c r="S340">
        <f t="shared" si="279"/>
        <v>0</v>
      </c>
      <c r="T340">
        <f t="shared" si="280"/>
        <v>0</v>
      </c>
      <c r="U340">
        <f t="shared" si="252"/>
        <v>0</v>
      </c>
      <c r="V340">
        <f t="shared" si="253"/>
        <v>0</v>
      </c>
      <c r="W340">
        <f t="shared" si="254"/>
        <v>0</v>
      </c>
      <c r="X340">
        <f t="shared" si="245"/>
        <v>0</v>
      </c>
      <c r="Y340">
        <f t="shared" si="255"/>
        <v>0</v>
      </c>
      <c r="Z340">
        <f t="shared" si="256"/>
        <v>0</v>
      </c>
      <c r="AA340">
        <f t="shared" si="257"/>
        <v>0</v>
      </c>
      <c r="AB340">
        <f t="shared" si="258"/>
        <v>0</v>
      </c>
      <c r="AC340" s="23">
        <f>IF(B340&gt;$AJ$2,0,HLOOKUP(YEAR(A340),Assumptions!$A$25:$AL$29,4,TRUE)/100)</f>
        <v>0</v>
      </c>
      <c r="AD340">
        <f t="shared" si="259"/>
        <v>0</v>
      </c>
      <c r="AE340">
        <f t="shared" si="260"/>
        <v>0</v>
      </c>
      <c r="AF340">
        <f t="shared" si="261"/>
        <v>0</v>
      </c>
      <c r="AG340">
        <f t="shared" si="262"/>
        <v>0</v>
      </c>
      <c r="AH340">
        <f t="shared" si="263"/>
        <v>0</v>
      </c>
      <c r="AI340">
        <f t="shared" si="264"/>
        <v>0</v>
      </c>
      <c r="AJ340">
        <f t="shared" si="265"/>
        <v>0</v>
      </c>
      <c r="AK340">
        <f t="shared" si="266"/>
        <v>0</v>
      </c>
      <c r="AL340">
        <f t="shared" si="267"/>
        <v>0</v>
      </c>
      <c r="AM340">
        <f t="shared" si="246"/>
        <v>0</v>
      </c>
      <c r="AN340">
        <f>IF($S$2=0,0,(SUMPRODUCT($K$2:$R$2,Assumptions!$B$34:$I$34)/$U$2+$J$2/$U$2*Assumptions!$A$34*G340)*K340*O339)</f>
        <v>0</v>
      </c>
      <c r="AO340">
        <f t="shared" si="268"/>
        <v>0</v>
      </c>
      <c r="AP340">
        <f t="shared" si="269"/>
        <v>0</v>
      </c>
      <c r="AQ340">
        <f>IF(B340&gt;$AJ$2,0,AQ339*(1+Assumptions!$B$43)^(1/12))</f>
        <v>0</v>
      </c>
      <c r="AR340" s="27">
        <f>IF(B340&gt;$AJ$2,0,(O339+R339)*Assumptions!$B$39/12*AQ339+AV340*Assumptions!$B$41/12)</f>
        <v>0</v>
      </c>
      <c r="AS340">
        <f t="shared" si="270"/>
        <v>0</v>
      </c>
      <c r="AT340" s="28">
        <f t="shared" si="271"/>
        <v>0</v>
      </c>
      <c r="AU340">
        <f t="shared" si="272"/>
        <v>0</v>
      </c>
      <c r="AV340" s="28">
        <f t="shared" si="273"/>
        <v>0</v>
      </c>
      <c r="AW340" s="28">
        <f t="shared" si="274"/>
        <v>0</v>
      </c>
      <c r="AX340" s="23">
        <f>HLOOKUP(YEAR(A340),Assumptions!$A$25:$AL$29,2,TRUE)/100</f>
        <v>1.1739999999999999E-2</v>
      </c>
      <c r="AY340" s="29">
        <f>1/(1+HLOOKUP(YEAR(A340),Assumptions!$A$18:$AL$20,3,TRUE))^(1/12)</f>
        <v>0.99902750864006262</v>
      </c>
      <c r="AZ340" s="26">
        <f t="shared" si="275"/>
        <v>0</v>
      </c>
      <c r="BA340">
        <f t="shared" si="276"/>
        <v>0</v>
      </c>
      <c r="BB340">
        <f t="shared" si="277"/>
        <v>0</v>
      </c>
      <c r="BC340">
        <f t="shared" si="278"/>
        <v>0</v>
      </c>
    </row>
    <row r="341" spans="1:55" x14ac:dyDescent="0.2">
      <c r="A341" s="3">
        <f t="shared" si="247"/>
        <v>53143</v>
      </c>
      <c r="B341">
        <f t="shared" si="243"/>
        <v>343</v>
      </c>
      <c r="C341">
        <f t="shared" si="241"/>
        <v>28.5</v>
      </c>
      <c r="D341">
        <f t="shared" si="242"/>
        <v>0</v>
      </c>
      <c r="E341">
        <f t="shared" si="244"/>
        <v>84</v>
      </c>
      <c r="F341">
        <f>IF(C341&gt;=$T$2,0,VLOOKUP($E341,'Mortality Table'!$A$3:$C$128,2+AF$2,FALSE))</f>
        <v>0</v>
      </c>
      <c r="G341">
        <f>F341*Assumptions!$B$1</f>
        <v>0</v>
      </c>
      <c r="H341">
        <f t="shared" si="248"/>
        <v>0</v>
      </c>
      <c r="I341">
        <f t="shared" si="236"/>
        <v>0</v>
      </c>
      <c r="J341">
        <f>IF(B341&gt;$AJ$2,0,HLOOKUP(C341,Assumptions!$A$6:$J$7,2,TRUE))</f>
        <v>0</v>
      </c>
      <c r="K341" s="4">
        <f t="shared" si="237"/>
        <v>0</v>
      </c>
      <c r="L341" s="4">
        <f t="shared" si="249"/>
        <v>0</v>
      </c>
      <c r="M341" s="4">
        <f t="shared" si="238"/>
        <v>0</v>
      </c>
      <c r="N341">
        <f t="shared" si="250"/>
        <v>0</v>
      </c>
      <c r="O341" s="21">
        <f t="shared" si="239"/>
        <v>0</v>
      </c>
      <c r="P341">
        <f>IF(B341&gt;$AJ$2,0,HLOOKUP(C341,Assumptions!$A$12:$J$13,2,TRUE))</f>
        <v>0</v>
      </c>
      <c r="Q341">
        <f t="shared" si="240"/>
        <v>0</v>
      </c>
      <c r="R341">
        <f t="shared" si="251"/>
        <v>0</v>
      </c>
      <c r="S341">
        <f t="shared" si="279"/>
        <v>0</v>
      </c>
      <c r="T341">
        <f t="shared" si="280"/>
        <v>0</v>
      </c>
      <c r="U341">
        <f t="shared" si="252"/>
        <v>0</v>
      </c>
      <c r="V341">
        <f t="shared" si="253"/>
        <v>0</v>
      </c>
      <c r="W341">
        <f t="shared" si="254"/>
        <v>0</v>
      </c>
      <c r="X341">
        <f t="shared" si="245"/>
        <v>0</v>
      </c>
      <c r="Y341">
        <f t="shared" si="255"/>
        <v>0</v>
      </c>
      <c r="Z341">
        <f t="shared" si="256"/>
        <v>0</v>
      </c>
      <c r="AA341">
        <f t="shared" si="257"/>
        <v>0</v>
      </c>
      <c r="AB341">
        <f t="shared" si="258"/>
        <v>0</v>
      </c>
      <c r="AC341" s="23">
        <f>IF(B341&gt;$AJ$2,0,HLOOKUP(YEAR(A341),Assumptions!$A$25:$AL$29,4,TRUE)/100)</f>
        <v>0</v>
      </c>
      <c r="AD341">
        <f t="shared" si="259"/>
        <v>0</v>
      </c>
      <c r="AE341">
        <f t="shared" si="260"/>
        <v>0</v>
      </c>
      <c r="AF341">
        <f t="shared" si="261"/>
        <v>0</v>
      </c>
      <c r="AG341">
        <f t="shared" si="262"/>
        <v>0</v>
      </c>
      <c r="AH341">
        <f t="shared" si="263"/>
        <v>0</v>
      </c>
      <c r="AI341">
        <f t="shared" si="264"/>
        <v>0</v>
      </c>
      <c r="AJ341">
        <f t="shared" si="265"/>
        <v>0</v>
      </c>
      <c r="AK341">
        <f t="shared" si="266"/>
        <v>0</v>
      </c>
      <c r="AL341">
        <f t="shared" si="267"/>
        <v>0</v>
      </c>
      <c r="AM341">
        <f t="shared" si="246"/>
        <v>0</v>
      </c>
      <c r="AN341">
        <f>IF($S$2=0,0,(SUMPRODUCT($K$2:$R$2,Assumptions!$B$34:$I$34)/$U$2+$J$2/$U$2*Assumptions!$A$34*G341)*K341*O340)</f>
        <v>0</v>
      </c>
      <c r="AO341">
        <f t="shared" si="268"/>
        <v>0</v>
      </c>
      <c r="AP341">
        <f t="shared" si="269"/>
        <v>0</v>
      </c>
      <c r="AQ341">
        <f>IF(B341&gt;$AJ$2,0,AQ340*(1+Assumptions!$B$43)^(1/12))</f>
        <v>0</v>
      </c>
      <c r="AR341" s="27">
        <f>IF(B341&gt;$AJ$2,0,(O340+R340)*Assumptions!$B$39/12*AQ340+AV341*Assumptions!$B$41/12)</f>
        <v>0</v>
      </c>
      <c r="AS341">
        <f t="shared" si="270"/>
        <v>0</v>
      </c>
      <c r="AT341" s="28">
        <f t="shared" si="271"/>
        <v>0</v>
      </c>
      <c r="AU341">
        <f t="shared" si="272"/>
        <v>0</v>
      </c>
      <c r="AV341" s="28">
        <f t="shared" si="273"/>
        <v>0</v>
      </c>
      <c r="AW341" s="28">
        <f t="shared" si="274"/>
        <v>0</v>
      </c>
      <c r="AX341" s="23">
        <f>HLOOKUP(YEAR(A341),Assumptions!$A$25:$AL$29,2,TRUE)/100</f>
        <v>1.1739999999999999E-2</v>
      </c>
      <c r="AY341" s="29">
        <f>1/(1+HLOOKUP(YEAR(A341),Assumptions!$A$18:$AL$20,3,TRUE))^(1/12)</f>
        <v>0.99902750864006262</v>
      </c>
      <c r="AZ341" s="26">
        <f t="shared" si="275"/>
        <v>0</v>
      </c>
      <c r="BA341">
        <f t="shared" si="276"/>
        <v>0</v>
      </c>
      <c r="BB341">
        <f t="shared" si="277"/>
        <v>0</v>
      </c>
      <c r="BC341">
        <f t="shared" si="278"/>
        <v>0</v>
      </c>
    </row>
    <row r="342" spans="1:55" x14ac:dyDescent="0.2">
      <c r="A342" s="3">
        <f t="shared" si="247"/>
        <v>53174</v>
      </c>
      <c r="B342">
        <f t="shared" si="243"/>
        <v>344</v>
      </c>
      <c r="C342">
        <f t="shared" si="241"/>
        <v>28.583333333333332</v>
      </c>
      <c r="D342">
        <f t="shared" si="242"/>
        <v>0</v>
      </c>
      <c r="E342">
        <f t="shared" si="244"/>
        <v>84</v>
      </c>
      <c r="F342">
        <f>IF(C342&gt;=$T$2,0,VLOOKUP($E342,'Mortality Table'!$A$3:$C$128,2+AF$2,FALSE))</f>
        <v>0</v>
      </c>
      <c r="G342">
        <f>F342*Assumptions!$B$1</f>
        <v>0</v>
      </c>
      <c r="H342">
        <f t="shared" si="248"/>
        <v>0</v>
      </c>
      <c r="I342">
        <f t="shared" si="236"/>
        <v>0</v>
      </c>
      <c r="J342">
        <f>IF(B342&gt;$AJ$2,0,HLOOKUP(C342,Assumptions!$A$6:$J$7,2,TRUE))</f>
        <v>0</v>
      </c>
      <c r="K342" s="4">
        <f t="shared" si="237"/>
        <v>0</v>
      </c>
      <c r="L342" s="4">
        <f t="shared" si="249"/>
        <v>0</v>
      </c>
      <c r="M342" s="4">
        <f t="shared" si="238"/>
        <v>0</v>
      </c>
      <c r="N342">
        <f t="shared" si="250"/>
        <v>0</v>
      </c>
      <c r="O342" s="21">
        <f t="shared" si="239"/>
        <v>0</v>
      </c>
      <c r="P342">
        <f>IF(B342&gt;$AJ$2,0,HLOOKUP(C342,Assumptions!$A$12:$J$13,2,TRUE))</f>
        <v>0</v>
      </c>
      <c r="Q342">
        <f t="shared" si="240"/>
        <v>0</v>
      </c>
      <c r="R342">
        <f t="shared" si="251"/>
        <v>0</v>
      </c>
      <c r="S342">
        <f t="shared" si="279"/>
        <v>0</v>
      </c>
      <c r="T342">
        <f t="shared" si="280"/>
        <v>0</v>
      </c>
      <c r="U342">
        <f t="shared" si="252"/>
        <v>0</v>
      </c>
      <c r="V342">
        <f t="shared" si="253"/>
        <v>0</v>
      </c>
      <c r="W342">
        <f t="shared" si="254"/>
        <v>0</v>
      </c>
      <c r="X342">
        <f t="shared" si="245"/>
        <v>0</v>
      </c>
      <c r="Y342">
        <f t="shared" si="255"/>
        <v>0</v>
      </c>
      <c r="Z342">
        <f t="shared" si="256"/>
        <v>0</v>
      </c>
      <c r="AA342">
        <f t="shared" si="257"/>
        <v>0</v>
      </c>
      <c r="AB342">
        <f t="shared" si="258"/>
        <v>0</v>
      </c>
      <c r="AC342" s="23">
        <f>IF(B342&gt;$AJ$2,0,HLOOKUP(YEAR(A342),Assumptions!$A$25:$AL$29,4,TRUE)/100)</f>
        <v>0</v>
      </c>
      <c r="AD342">
        <f t="shared" si="259"/>
        <v>0</v>
      </c>
      <c r="AE342">
        <f t="shared" si="260"/>
        <v>0</v>
      </c>
      <c r="AF342">
        <f t="shared" si="261"/>
        <v>0</v>
      </c>
      <c r="AG342">
        <f t="shared" si="262"/>
        <v>0</v>
      </c>
      <c r="AH342">
        <f t="shared" si="263"/>
        <v>0</v>
      </c>
      <c r="AI342">
        <f t="shared" si="264"/>
        <v>0</v>
      </c>
      <c r="AJ342">
        <f t="shared" si="265"/>
        <v>0</v>
      </c>
      <c r="AK342">
        <f t="shared" si="266"/>
        <v>0</v>
      </c>
      <c r="AL342">
        <f t="shared" si="267"/>
        <v>0</v>
      </c>
      <c r="AM342">
        <f t="shared" si="246"/>
        <v>0</v>
      </c>
      <c r="AN342">
        <f>IF($S$2=0,0,(SUMPRODUCT($K$2:$R$2,Assumptions!$B$34:$I$34)/$U$2+$J$2/$U$2*Assumptions!$A$34*G342)*K342*O341)</f>
        <v>0</v>
      </c>
      <c r="AO342">
        <f t="shared" si="268"/>
        <v>0</v>
      </c>
      <c r="AP342">
        <f t="shared" si="269"/>
        <v>0</v>
      </c>
      <c r="AQ342">
        <f>IF(B342&gt;$AJ$2,0,AQ341*(1+Assumptions!$B$43)^(1/12))</f>
        <v>0</v>
      </c>
      <c r="AR342" s="27">
        <f>IF(B342&gt;$AJ$2,0,(O341+R341)*Assumptions!$B$39/12*AQ341+AV342*Assumptions!$B$41/12)</f>
        <v>0</v>
      </c>
      <c r="AS342">
        <f t="shared" si="270"/>
        <v>0</v>
      </c>
      <c r="AT342" s="28">
        <f t="shared" si="271"/>
        <v>0</v>
      </c>
      <c r="AU342">
        <f t="shared" si="272"/>
        <v>0</v>
      </c>
      <c r="AV342" s="28">
        <f t="shared" si="273"/>
        <v>0</v>
      </c>
      <c r="AW342" s="28">
        <f t="shared" si="274"/>
        <v>0</v>
      </c>
      <c r="AX342" s="23">
        <f>HLOOKUP(YEAR(A342),Assumptions!$A$25:$AL$29,2,TRUE)/100</f>
        <v>1.1739999999999999E-2</v>
      </c>
      <c r="AY342" s="29">
        <f>1/(1+HLOOKUP(YEAR(A342),Assumptions!$A$18:$AL$20,3,TRUE))^(1/12)</f>
        <v>0.99902750864006262</v>
      </c>
      <c r="AZ342" s="26">
        <f t="shared" si="275"/>
        <v>0</v>
      </c>
      <c r="BA342">
        <f t="shared" si="276"/>
        <v>0</v>
      </c>
      <c r="BB342">
        <f t="shared" si="277"/>
        <v>0</v>
      </c>
      <c r="BC342">
        <f t="shared" si="278"/>
        <v>0</v>
      </c>
    </row>
    <row r="343" spans="1:55" x14ac:dyDescent="0.2">
      <c r="A343" s="3">
        <f t="shared" si="247"/>
        <v>53205</v>
      </c>
      <c r="B343">
        <f t="shared" si="243"/>
        <v>345</v>
      </c>
      <c r="C343">
        <f t="shared" si="241"/>
        <v>28.666666666666668</v>
      </c>
      <c r="D343">
        <f t="shared" si="242"/>
        <v>0</v>
      </c>
      <c r="E343">
        <f t="shared" si="244"/>
        <v>84</v>
      </c>
      <c r="F343">
        <f>IF(C343&gt;=$T$2,0,VLOOKUP($E343,'Mortality Table'!$A$3:$C$128,2+AF$2,FALSE))</f>
        <v>0</v>
      </c>
      <c r="G343">
        <f>F343*Assumptions!$B$1</f>
        <v>0</v>
      </c>
      <c r="H343">
        <f t="shared" si="248"/>
        <v>0</v>
      </c>
      <c r="I343">
        <f t="shared" si="236"/>
        <v>0</v>
      </c>
      <c r="J343">
        <f>IF(B343&gt;$AJ$2,0,HLOOKUP(C343,Assumptions!$A$6:$J$7,2,TRUE))</f>
        <v>0</v>
      </c>
      <c r="K343" s="4">
        <f t="shared" si="237"/>
        <v>0</v>
      </c>
      <c r="L343" s="4">
        <f t="shared" si="249"/>
        <v>0</v>
      </c>
      <c r="M343" s="4">
        <f t="shared" si="238"/>
        <v>0</v>
      </c>
      <c r="N343">
        <f t="shared" si="250"/>
        <v>0</v>
      </c>
      <c r="O343" s="21">
        <f t="shared" si="239"/>
        <v>0</v>
      </c>
      <c r="P343">
        <f>IF(B343&gt;$AJ$2,0,HLOOKUP(C343,Assumptions!$A$12:$J$13,2,TRUE))</f>
        <v>0</v>
      </c>
      <c r="Q343">
        <f t="shared" si="240"/>
        <v>0</v>
      </c>
      <c r="R343">
        <f t="shared" si="251"/>
        <v>0</v>
      </c>
      <c r="S343">
        <f t="shared" si="279"/>
        <v>0</v>
      </c>
      <c r="T343">
        <f t="shared" si="280"/>
        <v>0</v>
      </c>
      <c r="U343">
        <f t="shared" si="252"/>
        <v>0</v>
      </c>
      <c r="V343">
        <f t="shared" si="253"/>
        <v>0</v>
      </c>
      <c r="W343">
        <f t="shared" si="254"/>
        <v>0</v>
      </c>
      <c r="X343">
        <f t="shared" si="245"/>
        <v>0</v>
      </c>
      <c r="Y343">
        <f t="shared" si="255"/>
        <v>0</v>
      </c>
      <c r="Z343">
        <f t="shared" si="256"/>
        <v>0</v>
      </c>
      <c r="AA343">
        <f t="shared" si="257"/>
        <v>0</v>
      </c>
      <c r="AB343">
        <f t="shared" si="258"/>
        <v>0</v>
      </c>
      <c r="AC343" s="23">
        <f>IF(B343&gt;$AJ$2,0,HLOOKUP(YEAR(A343),Assumptions!$A$25:$AL$29,4,TRUE)/100)</f>
        <v>0</v>
      </c>
      <c r="AD343">
        <f t="shared" si="259"/>
        <v>0</v>
      </c>
      <c r="AE343">
        <f t="shared" si="260"/>
        <v>0</v>
      </c>
      <c r="AF343">
        <f t="shared" si="261"/>
        <v>0</v>
      </c>
      <c r="AG343">
        <f t="shared" si="262"/>
        <v>0</v>
      </c>
      <c r="AH343">
        <f t="shared" si="263"/>
        <v>0</v>
      </c>
      <c r="AI343">
        <f t="shared" si="264"/>
        <v>0</v>
      </c>
      <c r="AJ343">
        <f t="shared" si="265"/>
        <v>0</v>
      </c>
      <c r="AK343">
        <f t="shared" si="266"/>
        <v>0</v>
      </c>
      <c r="AL343">
        <f t="shared" si="267"/>
        <v>0</v>
      </c>
      <c r="AM343">
        <f t="shared" si="246"/>
        <v>0</v>
      </c>
      <c r="AN343">
        <f>IF($S$2=0,0,(SUMPRODUCT($K$2:$R$2,Assumptions!$B$34:$I$34)/$U$2+$J$2/$U$2*Assumptions!$A$34*G343)*K343*O342)</f>
        <v>0</v>
      </c>
      <c r="AO343">
        <f t="shared" si="268"/>
        <v>0</v>
      </c>
      <c r="AP343">
        <f t="shared" si="269"/>
        <v>0</v>
      </c>
      <c r="AQ343">
        <f>IF(B343&gt;$AJ$2,0,AQ342*(1+Assumptions!$B$43)^(1/12))</f>
        <v>0</v>
      </c>
      <c r="AR343" s="27">
        <f>IF(B343&gt;$AJ$2,0,(O342+R342)*Assumptions!$B$39/12*AQ342+AV343*Assumptions!$B$41/12)</f>
        <v>0</v>
      </c>
      <c r="AS343">
        <f t="shared" si="270"/>
        <v>0</v>
      </c>
      <c r="AT343" s="28">
        <f t="shared" si="271"/>
        <v>0</v>
      </c>
      <c r="AU343">
        <f t="shared" si="272"/>
        <v>0</v>
      </c>
      <c r="AV343" s="28">
        <f t="shared" si="273"/>
        <v>0</v>
      </c>
      <c r="AW343" s="28">
        <f t="shared" si="274"/>
        <v>0</v>
      </c>
      <c r="AX343" s="23">
        <f>HLOOKUP(YEAR(A343),Assumptions!$A$25:$AL$29,2,TRUE)/100</f>
        <v>1.1739999999999999E-2</v>
      </c>
      <c r="AY343" s="29">
        <f>1/(1+HLOOKUP(YEAR(A343),Assumptions!$A$18:$AL$20,3,TRUE))^(1/12)</f>
        <v>0.99902750864006262</v>
      </c>
      <c r="AZ343" s="26">
        <f t="shared" si="275"/>
        <v>0</v>
      </c>
      <c r="BA343">
        <f t="shared" si="276"/>
        <v>0</v>
      </c>
      <c r="BB343">
        <f t="shared" si="277"/>
        <v>0</v>
      </c>
      <c r="BC343">
        <f t="shared" si="278"/>
        <v>0</v>
      </c>
    </row>
    <row r="344" spans="1:55" x14ac:dyDescent="0.2">
      <c r="A344" s="3">
        <f t="shared" si="247"/>
        <v>53235</v>
      </c>
      <c r="B344">
        <f t="shared" si="243"/>
        <v>346</v>
      </c>
      <c r="C344">
        <f t="shared" si="241"/>
        <v>28.75</v>
      </c>
      <c r="D344">
        <f t="shared" si="242"/>
        <v>0</v>
      </c>
      <c r="E344">
        <f t="shared" si="244"/>
        <v>84</v>
      </c>
      <c r="F344">
        <f>IF(C344&gt;=$T$2,0,VLOOKUP($E344,'Mortality Table'!$A$3:$C$128,2+AF$2,FALSE))</f>
        <v>0</v>
      </c>
      <c r="G344">
        <f>F344*Assumptions!$B$1</f>
        <v>0</v>
      </c>
      <c r="H344">
        <f t="shared" si="248"/>
        <v>0</v>
      </c>
      <c r="I344">
        <f t="shared" si="236"/>
        <v>0</v>
      </c>
      <c r="J344">
        <f>IF(B344&gt;$AJ$2,0,HLOOKUP(C344,Assumptions!$A$6:$J$7,2,TRUE))</f>
        <v>0</v>
      </c>
      <c r="K344" s="4">
        <f t="shared" si="237"/>
        <v>0</v>
      </c>
      <c r="L344" s="4">
        <f t="shared" si="249"/>
        <v>0</v>
      </c>
      <c r="M344" s="4">
        <f t="shared" si="238"/>
        <v>0</v>
      </c>
      <c r="N344">
        <f t="shared" si="250"/>
        <v>0</v>
      </c>
      <c r="O344" s="21">
        <f t="shared" si="239"/>
        <v>0</v>
      </c>
      <c r="P344">
        <f>IF(B344&gt;$AJ$2,0,HLOOKUP(C344,Assumptions!$A$12:$J$13,2,TRUE))</f>
        <v>0</v>
      </c>
      <c r="Q344">
        <f t="shared" si="240"/>
        <v>0</v>
      </c>
      <c r="R344">
        <f t="shared" si="251"/>
        <v>0</v>
      </c>
      <c r="S344">
        <f t="shared" si="279"/>
        <v>0</v>
      </c>
      <c r="T344">
        <f t="shared" si="280"/>
        <v>0</v>
      </c>
      <c r="U344">
        <f t="shared" si="252"/>
        <v>0</v>
      </c>
      <c r="V344">
        <f t="shared" si="253"/>
        <v>0</v>
      </c>
      <c r="W344">
        <f t="shared" si="254"/>
        <v>0</v>
      </c>
      <c r="X344">
        <f t="shared" si="245"/>
        <v>0</v>
      </c>
      <c r="Y344">
        <f t="shared" si="255"/>
        <v>0</v>
      </c>
      <c r="Z344">
        <f t="shared" si="256"/>
        <v>0</v>
      </c>
      <c r="AA344">
        <f t="shared" si="257"/>
        <v>0</v>
      </c>
      <c r="AB344">
        <f t="shared" si="258"/>
        <v>0</v>
      </c>
      <c r="AC344" s="23">
        <f>IF(B344&gt;$AJ$2,0,HLOOKUP(YEAR(A344),Assumptions!$A$25:$AL$29,4,TRUE)/100)</f>
        <v>0</v>
      </c>
      <c r="AD344">
        <f t="shared" si="259"/>
        <v>0</v>
      </c>
      <c r="AE344">
        <f t="shared" si="260"/>
        <v>0</v>
      </c>
      <c r="AF344">
        <f t="shared" si="261"/>
        <v>0</v>
      </c>
      <c r="AG344">
        <f t="shared" si="262"/>
        <v>0</v>
      </c>
      <c r="AH344">
        <f t="shared" si="263"/>
        <v>0</v>
      </c>
      <c r="AI344">
        <f t="shared" si="264"/>
        <v>0</v>
      </c>
      <c r="AJ344">
        <f t="shared" si="265"/>
        <v>0</v>
      </c>
      <c r="AK344">
        <f t="shared" si="266"/>
        <v>0</v>
      </c>
      <c r="AL344">
        <f t="shared" si="267"/>
        <v>0</v>
      </c>
      <c r="AM344">
        <f t="shared" si="246"/>
        <v>0</v>
      </c>
      <c r="AN344">
        <f>IF($S$2=0,0,(SUMPRODUCT($K$2:$R$2,Assumptions!$B$34:$I$34)/$U$2+$J$2/$U$2*Assumptions!$A$34*G344)*K344*O343)</f>
        <v>0</v>
      </c>
      <c r="AO344">
        <f t="shared" si="268"/>
        <v>0</v>
      </c>
      <c r="AP344">
        <f t="shared" si="269"/>
        <v>0</v>
      </c>
      <c r="AQ344">
        <f>IF(B344&gt;$AJ$2,0,AQ343*(1+Assumptions!$B$43)^(1/12))</f>
        <v>0</v>
      </c>
      <c r="AR344" s="27">
        <f>IF(B344&gt;$AJ$2,0,(O343+R343)*Assumptions!$B$39/12*AQ343+AV344*Assumptions!$B$41/12)</f>
        <v>0</v>
      </c>
      <c r="AS344">
        <f t="shared" si="270"/>
        <v>0</v>
      </c>
      <c r="AT344" s="28">
        <f t="shared" si="271"/>
        <v>0</v>
      </c>
      <c r="AU344">
        <f t="shared" si="272"/>
        <v>0</v>
      </c>
      <c r="AV344" s="28">
        <f t="shared" si="273"/>
        <v>0</v>
      </c>
      <c r="AW344" s="28">
        <f t="shared" si="274"/>
        <v>0</v>
      </c>
      <c r="AX344" s="23">
        <f>HLOOKUP(YEAR(A344),Assumptions!$A$25:$AL$29,2,TRUE)/100</f>
        <v>1.1739999999999999E-2</v>
      </c>
      <c r="AY344" s="29">
        <f>1/(1+HLOOKUP(YEAR(A344),Assumptions!$A$18:$AL$20,3,TRUE))^(1/12)</f>
        <v>0.99902750864006262</v>
      </c>
      <c r="AZ344" s="26">
        <f t="shared" si="275"/>
        <v>0</v>
      </c>
      <c r="BA344">
        <f t="shared" si="276"/>
        <v>0</v>
      </c>
      <c r="BB344">
        <f t="shared" si="277"/>
        <v>0</v>
      </c>
      <c r="BC344">
        <f t="shared" si="278"/>
        <v>0</v>
      </c>
    </row>
    <row r="345" spans="1:55" x14ac:dyDescent="0.2">
      <c r="A345" s="3">
        <f t="shared" si="247"/>
        <v>53266</v>
      </c>
      <c r="B345">
        <f t="shared" si="243"/>
        <v>347</v>
      </c>
      <c r="C345">
        <f t="shared" si="241"/>
        <v>28.833333333333332</v>
      </c>
      <c r="D345">
        <f t="shared" si="242"/>
        <v>0</v>
      </c>
      <c r="E345">
        <f t="shared" si="244"/>
        <v>84</v>
      </c>
      <c r="F345">
        <f>IF(C345&gt;=$T$2,0,VLOOKUP($E345,'Mortality Table'!$A$3:$C$128,2+AF$2,FALSE))</f>
        <v>0</v>
      </c>
      <c r="G345">
        <f>F345*Assumptions!$B$1</f>
        <v>0</v>
      </c>
      <c r="H345">
        <f t="shared" si="248"/>
        <v>0</v>
      </c>
      <c r="I345">
        <f t="shared" si="236"/>
        <v>0</v>
      </c>
      <c r="J345">
        <f>IF(B345&gt;$AJ$2,0,HLOOKUP(C345,Assumptions!$A$6:$J$7,2,TRUE))</f>
        <v>0</v>
      </c>
      <c r="K345" s="4">
        <f t="shared" si="237"/>
        <v>0</v>
      </c>
      <c r="L345" s="4">
        <f t="shared" si="249"/>
        <v>0</v>
      </c>
      <c r="M345" s="4">
        <f t="shared" si="238"/>
        <v>0</v>
      </c>
      <c r="N345">
        <f t="shared" si="250"/>
        <v>0</v>
      </c>
      <c r="O345" s="21">
        <f t="shared" si="239"/>
        <v>0</v>
      </c>
      <c r="P345">
        <f>IF(B345&gt;$AJ$2,0,HLOOKUP(C345,Assumptions!$A$12:$J$13,2,TRUE))</f>
        <v>0</v>
      </c>
      <c r="Q345">
        <f t="shared" si="240"/>
        <v>0</v>
      </c>
      <c r="R345">
        <f t="shared" si="251"/>
        <v>0</v>
      </c>
      <c r="S345">
        <f t="shared" si="279"/>
        <v>0</v>
      </c>
      <c r="T345">
        <f t="shared" si="280"/>
        <v>0</v>
      </c>
      <c r="U345">
        <f t="shared" si="252"/>
        <v>0</v>
      </c>
      <c r="V345">
        <f t="shared" si="253"/>
        <v>0</v>
      </c>
      <c r="W345">
        <f t="shared" si="254"/>
        <v>0</v>
      </c>
      <c r="X345">
        <f t="shared" si="245"/>
        <v>0</v>
      </c>
      <c r="Y345">
        <f t="shared" si="255"/>
        <v>0</v>
      </c>
      <c r="Z345">
        <f t="shared" si="256"/>
        <v>0</v>
      </c>
      <c r="AA345">
        <f t="shared" si="257"/>
        <v>0</v>
      </c>
      <c r="AB345">
        <f t="shared" si="258"/>
        <v>0</v>
      </c>
      <c r="AC345" s="23">
        <f>IF(B345&gt;$AJ$2,0,HLOOKUP(YEAR(A345),Assumptions!$A$25:$AL$29,4,TRUE)/100)</f>
        <v>0</v>
      </c>
      <c r="AD345">
        <f t="shared" si="259"/>
        <v>0</v>
      </c>
      <c r="AE345">
        <f t="shared" si="260"/>
        <v>0</v>
      </c>
      <c r="AF345">
        <f t="shared" si="261"/>
        <v>0</v>
      </c>
      <c r="AG345">
        <f t="shared" si="262"/>
        <v>0</v>
      </c>
      <c r="AH345">
        <f t="shared" si="263"/>
        <v>0</v>
      </c>
      <c r="AI345">
        <f t="shared" si="264"/>
        <v>0</v>
      </c>
      <c r="AJ345">
        <f t="shared" si="265"/>
        <v>0</v>
      </c>
      <c r="AK345">
        <f t="shared" si="266"/>
        <v>0</v>
      </c>
      <c r="AL345">
        <f t="shared" si="267"/>
        <v>0</v>
      </c>
      <c r="AM345">
        <f t="shared" si="246"/>
        <v>0</v>
      </c>
      <c r="AN345">
        <f>IF($S$2=0,0,(SUMPRODUCT($K$2:$R$2,Assumptions!$B$34:$I$34)/$U$2+$J$2/$U$2*Assumptions!$A$34*G345)*K345*O344)</f>
        <v>0</v>
      </c>
      <c r="AO345">
        <f t="shared" si="268"/>
        <v>0</v>
      </c>
      <c r="AP345">
        <f t="shared" si="269"/>
        <v>0</v>
      </c>
      <c r="AQ345">
        <f>IF(B345&gt;$AJ$2,0,AQ344*(1+Assumptions!$B$43)^(1/12))</f>
        <v>0</v>
      </c>
      <c r="AR345" s="27">
        <f>IF(B345&gt;$AJ$2,0,(O344+R344)*Assumptions!$B$39/12*AQ344+AV345*Assumptions!$B$41/12)</f>
        <v>0</v>
      </c>
      <c r="AS345">
        <f t="shared" si="270"/>
        <v>0</v>
      </c>
      <c r="AT345" s="28">
        <f t="shared" si="271"/>
        <v>0</v>
      </c>
      <c r="AU345">
        <f t="shared" si="272"/>
        <v>0</v>
      </c>
      <c r="AV345" s="28">
        <f t="shared" si="273"/>
        <v>0</v>
      </c>
      <c r="AW345" s="28">
        <f t="shared" si="274"/>
        <v>0</v>
      </c>
      <c r="AX345" s="23">
        <f>HLOOKUP(YEAR(A345),Assumptions!$A$25:$AL$29,2,TRUE)/100</f>
        <v>1.1739999999999999E-2</v>
      </c>
      <c r="AY345" s="29">
        <f>1/(1+HLOOKUP(YEAR(A345),Assumptions!$A$18:$AL$20,3,TRUE))^(1/12)</f>
        <v>0.99902750864006262</v>
      </c>
      <c r="AZ345" s="26">
        <f t="shared" si="275"/>
        <v>0</v>
      </c>
      <c r="BA345">
        <f t="shared" si="276"/>
        <v>0</v>
      </c>
      <c r="BB345">
        <f t="shared" si="277"/>
        <v>0</v>
      </c>
      <c r="BC345">
        <f t="shared" si="278"/>
        <v>0</v>
      </c>
    </row>
    <row r="346" spans="1:55" x14ac:dyDescent="0.2">
      <c r="A346" s="3">
        <f t="shared" si="247"/>
        <v>53296</v>
      </c>
      <c r="B346">
        <f t="shared" si="243"/>
        <v>348</v>
      </c>
      <c r="C346">
        <f t="shared" si="241"/>
        <v>28.916666666666668</v>
      </c>
      <c r="D346">
        <f t="shared" si="242"/>
        <v>0</v>
      </c>
      <c r="E346">
        <f t="shared" si="244"/>
        <v>84</v>
      </c>
      <c r="F346">
        <f>IF(C346&gt;=$T$2,0,VLOOKUP($E346,'Mortality Table'!$A$3:$C$128,2+AF$2,FALSE))</f>
        <v>0</v>
      </c>
      <c r="G346">
        <f>F346*Assumptions!$B$1</f>
        <v>0</v>
      </c>
      <c r="H346">
        <f t="shared" si="248"/>
        <v>0</v>
      </c>
      <c r="I346">
        <f t="shared" si="236"/>
        <v>0</v>
      </c>
      <c r="J346">
        <f>IF(B346&gt;$AJ$2,0,HLOOKUP(C346,Assumptions!$A$6:$J$7,2,TRUE))</f>
        <v>0</v>
      </c>
      <c r="K346" s="4">
        <f t="shared" si="237"/>
        <v>0</v>
      </c>
      <c r="L346" s="4">
        <f t="shared" si="249"/>
        <v>0</v>
      </c>
      <c r="M346" s="4">
        <f t="shared" si="238"/>
        <v>0</v>
      </c>
      <c r="N346">
        <f t="shared" si="250"/>
        <v>0</v>
      </c>
      <c r="O346" s="21">
        <f t="shared" si="239"/>
        <v>0</v>
      </c>
      <c r="P346">
        <f>IF(B346&gt;$AJ$2,0,HLOOKUP(C346,Assumptions!$A$12:$J$13,2,TRUE))</f>
        <v>0</v>
      </c>
      <c r="Q346">
        <f t="shared" si="240"/>
        <v>0</v>
      </c>
      <c r="R346">
        <f t="shared" si="251"/>
        <v>0</v>
      </c>
      <c r="S346">
        <f t="shared" si="279"/>
        <v>0</v>
      </c>
      <c r="T346">
        <f t="shared" si="280"/>
        <v>0</v>
      </c>
      <c r="U346">
        <f t="shared" si="252"/>
        <v>0</v>
      </c>
      <c r="V346">
        <f t="shared" si="253"/>
        <v>0</v>
      </c>
      <c r="W346">
        <f t="shared" si="254"/>
        <v>0</v>
      </c>
      <c r="X346">
        <f t="shared" si="245"/>
        <v>0</v>
      </c>
      <c r="Y346">
        <f t="shared" si="255"/>
        <v>0</v>
      </c>
      <c r="Z346">
        <f t="shared" si="256"/>
        <v>0</v>
      </c>
      <c r="AA346">
        <f t="shared" si="257"/>
        <v>0</v>
      </c>
      <c r="AB346">
        <f t="shared" si="258"/>
        <v>0</v>
      </c>
      <c r="AC346" s="23">
        <f>IF(B346&gt;$AJ$2,0,HLOOKUP(YEAR(A346),Assumptions!$A$25:$AL$29,4,TRUE)/100)</f>
        <v>0</v>
      </c>
      <c r="AD346">
        <f t="shared" si="259"/>
        <v>0</v>
      </c>
      <c r="AE346">
        <f t="shared" si="260"/>
        <v>0</v>
      </c>
      <c r="AF346">
        <f t="shared" si="261"/>
        <v>0</v>
      </c>
      <c r="AG346">
        <f t="shared" si="262"/>
        <v>0</v>
      </c>
      <c r="AH346">
        <f t="shared" si="263"/>
        <v>0</v>
      </c>
      <c r="AI346">
        <f t="shared" si="264"/>
        <v>0</v>
      </c>
      <c r="AJ346">
        <f t="shared" si="265"/>
        <v>0</v>
      </c>
      <c r="AK346">
        <f t="shared" si="266"/>
        <v>0</v>
      </c>
      <c r="AL346">
        <f t="shared" si="267"/>
        <v>0</v>
      </c>
      <c r="AM346">
        <f t="shared" si="246"/>
        <v>0</v>
      </c>
      <c r="AN346">
        <f>IF($S$2=0,0,(SUMPRODUCT($K$2:$R$2,Assumptions!$B$34:$I$34)/$U$2+$J$2/$U$2*Assumptions!$A$34*G346)*K346*O345)</f>
        <v>0</v>
      </c>
      <c r="AO346">
        <f t="shared" si="268"/>
        <v>0</v>
      </c>
      <c r="AP346">
        <f t="shared" si="269"/>
        <v>0</v>
      </c>
      <c r="AQ346">
        <f>IF(B346&gt;$AJ$2,0,AQ345*(1+Assumptions!$B$43)^(1/12))</f>
        <v>0</v>
      </c>
      <c r="AR346" s="27">
        <f>IF(B346&gt;$AJ$2,0,(O345+R345)*Assumptions!$B$39/12*AQ345+AV346*Assumptions!$B$41/12)</f>
        <v>0</v>
      </c>
      <c r="AS346">
        <f t="shared" si="270"/>
        <v>0</v>
      </c>
      <c r="AT346" s="28">
        <f t="shared" si="271"/>
        <v>0</v>
      </c>
      <c r="AU346">
        <f t="shared" si="272"/>
        <v>0</v>
      </c>
      <c r="AV346" s="28">
        <f t="shared" si="273"/>
        <v>0</v>
      </c>
      <c r="AW346" s="28">
        <f t="shared" si="274"/>
        <v>0</v>
      </c>
      <c r="AX346" s="23">
        <f>HLOOKUP(YEAR(A346),Assumptions!$A$25:$AL$29,2,TRUE)/100</f>
        <v>1.1739999999999999E-2</v>
      </c>
      <c r="AY346" s="29">
        <f>1/(1+HLOOKUP(YEAR(A346),Assumptions!$A$18:$AL$20,3,TRUE))^(1/12)</f>
        <v>0.99902750864006262</v>
      </c>
      <c r="AZ346" s="26">
        <f t="shared" si="275"/>
        <v>0</v>
      </c>
      <c r="BA346">
        <f t="shared" si="276"/>
        <v>0</v>
      </c>
      <c r="BB346">
        <f t="shared" si="277"/>
        <v>0</v>
      </c>
      <c r="BC346">
        <f t="shared" si="278"/>
        <v>0</v>
      </c>
    </row>
    <row r="347" spans="1:55" x14ac:dyDescent="0.2">
      <c r="A347" s="3">
        <f t="shared" si="247"/>
        <v>53327</v>
      </c>
      <c r="B347">
        <f t="shared" si="243"/>
        <v>349</v>
      </c>
      <c r="C347">
        <f t="shared" si="241"/>
        <v>29</v>
      </c>
      <c r="D347">
        <f t="shared" si="242"/>
        <v>1</v>
      </c>
      <c r="E347">
        <f t="shared" si="244"/>
        <v>85</v>
      </c>
      <c r="F347">
        <f>IF(C347&gt;=$T$2,0,VLOOKUP($E347,'Mortality Table'!$A$3:$C$128,2+AF$2,FALSE))</f>
        <v>0</v>
      </c>
      <c r="G347">
        <f>F347*Assumptions!$B$1</f>
        <v>0</v>
      </c>
      <c r="H347">
        <f t="shared" si="248"/>
        <v>0</v>
      </c>
      <c r="I347">
        <f t="shared" si="236"/>
        <v>0</v>
      </c>
      <c r="J347">
        <f>IF(B347&gt;$AJ$2,0,HLOOKUP(C347,Assumptions!$A$6:$J$7,2,TRUE))</f>
        <v>0</v>
      </c>
      <c r="K347" s="4">
        <f t="shared" si="237"/>
        <v>0</v>
      </c>
      <c r="L347" s="4">
        <f t="shared" si="249"/>
        <v>0</v>
      </c>
      <c r="M347" s="4">
        <f t="shared" si="238"/>
        <v>0</v>
      </c>
      <c r="N347">
        <f t="shared" si="250"/>
        <v>0</v>
      </c>
      <c r="O347" s="21">
        <f t="shared" si="239"/>
        <v>0</v>
      </c>
      <c r="P347">
        <f>IF(B347&gt;$AJ$2,0,HLOOKUP(C347,Assumptions!$A$12:$J$13,2,TRUE))</f>
        <v>0</v>
      </c>
      <c r="Q347">
        <f t="shared" si="240"/>
        <v>0</v>
      </c>
      <c r="R347">
        <f t="shared" si="251"/>
        <v>0</v>
      </c>
      <c r="S347">
        <f t="shared" si="279"/>
        <v>0</v>
      </c>
      <c r="T347">
        <f t="shared" si="280"/>
        <v>0</v>
      </c>
      <c r="U347">
        <f t="shared" si="252"/>
        <v>0</v>
      </c>
      <c r="V347">
        <f t="shared" si="253"/>
        <v>0</v>
      </c>
      <c r="W347">
        <f t="shared" si="254"/>
        <v>0</v>
      </c>
      <c r="X347">
        <f t="shared" si="245"/>
        <v>0</v>
      </c>
      <c r="Y347">
        <f t="shared" si="255"/>
        <v>0</v>
      </c>
      <c r="Z347">
        <f t="shared" si="256"/>
        <v>0</v>
      </c>
      <c r="AA347">
        <f t="shared" si="257"/>
        <v>0</v>
      </c>
      <c r="AB347">
        <f t="shared" si="258"/>
        <v>0</v>
      </c>
      <c r="AC347" s="23">
        <f>IF(B347&gt;$AJ$2,0,HLOOKUP(YEAR(A347),Assumptions!$A$25:$AL$29,4,TRUE)/100)</f>
        <v>0</v>
      </c>
      <c r="AD347">
        <f t="shared" si="259"/>
        <v>0</v>
      </c>
      <c r="AE347">
        <f t="shared" si="260"/>
        <v>0</v>
      </c>
      <c r="AF347">
        <f t="shared" si="261"/>
        <v>0</v>
      </c>
      <c r="AG347">
        <f t="shared" si="262"/>
        <v>0</v>
      </c>
      <c r="AH347">
        <f t="shared" si="263"/>
        <v>0</v>
      </c>
      <c r="AI347">
        <f t="shared" si="264"/>
        <v>0</v>
      </c>
      <c r="AJ347">
        <f t="shared" si="265"/>
        <v>0</v>
      </c>
      <c r="AK347">
        <f t="shared" si="266"/>
        <v>0</v>
      </c>
      <c r="AL347">
        <f t="shared" si="267"/>
        <v>0</v>
      </c>
      <c r="AM347">
        <f t="shared" si="246"/>
        <v>0</v>
      </c>
      <c r="AN347">
        <f>IF($S$2=0,0,(SUMPRODUCT($K$2:$R$2,Assumptions!$B$34:$I$34)/$U$2+$J$2/$U$2*Assumptions!$A$34*G347)*K347*O346)</f>
        <v>0</v>
      </c>
      <c r="AO347">
        <f t="shared" si="268"/>
        <v>0</v>
      </c>
      <c r="AP347">
        <f t="shared" si="269"/>
        <v>0</v>
      </c>
      <c r="AQ347">
        <f>IF(B347&gt;$AJ$2,0,AQ346*(1+Assumptions!$B$43)^(1/12))</f>
        <v>0</v>
      </c>
      <c r="AR347" s="27">
        <f>IF(B347&gt;$AJ$2,0,(O346+R346)*Assumptions!$B$39/12*AQ346+AV347*Assumptions!$B$41/12)</f>
        <v>0</v>
      </c>
      <c r="AS347">
        <f t="shared" si="270"/>
        <v>0</v>
      </c>
      <c r="AT347" s="28">
        <f t="shared" si="271"/>
        <v>0</v>
      </c>
      <c r="AU347">
        <f t="shared" si="272"/>
        <v>0</v>
      </c>
      <c r="AV347" s="28">
        <f t="shared" si="273"/>
        <v>0</v>
      </c>
      <c r="AW347" s="28">
        <f t="shared" si="274"/>
        <v>0</v>
      </c>
      <c r="AX347" s="23">
        <f>HLOOKUP(YEAR(A347),Assumptions!$A$25:$AL$29,2,TRUE)/100</f>
        <v>1.1739999999999999E-2</v>
      </c>
      <c r="AY347" s="29">
        <f>1/(1+HLOOKUP(YEAR(A347),Assumptions!$A$18:$AL$20,3,TRUE))^(1/12)</f>
        <v>0.99902750864006262</v>
      </c>
      <c r="AZ347" s="26">
        <f t="shared" si="275"/>
        <v>0</v>
      </c>
      <c r="BA347">
        <f t="shared" si="276"/>
        <v>0</v>
      </c>
      <c r="BB347">
        <f t="shared" si="277"/>
        <v>0</v>
      </c>
      <c r="BC347">
        <f t="shared" si="278"/>
        <v>0</v>
      </c>
    </row>
    <row r="348" spans="1:55" x14ac:dyDescent="0.2">
      <c r="A348" s="3">
        <f t="shared" si="247"/>
        <v>53358</v>
      </c>
      <c r="B348">
        <f t="shared" si="243"/>
        <v>350</v>
      </c>
      <c r="C348">
        <f t="shared" si="241"/>
        <v>29.083333333333332</v>
      </c>
      <c r="D348">
        <f t="shared" si="242"/>
        <v>0</v>
      </c>
      <c r="E348">
        <f t="shared" si="244"/>
        <v>85</v>
      </c>
      <c r="F348">
        <f>IF(C348&gt;=$T$2,0,VLOOKUP($E348,'Mortality Table'!$A$3:$C$128,2+AF$2,FALSE))</f>
        <v>0</v>
      </c>
      <c r="G348">
        <f>F348*Assumptions!$B$1</f>
        <v>0</v>
      </c>
      <c r="H348">
        <f t="shared" si="248"/>
        <v>0</v>
      </c>
      <c r="I348">
        <f t="shared" si="236"/>
        <v>0</v>
      </c>
      <c r="J348">
        <f>IF(B348&gt;$AJ$2,0,HLOOKUP(C348,Assumptions!$A$6:$J$7,2,TRUE))</f>
        <v>0</v>
      </c>
      <c r="K348" s="4">
        <f t="shared" si="237"/>
        <v>0</v>
      </c>
      <c r="L348" s="4">
        <f t="shared" si="249"/>
        <v>0</v>
      </c>
      <c r="M348" s="4">
        <f t="shared" si="238"/>
        <v>0</v>
      </c>
      <c r="N348">
        <f t="shared" si="250"/>
        <v>0</v>
      </c>
      <c r="O348" s="21">
        <f t="shared" si="239"/>
        <v>0</v>
      </c>
      <c r="P348">
        <f>IF(B348&gt;$AJ$2,0,HLOOKUP(C348,Assumptions!$A$12:$J$13,2,TRUE))</f>
        <v>0</v>
      </c>
      <c r="Q348">
        <f t="shared" si="240"/>
        <v>0</v>
      </c>
      <c r="R348">
        <f t="shared" si="251"/>
        <v>0</v>
      </c>
      <c r="S348">
        <f t="shared" si="279"/>
        <v>0</v>
      </c>
      <c r="T348">
        <f t="shared" si="280"/>
        <v>0</v>
      </c>
      <c r="U348">
        <f t="shared" si="252"/>
        <v>0</v>
      </c>
      <c r="V348">
        <f t="shared" si="253"/>
        <v>0</v>
      </c>
      <c r="W348">
        <f t="shared" si="254"/>
        <v>0</v>
      </c>
      <c r="X348">
        <f t="shared" si="245"/>
        <v>0</v>
      </c>
      <c r="Y348">
        <f t="shared" si="255"/>
        <v>0</v>
      </c>
      <c r="Z348">
        <f t="shared" si="256"/>
        <v>0</v>
      </c>
      <c r="AA348">
        <f t="shared" si="257"/>
        <v>0</v>
      </c>
      <c r="AB348">
        <f t="shared" si="258"/>
        <v>0</v>
      </c>
      <c r="AC348" s="23">
        <f>IF(B348&gt;$AJ$2,0,HLOOKUP(YEAR(A348),Assumptions!$A$25:$AL$29,4,TRUE)/100)</f>
        <v>0</v>
      </c>
      <c r="AD348">
        <f t="shared" si="259"/>
        <v>0</v>
      </c>
      <c r="AE348">
        <f t="shared" si="260"/>
        <v>0</v>
      </c>
      <c r="AF348">
        <f t="shared" si="261"/>
        <v>0</v>
      </c>
      <c r="AG348">
        <f t="shared" si="262"/>
        <v>0</v>
      </c>
      <c r="AH348">
        <f t="shared" si="263"/>
        <v>0</v>
      </c>
      <c r="AI348">
        <f t="shared" si="264"/>
        <v>0</v>
      </c>
      <c r="AJ348">
        <f t="shared" si="265"/>
        <v>0</v>
      </c>
      <c r="AK348">
        <f t="shared" si="266"/>
        <v>0</v>
      </c>
      <c r="AL348">
        <f t="shared" si="267"/>
        <v>0</v>
      </c>
      <c r="AM348">
        <f t="shared" si="246"/>
        <v>0</v>
      </c>
      <c r="AN348">
        <f>IF($S$2=0,0,(SUMPRODUCT($K$2:$R$2,Assumptions!$B$34:$I$34)/$U$2+$J$2/$U$2*Assumptions!$A$34*G348)*K348*O347)</f>
        <v>0</v>
      </c>
      <c r="AO348">
        <f t="shared" si="268"/>
        <v>0</v>
      </c>
      <c r="AP348">
        <f t="shared" si="269"/>
        <v>0</v>
      </c>
      <c r="AQ348">
        <f>IF(B348&gt;$AJ$2,0,AQ347*(1+Assumptions!$B$43)^(1/12))</f>
        <v>0</v>
      </c>
      <c r="AR348" s="27">
        <f>IF(B348&gt;$AJ$2,0,(O347+R347)*Assumptions!$B$39/12*AQ347+AV348*Assumptions!$B$41/12)</f>
        <v>0</v>
      </c>
      <c r="AS348">
        <f t="shared" si="270"/>
        <v>0</v>
      </c>
      <c r="AT348" s="28">
        <f t="shared" si="271"/>
        <v>0</v>
      </c>
      <c r="AU348">
        <f t="shared" si="272"/>
        <v>0</v>
      </c>
      <c r="AV348" s="28">
        <f t="shared" si="273"/>
        <v>0</v>
      </c>
      <c r="AW348" s="28">
        <f t="shared" si="274"/>
        <v>0</v>
      </c>
      <c r="AX348" s="23">
        <f>HLOOKUP(YEAR(A348),Assumptions!$A$25:$AL$29,2,TRUE)/100</f>
        <v>1.1739999999999999E-2</v>
      </c>
      <c r="AY348" s="29">
        <f>1/(1+HLOOKUP(YEAR(A348),Assumptions!$A$18:$AL$20,3,TRUE))^(1/12)</f>
        <v>0.99902750864006262</v>
      </c>
      <c r="AZ348" s="26">
        <f t="shared" si="275"/>
        <v>0</v>
      </c>
      <c r="BA348">
        <f t="shared" si="276"/>
        <v>0</v>
      </c>
      <c r="BB348">
        <f t="shared" si="277"/>
        <v>0</v>
      </c>
      <c r="BC348">
        <f t="shared" si="278"/>
        <v>0</v>
      </c>
    </row>
    <row r="349" spans="1:55" x14ac:dyDescent="0.2">
      <c r="A349" s="3">
        <f t="shared" si="247"/>
        <v>53386</v>
      </c>
      <c r="B349">
        <f t="shared" si="243"/>
        <v>351</v>
      </c>
      <c r="C349">
        <f t="shared" si="241"/>
        <v>29.166666666666668</v>
      </c>
      <c r="D349">
        <f t="shared" si="242"/>
        <v>0</v>
      </c>
      <c r="E349">
        <f t="shared" si="244"/>
        <v>85</v>
      </c>
      <c r="F349">
        <f>IF(C349&gt;=$T$2,0,VLOOKUP($E349,'Mortality Table'!$A$3:$C$128,2+AF$2,FALSE))</f>
        <v>0</v>
      </c>
      <c r="G349">
        <f>F349*Assumptions!$B$1</f>
        <v>0</v>
      </c>
      <c r="H349">
        <f t="shared" si="248"/>
        <v>0</v>
      </c>
      <c r="I349">
        <f t="shared" si="236"/>
        <v>0</v>
      </c>
      <c r="J349">
        <f>IF(B349&gt;$AJ$2,0,HLOOKUP(C349,Assumptions!$A$6:$J$7,2,TRUE))</f>
        <v>0</v>
      </c>
      <c r="K349" s="4">
        <f t="shared" si="237"/>
        <v>0</v>
      </c>
      <c r="L349" s="4">
        <f t="shared" si="249"/>
        <v>0</v>
      </c>
      <c r="M349" s="4">
        <f t="shared" si="238"/>
        <v>0</v>
      </c>
      <c r="N349">
        <f t="shared" si="250"/>
        <v>0</v>
      </c>
      <c r="O349" s="21">
        <f t="shared" si="239"/>
        <v>0</v>
      </c>
      <c r="P349">
        <f>IF(B349&gt;$AJ$2,0,HLOOKUP(C349,Assumptions!$A$12:$J$13,2,TRUE))</f>
        <v>0</v>
      </c>
      <c r="Q349">
        <f t="shared" si="240"/>
        <v>0</v>
      </c>
      <c r="R349">
        <f t="shared" si="251"/>
        <v>0</v>
      </c>
      <c r="S349">
        <f t="shared" si="279"/>
        <v>0</v>
      </c>
      <c r="T349">
        <f t="shared" si="280"/>
        <v>0</v>
      </c>
      <c r="U349">
        <f t="shared" si="252"/>
        <v>0</v>
      </c>
      <c r="V349">
        <f t="shared" si="253"/>
        <v>0</v>
      </c>
      <c r="W349">
        <f t="shared" si="254"/>
        <v>0</v>
      </c>
      <c r="X349">
        <f t="shared" si="245"/>
        <v>0</v>
      </c>
      <c r="Y349">
        <f t="shared" si="255"/>
        <v>0</v>
      </c>
      <c r="Z349">
        <f t="shared" si="256"/>
        <v>0</v>
      </c>
      <c r="AA349">
        <f t="shared" si="257"/>
        <v>0</v>
      </c>
      <c r="AB349">
        <f t="shared" si="258"/>
        <v>0</v>
      </c>
      <c r="AC349" s="23">
        <f>IF(B349&gt;$AJ$2,0,HLOOKUP(YEAR(A349),Assumptions!$A$25:$AL$29,4,TRUE)/100)</f>
        <v>0</v>
      </c>
      <c r="AD349">
        <f t="shared" si="259"/>
        <v>0</v>
      </c>
      <c r="AE349">
        <f t="shared" si="260"/>
        <v>0</v>
      </c>
      <c r="AF349">
        <f t="shared" si="261"/>
        <v>0</v>
      </c>
      <c r="AG349">
        <f t="shared" si="262"/>
        <v>0</v>
      </c>
      <c r="AH349">
        <f t="shared" si="263"/>
        <v>0</v>
      </c>
      <c r="AI349">
        <f t="shared" si="264"/>
        <v>0</v>
      </c>
      <c r="AJ349">
        <f t="shared" si="265"/>
        <v>0</v>
      </c>
      <c r="AK349">
        <f t="shared" si="266"/>
        <v>0</v>
      </c>
      <c r="AL349">
        <f t="shared" si="267"/>
        <v>0</v>
      </c>
      <c r="AM349">
        <f t="shared" si="246"/>
        <v>0</v>
      </c>
      <c r="AN349">
        <f>IF($S$2=0,0,(SUMPRODUCT($K$2:$R$2,Assumptions!$B$34:$I$34)/$U$2+$J$2/$U$2*Assumptions!$A$34*G349)*K349*O348)</f>
        <v>0</v>
      </c>
      <c r="AO349">
        <f t="shared" si="268"/>
        <v>0</v>
      </c>
      <c r="AP349">
        <f t="shared" si="269"/>
        <v>0</v>
      </c>
      <c r="AQ349">
        <f>IF(B349&gt;$AJ$2,0,AQ348*(1+Assumptions!$B$43)^(1/12))</f>
        <v>0</v>
      </c>
      <c r="AR349" s="27">
        <f>IF(B349&gt;$AJ$2,0,(O348+R348)*Assumptions!$B$39/12*AQ348+AV349*Assumptions!$B$41/12)</f>
        <v>0</v>
      </c>
      <c r="AS349">
        <f t="shared" si="270"/>
        <v>0</v>
      </c>
      <c r="AT349" s="28">
        <f t="shared" si="271"/>
        <v>0</v>
      </c>
      <c r="AU349">
        <f t="shared" si="272"/>
        <v>0</v>
      </c>
      <c r="AV349" s="28">
        <f t="shared" si="273"/>
        <v>0</v>
      </c>
      <c r="AW349" s="28">
        <f t="shared" si="274"/>
        <v>0</v>
      </c>
      <c r="AX349" s="23">
        <f>HLOOKUP(YEAR(A349),Assumptions!$A$25:$AL$29,2,TRUE)/100</f>
        <v>1.1739999999999999E-2</v>
      </c>
      <c r="AY349" s="29">
        <f>1/(1+HLOOKUP(YEAR(A349),Assumptions!$A$18:$AL$20,3,TRUE))^(1/12)</f>
        <v>0.99902750864006262</v>
      </c>
      <c r="AZ349" s="26">
        <f t="shared" si="275"/>
        <v>0</v>
      </c>
      <c r="BA349">
        <f t="shared" si="276"/>
        <v>0</v>
      </c>
      <c r="BB349">
        <f t="shared" si="277"/>
        <v>0</v>
      </c>
      <c r="BC349">
        <f t="shared" si="278"/>
        <v>0</v>
      </c>
    </row>
    <row r="350" spans="1:55" x14ac:dyDescent="0.2">
      <c r="A350" s="3">
        <f t="shared" si="247"/>
        <v>53417</v>
      </c>
      <c r="B350">
        <f t="shared" si="243"/>
        <v>352</v>
      </c>
      <c r="C350">
        <f t="shared" si="241"/>
        <v>29.25</v>
      </c>
      <c r="D350">
        <f t="shared" si="242"/>
        <v>0</v>
      </c>
      <c r="E350">
        <f t="shared" si="244"/>
        <v>85</v>
      </c>
      <c r="F350">
        <f>IF(C350&gt;=$T$2,0,VLOOKUP($E350,'Mortality Table'!$A$3:$C$128,2+AF$2,FALSE))</f>
        <v>0</v>
      </c>
      <c r="G350">
        <f>F350*Assumptions!$B$1</f>
        <v>0</v>
      </c>
      <c r="H350">
        <f t="shared" si="248"/>
        <v>0</v>
      </c>
      <c r="I350">
        <f t="shared" si="236"/>
        <v>0</v>
      </c>
      <c r="J350">
        <f>IF(B350&gt;$AJ$2,0,HLOOKUP(C350,Assumptions!$A$6:$J$7,2,TRUE))</f>
        <v>0</v>
      </c>
      <c r="K350" s="4">
        <f t="shared" si="237"/>
        <v>0</v>
      </c>
      <c r="L350" s="4">
        <f t="shared" si="249"/>
        <v>0</v>
      </c>
      <c r="M350" s="4">
        <f t="shared" si="238"/>
        <v>0</v>
      </c>
      <c r="N350">
        <f t="shared" si="250"/>
        <v>0</v>
      </c>
      <c r="O350" s="21">
        <f t="shared" si="239"/>
        <v>0</v>
      </c>
      <c r="P350">
        <f>IF(B350&gt;$AJ$2,0,HLOOKUP(C350,Assumptions!$A$12:$J$13,2,TRUE))</f>
        <v>0</v>
      </c>
      <c r="Q350">
        <f t="shared" si="240"/>
        <v>0</v>
      </c>
      <c r="R350">
        <f t="shared" si="251"/>
        <v>0</v>
      </c>
      <c r="S350">
        <f t="shared" si="279"/>
        <v>0</v>
      </c>
      <c r="T350">
        <f t="shared" si="280"/>
        <v>0</v>
      </c>
      <c r="U350">
        <f t="shared" si="252"/>
        <v>0</v>
      </c>
      <c r="V350">
        <f t="shared" si="253"/>
        <v>0</v>
      </c>
      <c r="W350">
        <f t="shared" si="254"/>
        <v>0</v>
      </c>
      <c r="X350">
        <f t="shared" si="245"/>
        <v>0</v>
      </c>
      <c r="Y350">
        <f t="shared" si="255"/>
        <v>0</v>
      </c>
      <c r="Z350">
        <f t="shared" si="256"/>
        <v>0</v>
      </c>
      <c r="AA350">
        <f t="shared" si="257"/>
        <v>0</v>
      </c>
      <c r="AB350">
        <f t="shared" si="258"/>
        <v>0</v>
      </c>
      <c r="AC350" s="23">
        <f>IF(B350&gt;$AJ$2,0,HLOOKUP(YEAR(A350),Assumptions!$A$25:$AL$29,4,TRUE)/100)</f>
        <v>0</v>
      </c>
      <c r="AD350">
        <f t="shared" si="259"/>
        <v>0</v>
      </c>
      <c r="AE350">
        <f t="shared" si="260"/>
        <v>0</v>
      </c>
      <c r="AF350">
        <f t="shared" si="261"/>
        <v>0</v>
      </c>
      <c r="AG350">
        <f t="shared" si="262"/>
        <v>0</v>
      </c>
      <c r="AH350">
        <f t="shared" si="263"/>
        <v>0</v>
      </c>
      <c r="AI350">
        <f t="shared" si="264"/>
        <v>0</v>
      </c>
      <c r="AJ350">
        <f t="shared" si="265"/>
        <v>0</v>
      </c>
      <c r="AK350">
        <f t="shared" si="266"/>
        <v>0</v>
      </c>
      <c r="AL350">
        <f t="shared" si="267"/>
        <v>0</v>
      </c>
      <c r="AM350">
        <f t="shared" si="246"/>
        <v>0</v>
      </c>
      <c r="AN350">
        <f>IF($S$2=0,0,(SUMPRODUCT($K$2:$R$2,Assumptions!$B$34:$I$34)/$U$2+$J$2/$U$2*Assumptions!$A$34*G350)*K350*O349)</f>
        <v>0</v>
      </c>
      <c r="AO350">
        <f t="shared" si="268"/>
        <v>0</v>
      </c>
      <c r="AP350">
        <f t="shared" si="269"/>
        <v>0</v>
      </c>
      <c r="AQ350">
        <f>IF(B350&gt;$AJ$2,0,AQ349*(1+Assumptions!$B$43)^(1/12))</f>
        <v>0</v>
      </c>
      <c r="AR350" s="27">
        <f>IF(B350&gt;$AJ$2,0,(O349+R349)*Assumptions!$B$39/12*AQ349+AV350*Assumptions!$B$41/12)</f>
        <v>0</v>
      </c>
      <c r="AS350">
        <f t="shared" si="270"/>
        <v>0</v>
      </c>
      <c r="AT350" s="28">
        <f t="shared" si="271"/>
        <v>0</v>
      </c>
      <c r="AU350">
        <f t="shared" si="272"/>
        <v>0</v>
      </c>
      <c r="AV350" s="28">
        <f t="shared" si="273"/>
        <v>0</v>
      </c>
      <c r="AW350" s="28">
        <f t="shared" si="274"/>
        <v>0</v>
      </c>
      <c r="AX350" s="23">
        <f>HLOOKUP(YEAR(A350),Assumptions!$A$25:$AL$29,2,TRUE)/100</f>
        <v>1.1739999999999999E-2</v>
      </c>
      <c r="AY350" s="29">
        <f>1/(1+HLOOKUP(YEAR(A350),Assumptions!$A$18:$AL$20,3,TRUE))^(1/12)</f>
        <v>0.99902750864006262</v>
      </c>
      <c r="AZ350" s="26">
        <f t="shared" si="275"/>
        <v>0</v>
      </c>
      <c r="BA350">
        <f t="shared" si="276"/>
        <v>0</v>
      </c>
      <c r="BB350">
        <f t="shared" si="277"/>
        <v>0</v>
      </c>
      <c r="BC350">
        <f t="shared" si="278"/>
        <v>0</v>
      </c>
    </row>
    <row r="351" spans="1:55" x14ac:dyDescent="0.2">
      <c r="A351" s="3">
        <f t="shared" si="247"/>
        <v>53447</v>
      </c>
      <c r="B351">
        <f t="shared" si="243"/>
        <v>353</v>
      </c>
      <c r="C351">
        <f t="shared" si="241"/>
        <v>29.333333333333332</v>
      </c>
      <c r="D351">
        <f t="shared" si="242"/>
        <v>0</v>
      </c>
      <c r="E351">
        <f t="shared" si="244"/>
        <v>85</v>
      </c>
      <c r="F351">
        <f>IF(C351&gt;=$T$2,0,VLOOKUP($E351,'Mortality Table'!$A$3:$C$128,2+AF$2,FALSE))</f>
        <v>0</v>
      </c>
      <c r="G351">
        <f>F351*Assumptions!$B$1</f>
        <v>0</v>
      </c>
      <c r="H351">
        <f t="shared" si="248"/>
        <v>0</v>
      </c>
      <c r="I351">
        <f t="shared" si="236"/>
        <v>0</v>
      </c>
      <c r="J351">
        <f>IF(B351&gt;$AJ$2,0,HLOOKUP(C351,Assumptions!$A$6:$J$7,2,TRUE))</f>
        <v>0</v>
      </c>
      <c r="K351" s="4">
        <f t="shared" si="237"/>
        <v>0</v>
      </c>
      <c r="L351" s="4">
        <f t="shared" si="249"/>
        <v>0</v>
      </c>
      <c r="M351" s="4">
        <f t="shared" si="238"/>
        <v>0</v>
      </c>
      <c r="N351">
        <f t="shared" si="250"/>
        <v>0</v>
      </c>
      <c r="O351" s="21">
        <f t="shared" si="239"/>
        <v>0</v>
      </c>
      <c r="P351">
        <f>IF(B351&gt;$AJ$2,0,HLOOKUP(C351,Assumptions!$A$12:$J$13,2,TRUE))</f>
        <v>0</v>
      </c>
      <c r="Q351">
        <f t="shared" si="240"/>
        <v>0</v>
      </c>
      <c r="R351">
        <f t="shared" si="251"/>
        <v>0</v>
      </c>
      <c r="S351">
        <f t="shared" si="279"/>
        <v>0</v>
      </c>
      <c r="T351">
        <f t="shared" si="280"/>
        <v>0</v>
      </c>
      <c r="U351">
        <f t="shared" si="252"/>
        <v>0</v>
      </c>
      <c r="V351">
        <f t="shared" si="253"/>
        <v>0</v>
      </c>
      <c r="W351">
        <f t="shared" si="254"/>
        <v>0</v>
      </c>
      <c r="X351">
        <f t="shared" si="245"/>
        <v>0</v>
      </c>
      <c r="Y351">
        <f t="shared" si="255"/>
        <v>0</v>
      </c>
      <c r="Z351">
        <f t="shared" si="256"/>
        <v>0</v>
      </c>
      <c r="AA351">
        <f t="shared" si="257"/>
        <v>0</v>
      </c>
      <c r="AB351">
        <f t="shared" si="258"/>
        <v>0</v>
      </c>
      <c r="AC351" s="23">
        <f>IF(B351&gt;$AJ$2,0,HLOOKUP(YEAR(A351),Assumptions!$A$25:$AL$29,4,TRUE)/100)</f>
        <v>0</v>
      </c>
      <c r="AD351">
        <f t="shared" si="259"/>
        <v>0</v>
      </c>
      <c r="AE351">
        <f t="shared" si="260"/>
        <v>0</v>
      </c>
      <c r="AF351">
        <f t="shared" si="261"/>
        <v>0</v>
      </c>
      <c r="AG351">
        <f t="shared" si="262"/>
        <v>0</v>
      </c>
      <c r="AH351">
        <f t="shared" si="263"/>
        <v>0</v>
      </c>
      <c r="AI351">
        <f t="shared" si="264"/>
        <v>0</v>
      </c>
      <c r="AJ351">
        <f t="shared" si="265"/>
        <v>0</v>
      </c>
      <c r="AK351">
        <f t="shared" si="266"/>
        <v>0</v>
      </c>
      <c r="AL351">
        <f t="shared" si="267"/>
        <v>0</v>
      </c>
      <c r="AM351">
        <f t="shared" si="246"/>
        <v>0</v>
      </c>
      <c r="AN351">
        <f>IF($S$2=0,0,(SUMPRODUCT($K$2:$R$2,Assumptions!$B$34:$I$34)/$U$2+$J$2/$U$2*Assumptions!$A$34*G351)*K351*O350)</f>
        <v>0</v>
      </c>
      <c r="AO351">
        <f t="shared" si="268"/>
        <v>0</v>
      </c>
      <c r="AP351">
        <f t="shared" si="269"/>
        <v>0</v>
      </c>
      <c r="AQ351">
        <f>IF(B351&gt;$AJ$2,0,AQ350*(1+Assumptions!$B$43)^(1/12))</f>
        <v>0</v>
      </c>
      <c r="AR351" s="27">
        <f>IF(B351&gt;$AJ$2,0,(O350+R350)*Assumptions!$B$39/12*AQ350+AV351*Assumptions!$B$41/12)</f>
        <v>0</v>
      </c>
      <c r="AS351">
        <f t="shared" si="270"/>
        <v>0</v>
      </c>
      <c r="AT351" s="28">
        <f t="shared" si="271"/>
        <v>0</v>
      </c>
      <c r="AU351">
        <f t="shared" si="272"/>
        <v>0</v>
      </c>
      <c r="AV351" s="28">
        <f t="shared" si="273"/>
        <v>0</v>
      </c>
      <c r="AW351" s="28">
        <f t="shared" si="274"/>
        <v>0</v>
      </c>
      <c r="AX351" s="23">
        <f>HLOOKUP(YEAR(A351),Assumptions!$A$25:$AL$29,2,TRUE)/100</f>
        <v>1.1739999999999999E-2</v>
      </c>
      <c r="AY351" s="29">
        <f>1/(1+HLOOKUP(YEAR(A351),Assumptions!$A$18:$AL$20,3,TRUE))^(1/12)</f>
        <v>0.99902750864006262</v>
      </c>
      <c r="AZ351" s="26">
        <f t="shared" si="275"/>
        <v>0</v>
      </c>
      <c r="BA351">
        <f t="shared" si="276"/>
        <v>0</v>
      </c>
      <c r="BB351">
        <f t="shared" si="277"/>
        <v>0</v>
      </c>
      <c r="BC351">
        <f t="shared" si="278"/>
        <v>0</v>
      </c>
    </row>
    <row r="352" spans="1:55" x14ac:dyDescent="0.2">
      <c r="A352" s="3">
        <f t="shared" si="247"/>
        <v>53478</v>
      </c>
      <c r="B352">
        <f t="shared" si="243"/>
        <v>354</v>
      </c>
      <c r="C352">
        <f t="shared" si="241"/>
        <v>29.416666666666668</v>
      </c>
      <c r="D352">
        <f t="shared" si="242"/>
        <v>0</v>
      </c>
      <c r="E352">
        <f t="shared" si="244"/>
        <v>85</v>
      </c>
      <c r="F352">
        <f>IF(C352&gt;=$T$2,0,VLOOKUP($E352,'Mortality Table'!$A$3:$C$128,2+AF$2,FALSE))</f>
        <v>0</v>
      </c>
      <c r="G352">
        <f>F352*Assumptions!$B$1</f>
        <v>0</v>
      </c>
      <c r="H352">
        <f t="shared" si="248"/>
        <v>0</v>
      </c>
      <c r="I352">
        <f t="shared" si="236"/>
        <v>0</v>
      </c>
      <c r="J352">
        <f>IF(B352&gt;$AJ$2,0,HLOOKUP(C352,Assumptions!$A$6:$J$7,2,TRUE))</f>
        <v>0</v>
      </c>
      <c r="K352" s="4">
        <f t="shared" si="237"/>
        <v>0</v>
      </c>
      <c r="L352" s="4">
        <f t="shared" si="249"/>
        <v>0</v>
      </c>
      <c r="M352" s="4">
        <f t="shared" si="238"/>
        <v>0</v>
      </c>
      <c r="N352">
        <f t="shared" si="250"/>
        <v>0</v>
      </c>
      <c r="O352" s="21">
        <f t="shared" si="239"/>
        <v>0</v>
      </c>
      <c r="P352">
        <f>IF(B352&gt;$AJ$2,0,HLOOKUP(C352,Assumptions!$A$12:$J$13,2,TRUE))</f>
        <v>0</v>
      </c>
      <c r="Q352">
        <f t="shared" si="240"/>
        <v>0</v>
      </c>
      <c r="R352">
        <f t="shared" si="251"/>
        <v>0</v>
      </c>
      <c r="S352">
        <f t="shared" si="279"/>
        <v>0</v>
      </c>
      <c r="T352">
        <f t="shared" si="280"/>
        <v>0</v>
      </c>
      <c r="U352">
        <f t="shared" si="252"/>
        <v>0</v>
      </c>
      <c r="V352">
        <f t="shared" si="253"/>
        <v>0</v>
      </c>
      <c r="W352">
        <f t="shared" si="254"/>
        <v>0</v>
      </c>
      <c r="X352">
        <f t="shared" si="245"/>
        <v>0</v>
      </c>
      <c r="Y352">
        <f t="shared" si="255"/>
        <v>0</v>
      </c>
      <c r="Z352">
        <f t="shared" si="256"/>
        <v>0</v>
      </c>
      <c r="AA352">
        <f t="shared" si="257"/>
        <v>0</v>
      </c>
      <c r="AB352">
        <f t="shared" si="258"/>
        <v>0</v>
      </c>
      <c r="AC352" s="23">
        <f>IF(B352&gt;$AJ$2,0,HLOOKUP(YEAR(A352),Assumptions!$A$25:$AL$29,4,TRUE)/100)</f>
        <v>0</v>
      </c>
      <c r="AD352">
        <f t="shared" si="259"/>
        <v>0</v>
      </c>
      <c r="AE352">
        <f t="shared" si="260"/>
        <v>0</v>
      </c>
      <c r="AF352">
        <f t="shared" si="261"/>
        <v>0</v>
      </c>
      <c r="AG352">
        <f t="shared" si="262"/>
        <v>0</v>
      </c>
      <c r="AH352">
        <f t="shared" si="263"/>
        <v>0</v>
      </c>
      <c r="AI352">
        <f t="shared" si="264"/>
        <v>0</v>
      </c>
      <c r="AJ352">
        <f t="shared" si="265"/>
        <v>0</v>
      </c>
      <c r="AK352">
        <f t="shared" si="266"/>
        <v>0</v>
      </c>
      <c r="AL352">
        <f t="shared" si="267"/>
        <v>0</v>
      </c>
      <c r="AM352">
        <f t="shared" si="246"/>
        <v>0</v>
      </c>
      <c r="AN352">
        <f>IF($S$2=0,0,(SUMPRODUCT($K$2:$R$2,Assumptions!$B$34:$I$34)/$U$2+$J$2/$U$2*Assumptions!$A$34*G352)*K352*O351)</f>
        <v>0</v>
      </c>
      <c r="AO352">
        <f t="shared" si="268"/>
        <v>0</v>
      </c>
      <c r="AP352">
        <f t="shared" si="269"/>
        <v>0</v>
      </c>
      <c r="AQ352">
        <f>IF(B352&gt;$AJ$2,0,AQ351*(1+Assumptions!$B$43)^(1/12))</f>
        <v>0</v>
      </c>
      <c r="AR352" s="27">
        <f>IF(B352&gt;$AJ$2,0,(O351+R351)*Assumptions!$B$39/12*AQ351+AV352*Assumptions!$B$41/12)</f>
        <v>0</v>
      </c>
      <c r="AS352">
        <f t="shared" si="270"/>
        <v>0</v>
      </c>
      <c r="AT352" s="28">
        <f t="shared" si="271"/>
        <v>0</v>
      </c>
      <c r="AU352">
        <f t="shared" si="272"/>
        <v>0</v>
      </c>
      <c r="AV352" s="28">
        <f t="shared" si="273"/>
        <v>0</v>
      </c>
      <c r="AW352" s="28">
        <f t="shared" si="274"/>
        <v>0</v>
      </c>
      <c r="AX352" s="23">
        <f>HLOOKUP(YEAR(A352),Assumptions!$A$25:$AL$29,2,TRUE)/100</f>
        <v>1.1739999999999999E-2</v>
      </c>
      <c r="AY352" s="29">
        <f>1/(1+HLOOKUP(YEAR(A352),Assumptions!$A$18:$AL$20,3,TRUE))^(1/12)</f>
        <v>0.99902750864006262</v>
      </c>
      <c r="AZ352" s="26">
        <f t="shared" si="275"/>
        <v>0</v>
      </c>
      <c r="BA352">
        <f t="shared" si="276"/>
        <v>0</v>
      </c>
      <c r="BB352">
        <f t="shared" si="277"/>
        <v>0</v>
      </c>
      <c r="BC352">
        <f t="shared" si="278"/>
        <v>0</v>
      </c>
    </row>
    <row r="353" spans="1:55" x14ac:dyDescent="0.2">
      <c r="A353" s="3">
        <f t="shared" si="247"/>
        <v>53508</v>
      </c>
      <c r="B353">
        <f t="shared" si="243"/>
        <v>355</v>
      </c>
      <c r="C353">
        <f t="shared" si="241"/>
        <v>29.5</v>
      </c>
      <c r="D353">
        <f t="shared" si="242"/>
        <v>0</v>
      </c>
      <c r="E353">
        <f t="shared" si="244"/>
        <v>85</v>
      </c>
      <c r="F353">
        <f>IF(C353&gt;=$T$2,0,VLOOKUP($E353,'Mortality Table'!$A$3:$C$128,2+AF$2,FALSE))</f>
        <v>0</v>
      </c>
      <c r="G353">
        <f>F353*Assumptions!$B$1</f>
        <v>0</v>
      </c>
      <c r="H353">
        <f t="shared" si="248"/>
        <v>0</v>
      </c>
      <c r="I353">
        <f t="shared" ref="I353:I416" si="281">H353*O352*(1-M353/2)</f>
        <v>0</v>
      </c>
      <c r="J353">
        <f>IF(B353&gt;$AJ$2,0,HLOOKUP(C353,Assumptions!$A$6:$J$7,2,TRUE))</f>
        <v>0</v>
      </c>
      <c r="K353" s="4">
        <f t="shared" ref="K353:K416" si="282">IF(B353&gt;$AJ$2,0,IF(($U$2*(B353+11))/12-INT(($U$2*(B353+11))/12)=0,1,0))</f>
        <v>0</v>
      </c>
      <c r="L353" s="4">
        <f t="shared" si="249"/>
        <v>0</v>
      </c>
      <c r="M353" s="4">
        <f t="shared" ref="M353:M416" si="283">(1-(1-J353)^L353)</f>
        <v>0</v>
      </c>
      <c r="N353">
        <f t="shared" si="250"/>
        <v>0</v>
      </c>
      <c r="O353" s="21">
        <f t="shared" ref="O353:O416" si="284">IF(B353&gt;$AJ$2,0,O352-I353-N353-Q353)</f>
        <v>0</v>
      </c>
      <c r="P353">
        <f>IF(B353&gt;$AJ$2,0,HLOOKUP(C353,Assumptions!$A$12:$J$13,2,TRUE))</f>
        <v>0</v>
      </c>
      <c r="Q353">
        <f t="shared" ref="Q353:Q416" si="285">(1-(1-P353)^L353)*(O352-I353-N353)</f>
        <v>0</v>
      </c>
      <c r="R353">
        <f t="shared" si="251"/>
        <v>0</v>
      </c>
      <c r="S353">
        <f t="shared" si="279"/>
        <v>0</v>
      </c>
      <c r="T353">
        <f t="shared" si="280"/>
        <v>0</v>
      </c>
      <c r="U353">
        <f t="shared" si="252"/>
        <v>0</v>
      </c>
      <c r="V353">
        <f t="shared" si="253"/>
        <v>0</v>
      </c>
      <c r="W353">
        <f t="shared" si="254"/>
        <v>0</v>
      </c>
      <c r="X353">
        <f t="shared" si="245"/>
        <v>0</v>
      </c>
      <c r="Y353">
        <f t="shared" si="255"/>
        <v>0</v>
      </c>
      <c r="Z353">
        <f t="shared" si="256"/>
        <v>0</v>
      </c>
      <c r="AA353">
        <f t="shared" si="257"/>
        <v>0</v>
      </c>
      <c r="AB353">
        <f t="shared" si="258"/>
        <v>0</v>
      </c>
      <c r="AC353" s="23">
        <f>IF(B353&gt;$AJ$2,0,HLOOKUP(YEAR(A353),Assumptions!$A$25:$AL$29,4,TRUE)/100)</f>
        <v>0</v>
      </c>
      <c r="AD353">
        <f t="shared" si="259"/>
        <v>0</v>
      </c>
      <c r="AE353">
        <f t="shared" si="260"/>
        <v>0</v>
      </c>
      <c r="AF353">
        <f t="shared" si="261"/>
        <v>0</v>
      </c>
      <c r="AG353">
        <f t="shared" si="262"/>
        <v>0</v>
      </c>
      <c r="AH353">
        <f t="shared" si="263"/>
        <v>0</v>
      </c>
      <c r="AI353">
        <f t="shared" si="264"/>
        <v>0</v>
      </c>
      <c r="AJ353">
        <f t="shared" si="265"/>
        <v>0</v>
      </c>
      <c r="AK353">
        <f t="shared" si="266"/>
        <v>0</v>
      </c>
      <c r="AL353">
        <f t="shared" si="267"/>
        <v>0</v>
      </c>
      <c r="AM353">
        <f t="shared" si="246"/>
        <v>0</v>
      </c>
      <c r="AN353">
        <f>IF($S$2=0,0,(SUMPRODUCT($K$2:$R$2,Assumptions!$B$34:$I$34)/$U$2+$J$2/$U$2*Assumptions!$A$34*G353)*K353*O352)</f>
        <v>0</v>
      </c>
      <c r="AO353">
        <f t="shared" si="268"/>
        <v>0</v>
      </c>
      <c r="AP353">
        <f t="shared" si="269"/>
        <v>0</v>
      </c>
      <c r="AQ353">
        <f>IF(B353&gt;$AJ$2,0,AQ352*(1+Assumptions!$B$43)^(1/12))</f>
        <v>0</v>
      </c>
      <c r="AR353" s="27">
        <f>IF(B353&gt;$AJ$2,0,(O352+R352)*Assumptions!$B$39/12*AQ352+AV353*Assumptions!$B$41/12)</f>
        <v>0</v>
      </c>
      <c r="AS353">
        <f t="shared" si="270"/>
        <v>0</v>
      </c>
      <c r="AT353" s="28">
        <f t="shared" si="271"/>
        <v>0</v>
      </c>
      <c r="AU353">
        <f t="shared" si="272"/>
        <v>0</v>
      </c>
      <c r="AV353" s="28">
        <f t="shared" si="273"/>
        <v>0</v>
      </c>
      <c r="AW353" s="28">
        <f t="shared" si="274"/>
        <v>0</v>
      </c>
      <c r="AX353" s="23">
        <f>HLOOKUP(YEAR(A353),Assumptions!$A$25:$AL$29,2,TRUE)/100</f>
        <v>1.1739999999999999E-2</v>
      </c>
      <c r="AY353" s="29">
        <f>1/(1+HLOOKUP(YEAR(A353),Assumptions!$A$18:$AL$20,3,TRUE))^(1/12)</f>
        <v>0.99902750864006262</v>
      </c>
      <c r="AZ353" s="26">
        <f t="shared" si="275"/>
        <v>0</v>
      </c>
      <c r="BA353">
        <f t="shared" si="276"/>
        <v>0</v>
      </c>
      <c r="BB353">
        <f t="shared" si="277"/>
        <v>0</v>
      </c>
      <c r="BC353">
        <f t="shared" si="278"/>
        <v>0</v>
      </c>
    </row>
    <row r="354" spans="1:55" x14ac:dyDescent="0.2">
      <c r="A354" s="3">
        <f t="shared" si="247"/>
        <v>53539</v>
      </c>
      <c r="B354">
        <f t="shared" si="243"/>
        <v>356</v>
      </c>
      <c r="C354">
        <f t="shared" ref="C354:C417" si="286">(B354+11)/12-1</f>
        <v>29.583333333333332</v>
      </c>
      <c r="D354">
        <f t="shared" ref="D354:D417" si="287">IF(C354-INT(C354)=0,1,0)</f>
        <v>0</v>
      </c>
      <c r="E354">
        <f t="shared" si="244"/>
        <v>85</v>
      </c>
      <c r="F354">
        <f>IF(C354&gt;=$T$2,0,VLOOKUP($E354,'Mortality Table'!$A$3:$C$128,2+AF$2,FALSE))</f>
        <v>0</v>
      </c>
      <c r="G354">
        <f>F354*Assumptions!$B$1</f>
        <v>0</v>
      </c>
      <c r="H354">
        <f t="shared" si="248"/>
        <v>0</v>
      </c>
      <c r="I354">
        <f t="shared" si="281"/>
        <v>0</v>
      </c>
      <c r="J354">
        <f>IF(B354&gt;$AJ$2,0,HLOOKUP(C354,Assumptions!$A$6:$J$7,2,TRUE))</f>
        <v>0</v>
      </c>
      <c r="K354" s="4">
        <f t="shared" si="282"/>
        <v>0</v>
      </c>
      <c r="L354" s="4">
        <f t="shared" si="249"/>
        <v>0</v>
      </c>
      <c r="M354" s="4">
        <f t="shared" si="283"/>
        <v>0</v>
      </c>
      <c r="N354">
        <f t="shared" si="250"/>
        <v>0</v>
      </c>
      <c r="O354" s="21">
        <f t="shared" si="284"/>
        <v>0</v>
      </c>
      <c r="P354">
        <f>IF(B354&gt;$AJ$2,0,HLOOKUP(C354,Assumptions!$A$12:$J$13,2,TRUE))</f>
        <v>0</v>
      </c>
      <c r="Q354">
        <f t="shared" si="285"/>
        <v>0</v>
      </c>
      <c r="R354">
        <f t="shared" si="251"/>
        <v>0</v>
      </c>
      <c r="S354">
        <f t="shared" si="279"/>
        <v>0</v>
      </c>
      <c r="T354">
        <f t="shared" si="280"/>
        <v>0</v>
      </c>
      <c r="U354">
        <f t="shared" si="252"/>
        <v>0</v>
      </c>
      <c r="V354">
        <f t="shared" si="253"/>
        <v>0</v>
      </c>
      <c r="W354">
        <f t="shared" si="254"/>
        <v>0</v>
      </c>
      <c r="X354">
        <f t="shared" si="245"/>
        <v>0</v>
      </c>
      <c r="Y354">
        <f t="shared" si="255"/>
        <v>0</v>
      </c>
      <c r="Z354">
        <f t="shared" si="256"/>
        <v>0</v>
      </c>
      <c r="AA354">
        <f t="shared" si="257"/>
        <v>0</v>
      </c>
      <c r="AB354">
        <f t="shared" si="258"/>
        <v>0</v>
      </c>
      <c r="AC354" s="23">
        <f>IF(B354&gt;$AJ$2,0,HLOOKUP(YEAR(A354),Assumptions!$A$25:$AL$29,4,TRUE)/100)</f>
        <v>0</v>
      </c>
      <c r="AD354">
        <f t="shared" si="259"/>
        <v>0</v>
      </c>
      <c r="AE354">
        <f t="shared" si="260"/>
        <v>0</v>
      </c>
      <c r="AF354">
        <f t="shared" si="261"/>
        <v>0</v>
      </c>
      <c r="AG354">
        <f t="shared" si="262"/>
        <v>0</v>
      </c>
      <c r="AH354">
        <f t="shared" si="263"/>
        <v>0</v>
      </c>
      <c r="AI354">
        <f t="shared" si="264"/>
        <v>0</v>
      </c>
      <c r="AJ354">
        <f t="shared" si="265"/>
        <v>0</v>
      </c>
      <c r="AK354">
        <f t="shared" si="266"/>
        <v>0</v>
      </c>
      <c r="AL354">
        <f t="shared" si="267"/>
        <v>0</v>
      </c>
      <c r="AM354">
        <f t="shared" si="246"/>
        <v>0</v>
      </c>
      <c r="AN354">
        <f>IF($S$2=0,0,(SUMPRODUCT($K$2:$R$2,Assumptions!$B$34:$I$34)/$U$2+$J$2/$U$2*Assumptions!$A$34*G354)*K354*O353)</f>
        <v>0</v>
      </c>
      <c r="AO354">
        <f t="shared" si="268"/>
        <v>0</v>
      </c>
      <c r="AP354">
        <f t="shared" si="269"/>
        <v>0</v>
      </c>
      <c r="AQ354">
        <f>IF(B354&gt;$AJ$2,0,AQ353*(1+Assumptions!$B$43)^(1/12))</f>
        <v>0</v>
      </c>
      <c r="AR354" s="27">
        <f>IF(B354&gt;$AJ$2,0,(O353+R353)*Assumptions!$B$39/12*AQ353+AV354*Assumptions!$B$41/12)</f>
        <v>0</v>
      </c>
      <c r="AS354">
        <f t="shared" si="270"/>
        <v>0</v>
      </c>
      <c r="AT354" s="28">
        <f t="shared" si="271"/>
        <v>0</v>
      </c>
      <c r="AU354">
        <f t="shared" si="272"/>
        <v>0</v>
      </c>
      <c r="AV354" s="28">
        <f t="shared" si="273"/>
        <v>0</v>
      </c>
      <c r="AW354" s="28">
        <f t="shared" si="274"/>
        <v>0</v>
      </c>
      <c r="AX354" s="23">
        <f>HLOOKUP(YEAR(A354),Assumptions!$A$25:$AL$29,2,TRUE)/100</f>
        <v>1.1739999999999999E-2</v>
      </c>
      <c r="AY354" s="29">
        <f>1/(1+HLOOKUP(YEAR(A354),Assumptions!$A$18:$AL$20,3,TRUE))^(1/12)</f>
        <v>0.99902750864006262</v>
      </c>
      <c r="AZ354" s="26">
        <f t="shared" si="275"/>
        <v>0</v>
      </c>
      <c r="BA354">
        <f t="shared" si="276"/>
        <v>0</v>
      </c>
      <c r="BB354">
        <f t="shared" si="277"/>
        <v>0</v>
      </c>
      <c r="BC354">
        <f t="shared" si="278"/>
        <v>0</v>
      </c>
    </row>
    <row r="355" spans="1:55" x14ac:dyDescent="0.2">
      <c r="A355" s="3">
        <f t="shared" si="247"/>
        <v>53570</v>
      </c>
      <c r="B355">
        <f t="shared" si="243"/>
        <v>357</v>
      </c>
      <c r="C355">
        <f t="shared" si="286"/>
        <v>29.666666666666668</v>
      </c>
      <c r="D355">
        <f t="shared" si="287"/>
        <v>0</v>
      </c>
      <c r="E355">
        <f t="shared" si="244"/>
        <v>85</v>
      </c>
      <c r="F355">
        <f>IF(C355&gt;=$T$2,0,VLOOKUP($E355,'Mortality Table'!$A$3:$C$128,2+AF$2,FALSE))</f>
        <v>0</v>
      </c>
      <c r="G355">
        <f>F355*Assumptions!$B$1</f>
        <v>0</v>
      </c>
      <c r="H355">
        <f t="shared" si="248"/>
        <v>0</v>
      </c>
      <c r="I355">
        <f t="shared" si="281"/>
        <v>0</v>
      </c>
      <c r="J355">
        <f>IF(B355&gt;$AJ$2,0,HLOOKUP(C355,Assumptions!$A$6:$J$7,2,TRUE))</f>
        <v>0</v>
      </c>
      <c r="K355" s="4">
        <f t="shared" si="282"/>
        <v>0</v>
      </c>
      <c r="L355" s="4">
        <f t="shared" si="249"/>
        <v>0</v>
      </c>
      <c r="M355" s="4">
        <f t="shared" si="283"/>
        <v>0</v>
      </c>
      <c r="N355">
        <f t="shared" si="250"/>
        <v>0</v>
      </c>
      <c r="O355" s="21">
        <f t="shared" si="284"/>
        <v>0</v>
      </c>
      <c r="P355">
        <f>IF(B355&gt;$AJ$2,0,HLOOKUP(C355,Assumptions!$A$12:$J$13,2,TRUE))</f>
        <v>0</v>
      </c>
      <c r="Q355">
        <f t="shared" si="285"/>
        <v>0</v>
      </c>
      <c r="R355">
        <f t="shared" si="251"/>
        <v>0</v>
      </c>
      <c r="S355">
        <f t="shared" si="279"/>
        <v>0</v>
      </c>
      <c r="T355">
        <f t="shared" si="280"/>
        <v>0</v>
      </c>
      <c r="U355">
        <f t="shared" si="252"/>
        <v>0</v>
      </c>
      <c r="V355">
        <f t="shared" si="253"/>
        <v>0</v>
      </c>
      <c r="W355">
        <f t="shared" si="254"/>
        <v>0</v>
      </c>
      <c r="X355">
        <f t="shared" si="245"/>
        <v>0</v>
      </c>
      <c r="Y355">
        <f t="shared" si="255"/>
        <v>0</v>
      </c>
      <c r="Z355">
        <f t="shared" si="256"/>
        <v>0</v>
      </c>
      <c r="AA355">
        <f t="shared" si="257"/>
        <v>0</v>
      </c>
      <c r="AB355">
        <f t="shared" si="258"/>
        <v>0</v>
      </c>
      <c r="AC355" s="23">
        <f>IF(B355&gt;$AJ$2,0,HLOOKUP(YEAR(A355),Assumptions!$A$25:$AL$29,4,TRUE)/100)</f>
        <v>0</v>
      </c>
      <c r="AD355">
        <f t="shared" si="259"/>
        <v>0</v>
      </c>
      <c r="AE355">
        <f t="shared" si="260"/>
        <v>0</v>
      </c>
      <c r="AF355">
        <f t="shared" si="261"/>
        <v>0</v>
      </c>
      <c r="AG355">
        <f t="shared" si="262"/>
        <v>0</v>
      </c>
      <c r="AH355">
        <f t="shared" si="263"/>
        <v>0</v>
      </c>
      <c r="AI355">
        <f t="shared" si="264"/>
        <v>0</v>
      </c>
      <c r="AJ355">
        <f t="shared" si="265"/>
        <v>0</v>
      </c>
      <c r="AK355">
        <f t="shared" si="266"/>
        <v>0</v>
      </c>
      <c r="AL355">
        <f t="shared" si="267"/>
        <v>0</v>
      </c>
      <c r="AM355">
        <f t="shared" si="246"/>
        <v>0</v>
      </c>
      <c r="AN355">
        <f>IF($S$2=0,0,(SUMPRODUCT($K$2:$R$2,Assumptions!$B$34:$I$34)/$U$2+$J$2/$U$2*Assumptions!$A$34*G355)*K355*O354)</f>
        <v>0</v>
      </c>
      <c r="AO355">
        <f t="shared" si="268"/>
        <v>0</v>
      </c>
      <c r="AP355">
        <f t="shared" si="269"/>
        <v>0</v>
      </c>
      <c r="AQ355">
        <f>IF(B355&gt;$AJ$2,0,AQ354*(1+Assumptions!$B$43)^(1/12))</f>
        <v>0</v>
      </c>
      <c r="AR355" s="27">
        <f>IF(B355&gt;$AJ$2,0,(O354+R354)*Assumptions!$B$39/12*AQ354+AV355*Assumptions!$B$41/12)</f>
        <v>0</v>
      </c>
      <c r="AS355">
        <f t="shared" si="270"/>
        <v>0</v>
      </c>
      <c r="AT355" s="28">
        <f t="shared" si="271"/>
        <v>0</v>
      </c>
      <c r="AU355">
        <f t="shared" si="272"/>
        <v>0</v>
      </c>
      <c r="AV355" s="28">
        <f t="shared" si="273"/>
        <v>0</v>
      </c>
      <c r="AW355" s="28">
        <f t="shared" si="274"/>
        <v>0</v>
      </c>
      <c r="AX355" s="23">
        <f>HLOOKUP(YEAR(A355),Assumptions!$A$25:$AL$29,2,TRUE)/100</f>
        <v>1.1739999999999999E-2</v>
      </c>
      <c r="AY355" s="29">
        <f>1/(1+HLOOKUP(YEAR(A355),Assumptions!$A$18:$AL$20,3,TRUE))^(1/12)</f>
        <v>0.99902750864006262</v>
      </c>
      <c r="AZ355" s="26">
        <f t="shared" si="275"/>
        <v>0</v>
      </c>
      <c r="BA355">
        <f t="shared" si="276"/>
        <v>0</v>
      </c>
      <c r="BB355">
        <f t="shared" si="277"/>
        <v>0</v>
      </c>
      <c r="BC355">
        <f t="shared" si="278"/>
        <v>0</v>
      </c>
    </row>
    <row r="356" spans="1:55" x14ac:dyDescent="0.2">
      <c r="A356" s="3">
        <f t="shared" si="247"/>
        <v>53600</v>
      </c>
      <c r="B356">
        <f t="shared" si="243"/>
        <v>358</v>
      </c>
      <c r="C356">
        <f t="shared" si="286"/>
        <v>29.75</v>
      </c>
      <c r="D356">
        <f t="shared" si="287"/>
        <v>0</v>
      </c>
      <c r="E356">
        <f t="shared" si="244"/>
        <v>85</v>
      </c>
      <c r="F356">
        <f>IF(C356&gt;=$T$2,0,VLOOKUP($E356,'Mortality Table'!$A$3:$C$128,2+AF$2,FALSE))</f>
        <v>0</v>
      </c>
      <c r="G356">
        <f>F356*Assumptions!$B$1</f>
        <v>0</v>
      </c>
      <c r="H356">
        <f t="shared" si="248"/>
        <v>0</v>
      </c>
      <c r="I356">
        <f t="shared" si="281"/>
        <v>0</v>
      </c>
      <c r="J356">
        <f>IF(B356&gt;$AJ$2,0,HLOOKUP(C356,Assumptions!$A$6:$J$7,2,TRUE))</f>
        <v>0</v>
      </c>
      <c r="K356" s="4">
        <f t="shared" si="282"/>
        <v>0</v>
      </c>
      <c r="L356" s="4">
        <f t="shared" si="249"/>
        <v>0</v>
      </c>
      <c r="M356" s="4">
        <f t="shared" si="283"/>
        <v>0</v>
      </c>
      <c r="N356">
        <f t="shared" si="250"/>
        <v>0</v>
      </c>
      <c r="O356" s="21">
        <f t="shared" si="284"/>
        <v>0</v>
      </c>
      <c r="P356">
        <f>IF(B356&gt;$AJ$2,0,HLOOKUP(C356,Assumptions!$A$12:$J$13,2,TRUE))</f>
        <v>0</v>
      </c>
      <c r="Q356">
        <f t="shared" si="285"/>
        <v>0</v>
      </c>
      <c r="R356">
        <f t="shared" si="251"/>
        <v>0</v>
      </c>
      <c r="S356">
        <f t="shared" si="279"/>
        <v>0</v>
      </c>
      <c r="T356">
        <f t="shared" si="280"/>
        <v>0</v>
      </c>
      <c r="U356">
        <f t="shared" si="252"/>
        <v>0</v>
      </c>
      <c r="V356">
        <f t="shared" si="253"/>
        <v>0</v>
      </c>
      <c r="W356">
        <f t="shared" si="254"/>
        <v>0</v>
      </c>
      <c r="X356">
        <f t="shared" si="245"/>
        <v>0</v>
      </c>
      <c r="Y356">
        <f t="shared" si="255"/>
        <v>0</v>
      </c>
      <c r="Z356">
        <f t="shared" si="256"/>
        <v>0</v>
      </c>
      <c r="AA356">
        <f t="shared" si="257"/>
        <v>0</v>
      </c>
      <c r="AB356">
        <f t="shared" si="258"/>
        <v>0</v>
      </c>
      <c r="AC356" s="23">
        <f>IF(B356&gt;$AJ$2,0,HLOOKUP(YEAR(A356),Assumptions!$A$25:$AL$29,4,TRUE)/100)</f>
        <v>0</v>
      </c>
      <c r="AD356">
        <f t="shared" si="259"/>
        <v>0</v>
      </c>
      <c r="AE356">
        <f t="shared" si="260"/>
        <v>0</v>
      </c>
      <c r="AF356">
        <f t="shared" si="261"/>
        <v>0</v>
      </c>
      <c r="AG356">
        <f t="shared" si="262"/>
        <v>0</v>
      </c>
      <c r="AH356">
        <f t="shared" si="263"/>
        <v>0</v>
      </c>
      <c r="AI356">
        <f t="shared" si="264"/>
        <v>0</v>
      </c>
      <c r="AJ356">
        <f t="shared" si="265"/>
        <v>0</v>
      </c>
      <c r="AK356">
        <f t="shared" si="266"/>
        <v>0</v>
      </c>
      <c r="AL356">
        <f t="shared" si="267"/>
        <v>0</v>
      </c>
      <c r="AM356">
        <f t="shared" si="246"/>
        <v>0</v>
      </c>
      <c r="AN356">
        <f>IF($S$2=0,0,(SUMPRODUCT($K$2:$R$2,Assumptions!$B$34:$I$34)/$U$2+$J$2/$U$2*Assumptions!$A$34*G356)*K356*O355)</f>
        <v>0</v>
      </c>
      <c r="AO356">
        <f t="shared" si="268"/>
        <v>0</v>
      </c>
      <c r="AP356">
        <f t="shared" si="269"/>
        <v>0</v>
      </c>
      <c r="AQ356">
        <f>IF(B356&gt;$AJ$2,0,AQ355*(1+Assumptions!$B$43)^(1/12))</f>
        <v>0</v>
      </c>
      <c r="AR356" s="27">
        <f>IF(B356&gt;$AJ$2,0,(O355+R355)*Assumptions!$B$39/12*AQ355+AV356*Assumptions!$B$41/12)</f>
        <v>0</v>
      </c>
      <c r="AS356">
        <f t="shared" si="270"/>
        <v>0</v>
      </c>
      <c r="AT356" s="28">
        <f t="shared" si="271"/>
        <v>0</v>
      </c>
      <c r="AU356">
        <f t="shared" si="272"/>
        <v>0</v>
      </c>
      <c r="AV356" s="28">
        <f t="shared" si="273"/>
        <v>0</v>
      </c>
      <c r="AW356" s="28">
        <f t="shared" si="274"/>
        <v>0</v>
      </c>
      <c r="AX356" s="23">
        <f>HLOOKUP(YEAR(A356),Assumptions!$A$25:$AL$29,2,TRUE)/100</f>
        <v>1.1739999999999999E-2</v>
      </c>
      <c r="AY356" s="29">
        <f>1/(1+HLOOKUP(YEAR(A356),Assumptions!$A$18:$AL$20,3,TRUE))^(1/12)</f>
        <v>0.99902750864006262</v>
      </c>
      <c r="AZ356" s="26">
        <f t="shared" si="275"/>
        <v>0</v>
      </c>
      <c r="BA356">
        <f t="shared" si="276"/>
        <v>0</v>
      </c>
      <c r="BB356">
        <f t="shared" si="277"/>
        <v>0</v>
      </c>
      <c r="BC356">
        <f t="shared" si="278"/>
        <v>0</v>
      </c>
    </row>
    <row r="357" spans="1:55" x14ac:dyDescent="0.2">
      <c r="A357" s="3">
        <f t="shared" si="247"/>
        <v>53631</v>
      </c>
      <c r="B357">
        <f t="shared" si="243"/>
        <v>359</v>
      </c>
      <c r="C357">
        <f t="shared" si="286"/>
        <v>29.833333333333332</v>
      </c>
      <c r="D357">
        <f t="shared" si="287"/>
        <v>0</v>
      </c>
      <c r="E357">
        <f t="shared" si="244"/>
        <v>85</v>
      </c>
      <c r="F357">
        <f>IF(C357&gt;=$T$2,0,VLOOKUP($E357,'Mortality Table'!$A$3:$C$128,2+AF$2,FALSE))</f>
        <v>0</v>
      </c>
      <c r="G357">
        <f>F357*Assumptions!$B$1</f>
        <v>0</v>
      </c>
      <c r="H357">
        <f t="shared" si="248"/>
        <v>0</v>
      </c>
      <c r="I357">
        <f t="shared" si="281"/>
        <v>0</v>
      </c>
      <c r="J357">
        <f>IF(B357&gt;$AJ$2,0,HLOOKUP(C357,Assumptions!$A$6:$J$7,2,TRUE))</f>
        <v>0</v>
      </c>
      <c r="K357" s="4">
        <f t="shared" si="282"/>
        <v>0</v>
      </c>
      <c r="L357" s="4">
        <f t="shared" si="249"/>
        <v>0</v>
      </c>
      <c r="M357" s="4">
        <f t="shared" si="283"/>
        <v>0</v>
      </c>
      <c r="N357">
        <f t="shared" si="250"/>
        <v>0</v>
      </c>
      <c r="O357" s="21">
        <f t="shared" si="284"/>
        <v>0</v>
      </c>
      <c r="P357">
        <f>IF(B357&gt;$AJ$2,0,HLOOKUP(C357,Assumptions!$A$12:$J$13,2,TRUE))</f>
        <v>0</v>
      </c>
      <c r="Q357">
        <f t="shared" si="285"/>
        <v>0</v>
      </c>
      <c r="R357">
        <f t="shared" si="251"/>
        <v>0</v>
      </c>
      <c r="S357">
        <f t="shared" si="279"/>
        <v>0</v>
      </c>
      <c r="T357">
        <f t="shared" si="280"/>
        <v>0</v>
      </c>
      <c r="U357">
        <f t="shared" si="252"/>
        <v>0</v>
      </c>
      <c r="V357">
        <f t="shared" si="253"/>
        <v>0</v>
      </c>
      <c r="W357">
        <f t="shared" si="254"/>
        <v>0</v>
      </c>
      <c r="X357">
        <f t="shared" si="245"/>
        <v>0</v>
      </c>
      <c r="Y357">
        <f t="shared" si="255"/>
        <v>0</v>
      </c>
      <c r="Z357">
        <f t="shared" si="256"/>
        <v>0</v>
      </c>
      <c r="AA357">
        <f t="shared" si="257"/>
        <v>0</v>
      </c>
      <c r="AB357">
        <f t="shared" si="258"/>
        <v>0</v>
      </c>
      <c r="AC357" s="23">
        <f>IF(B357&gt;$AJ$2,0,HLOOKUP(YEAR(A357),Assumptions!$A$25:$AL$29,4,TRUE)/100)</f>
        <v>0</v>
      </c>
      <c r="AD357">
        <f t="shared" si="259"/>
        <v>0</v>
      </c>
      <c r="AE357">
        <f t="shared" si="260"/>
        <v>0</v>
      </c>
      <c r="AF357">
        <f t="shared" si="261"/>
        <v>0</v>
      </c>
      <c r="AG357">
        <f t="shared" si="262"/>
        <v>0</v>
      </c>
      <c r="AH357">
        <f t="shared" si="263"/>
        <v>0</v>
      </c>
      <c r="AI357">
        <f t="shared" si="264"/>
        <v>0</v>
      </c>
      <c r="AJ357">
        <f t="shared" si="265"/>
        <v>0</v>
      </c>
      <c r="AK357">
        <f t="shared" si="266"/>
        <v>0</v>
      </c>
      <c r="AL357">
        <f t="shared" si="267"/>
        <v>0</v>
      </c>
      <c r="AM357">
        <f t="shared" si="246"/>
        <v>0</v>
      </c>
      <c r="AN357">
        <f>IF($S$2=0,0,(SUMPRODUCT($K$2:$R$2,Assumptions!$B$34:$I$34)/$U$2+$J$2/$U$2*Assumptions!$A$34*G357)*K357*O356)</f>
        <v>0</v>
      </c>
      <c r="AO357">
        <f t="shared" si="268"/>
        <v>0</v>
      </c>
      <c r="AP357">
        <f t="shared" si="269"/>
        <v>0</v>
      </c>
      <c r="AQ357">
        <f>IF(B357&gt;$AJ$2,0,AQ356*(1+Assumptions!$B$43)^(1/12))</f>
        <v>0</v>
      </c>
      <c r="AR357" s="27">
        <f>IF(B357&gt;$AJ$2,0,(O356+R356)*Assumptions!$B$39/12*AQ356+AV357*Assumptions!$B$41/12)</f>
        <v>0</v>
      </c>
      <c r="AS357">
        <f t="shared" si="270"/>
        <v>0</v>
      </c>
      <c r="AT357" s="28">
        <f t="shared" si="271"/>
        <v>0</v>
      </c>
      <c r="AU357">
        <f t="shared" si="272"/>
        <v>0</v>
      </c>
      <c r="AV357" s="28">
        <f t="shared" si="273"/>
        <v>0</v>
      </c>
      <c r="AW357" s="28">
        <f t="shared" si="274"/>
        <v>0</v>
      </c>
      <c r="AX357" s="23">
        <f>HLOOKUP(YEAR(A357),Assumptions!$A$25:$AL$29,2,TRUE)/100</f>
        <v>1.1739999999999999E-2</v>
      </c>
      <c r="AY357" s="29">
        <f>1/(1+HLOOKUP(YEAR(A357),Assumptions!$A$18:$AL$20,3,TRUE))^(1/12)</f>
        <v>0.99902750864006262</v>
      </c>
      <c r="AZ357" s="26">
        <f t="shared" si="275"/>
        <v>0</v>
      </c>
      <c r="BA357">
        <f t="shared" si="276"/>
        <v>0</v>
      </c>
      <c r="BB357">
        <f t="shared" si="277"/>
        <v>0</v>
      </c>
      <c r="BC357">
        <f t="shared" si="278"/>
        <v>0</v>
      </c>
    </row>
    <row r="358" spans="1:55" x14ac:dyDescent="0.2">
      <c r="A358" s="3">
        <f t="shared" si="247"/>
        <v>53661</v>
      </c>
      <c r="B358">
        <f t="shared" si="243"/>
        <v>360</v>
      </c>
      <c r="C358">
        <f t="shared" si="286"/>
        <v>29.916666666666668</v>
      </c>
      <c r="D358">
        <f t="shared" si="287"/>
        <v>0</v>
      </c>
      <c r="E358">
        <f t="shared" si="244"/>
        <v>85</v>
      </c>
      <c r="F358">
        <f>IF(C358&gt;=$T$2,0,VLOOKUP($E358,'Mortality Table'!$A$3:$C$128,2+AF$2,FALSE))</f>
        <v>0</v>
      </c>
      <c r="G358">
        <f>F358*Assumptions!$B$1</f>
        <v>0</v>
      </c>
      <c r="H358">
        <f t="shared" si="248"/>
        <v>0</v>
      </c>
      <c r="I358">
        <f t="shared" si="281"/>
        <v>0</v>
      </c>
      <c r="J358">
        <f>IF(B358&gt;$AJ$2,0,HLOOKUP(C358,Assumptions!$A$6:$J$7,2,TRUE))</f>
        <v>0</v>
      </c>
      <c r="K358" s="4">
        <f t="shared" si="282"/>
        <v>0</v>
      </c>
      <c r="L358" s="4">
        <f t="shared" si="249"/>
        <v>0</v>
      </c>
      <c r="M358" s="4">
        <f t="shared" si="283"/>
        <v>0</v>
      </c>
      <c r="N358">
        <f t="shared" si="250"/>
        <v>0</v>
      </c>
      <c r="O358" s="21">
        <f t="shared" si="284"/>
        <v>0</v>
      </c>
      <c r="P358">
        <f>IF(B358&gt;$AJ$2,0,HLOOKUP(C358,Assumptions!$A$12:$J$13,2,TRUE))</f>
        <v>0</v>
      </c>
      <c r="Q358">
        <f t="shared" si="285"/>
        <v>0</v>
      </c>
      <c r="R358">
        <f t="shared" si="251"/>
        <v>0</v>
      </c>
      <c r="S358">
        <f t="shared" si="279"/>
        <v>0</v>
      </c>
      <c r="T358">
        <f t="shared" si="280"/>
        <v>0</v>
      </c>
      <c r="U358">
        <f t="shared" si="252"/>
        <v>0</v>
      </c>
      <c r="V358">
        <f t="shared" si="253"/>
        <v>0</v>
      </c>
      <c r="W358">
        <f t="shared" si="254"/>
        <v>0</v>
      </c>
      <c r="X358">
        <f t="shared" si="245"/>
        <v>0</v>
      </c>
      <c r="Y358">
        <f t="shared" si="255"/>
        <v>0</v>
      </c>
      <c r="Z358">
        <f t="shared" si="256"/>
        <v>0</v>
      </c>
      <c r="AA358">
        <f t="shared" si="257"/>
        <v>0</v>
      </c>
      <c r="AB358">
        <f t="shared" si="258"/>
        <v>0</v>
      </c>
      <c r="AC358" s="23">
        <f>IF(B358&gt;$AJ$2,0,HLOOKUP(YEAR(A358),Assumptions!$A$25:$AL$29,4,TRUE)/100)</f>
        <v>0</v>
      </c>
      <c r="AD358">
        <f t="shared" si="259"/>
        <v>0</v>
      </c>
      <c r="AE358">
        <f t="shared" si="260"/>
        <v>0</v>
      </c>
      <c r="AF358">
        <f t="shared" si="261"/>
        <v>0</v>
      </c>
      <c r="AG358">
        <f t="shared" si="262"/>
        <v>0</v>
      </c>
      <c r="AH358">
        <f t="shared" si="263"/>
        <v>0</v>
      </c>
      <c r="AI358">
        <f t="shared" si="264"/>
        <v>0</v>
      </c>
      <c r="AJ358">
        <f t="shared" si="265"/>
        <v>0</v>
      </c>
      <c r="AK358">
        <f t="shared" si="266"/>
        <v>0</v>
      </c>
      <c r="AL358">
        <f t="shared" si="267"/>
        <v>0</v>
      </c>
      <c r="AM358">
        <f t="shared" si="246"/>
        <v>0</v>
      </c>
      <c r="AN358">
        <f>IF($S$2=0,0,(SUMPRODUCT($K$2:$R$2,Assumptions!$B$34:$I$34)/$U$2+$J$2/$U$2*Assumptions!$A$34*G358)*K358*O357)</f>
        <v>0</v>
      </c>
      <c r="AO358">
        <f t="shared" si="268"/>
        <v>0</v>
      </c>
      <c r="AP358">
        <f t="shared" si="269"/>
        <v>0</v>
      </c>
      <c r="AQ358">
        <f>IF(B358&gt;$AJ$2,0,AQ357*(1+Assumptions!$B$43)^(1/12))</f>
        <v>0</v>
      </c>
      <c r="AR358" s="27">
        <f>IF(B358&gt;$AJ$2,0,(O357+R357)*Assumptions!$B$39/12*AQ357+AV358*Assumptions!$B$41/12)</f>
        <v>0</v>
      </c>
      <c r="AS358">
        <f t="shared" si="270"/>
        <v>0</v>
      </c>
      <c r="AT358" s="28">
        <f t="shared" si="271"/>
        <v>0</v>
      </c>
      <c r="AU358">
        <f t="shared" si="272"/>
        <v>0</v>
      </c>
      <c r="AV358" s="28">
        <f t="shared" si="273"/>
        <v>0</v>
      </c>
      <c r="AW358" s="28">
        <f t="shared" si="274"/>
        <v>0</v>
      </c>
      <c r="AX358" s="23">
        <f>HLOOKUP(YEAR(A358),Assumptions!$A$25:$AL$29,2,TRUE)/100</f>
        <v>1.1739999999999999E-2</v>
      </c>
      <c r="AY358" s="29">
        <f>1/(1+HLOOKUP(YEAR(A358),Assumptions!$A$18:$AL$20,3,TRUE))^(1/12)</f>
        <v>0.99902750864006262</v>
      </c>
      <c r="AZ358" s="26">
        <f t="shared" si="275"/>
        <v>0</v>
      </c>
      <c r="BA358">
        <f t="shared" si="276"/>
        <v>0</v>
      </c>
      <c r="BB358">
        <f t="shared" si="277"/>
        <v>0</v>
      </c>
      <c r="BC358">
        <f t="shared" si="278"/>
        <v>0</v>
      </c>
    </row>
    <row r="359" spans="1:55" x14ac:dyDescent="0.2">
      <c r="A359" s="3">
        <f t="shared" si="247"/>
        <v>53692</v>
      </c>
      <c r="B359">
        <f t="shared" si="243"/>
        <v>361</v>
      </c>
      <c r="C359">
        <f t="shared" si="286"/>
        <v>30</v>
      </c>
      <c r="D359">
        <f t="shared" si="287"/>
        <v>1</v>
      </c>
      <c r="E359">
        <f t="shared" si="244"/>
        <v>86</v>
      </c>
      <c r="F359">
        <f>IF(C359&gt;=$T$2,0,VLOOKUP($E359,'Mortality Table'!$A$3:$C$128,2+AF$2,FALSE))</f>
        <v>0</v>
      </c>
      <c r="G359">
        <f>F359*Assumptions!$B$1</f>
        <v>0</v>
      </c>
      <c r="H359">
        <f t="shared" si="248"/>
        <v>0</v>
      </c>
      <c r="I359">
        <f t="shared" si="281"/>
        <v>0</v>
      </c>
      <c r="J359">
        <f>IF(B359&gt;$AJ$2,0,HLOOKUP(C359,Assumptions!$A$6:$J$7,2,TRUE))</f>
        <v>0</v>
      </c>
      <c r="K359" s="4">
        <f t="shared" si="282"/>
        <v>0</v>
      </c>
      <c r="L359" s="4">
        <f t="shared" si="249"/>
        <v>0</v>
      </c>
      <c r="M359" s="4">
        <f t="shared" si="283"/>
        <v>0</v>
      </c>
      <c r="N359">
        <f t="shared" si="250"/>
        <v>0</v>
      </c>
      <c r="O359" s="21">
        <f t="shared" si="284"/>
        <v>0</v>
      </c>
      <c r="P359">
        <f>IF(B359&gt;$AJ$2,0,HLOOKUP(C359,Assumptions!$A$12:$J$13,2,TRUE))</f>
        <v>0</v>
      </c>
      <c r="Q359">
        <f t="shared" si="285"/>
        <v>0</v>
      </c>
      <c r="R359">
        <f t="shared" si="251"/>
        <v>0</v>
      </c>
      <c r="S359">
        <f t="shared" si="279"/>
        <v>0</v>
      </c>
      <c r="T359">
        <f t="shared" si="280"/>
        <v>0</v>
      </c>
      <c r="U359">
        <f t="shared" si="252"/>
        <v>0</v>
      </c>
      <c r="V359">
        <f t="shared" si="253"/>
        <v>0</v>
      </c>
      <c r="W359">
        <f t="shared" si="254"/>
        <v>0</v>
      </c>
      <c r="X359">
        <f t="shared" si="245"/>
        <v>0</v>
      </c>
      <c r="Y359">
        <f t="shared" si="255"/>
        <v>0</v>
      </c>
      <c r="Z359">
        <f t="shared" si="256"/>
        <v>0</v>
      </c>
      <c r="AA359">
        <f t="shared" si="257"/>
        <v>0</v>
      </c>
      <c r="AB359">
        <f t="shared" si="258"/>
        <v>0</v>
      </c>
      <c r="AC359" s="23">
        <f>IF(B359&gt;$AJ$2,0,HLOOKUP(YEAR(A359),Assumptions!$A$25:$AL$29,4,TRUE)/100)</f>
        <v>0</v>
      </c>
      <c r="AD359">
        <f t="shared" si="259"/>
        <v>0</v>
      </c>
      <c r="AE359">
        <f t="shared" si="260"/>
        <v>0</v>
      </c>
      <c r="AF359">
        <f t="shared" si="261"/>
        <v>0</v>
      </c>
      <c r="AG359">
        <f t="shared" si="262"/>
        <v>0</v>
      </c>
      <c r="AH359">
        <f t="shared" si="263"/>
        <v>0</v>
      </c>
      <c r="AI359">
        <f t="shared" si="264"/>
        <v>0</v>
      </c>
      <c r="AJ359">
        <f t="shared" si="265"/>
        <v>0</v>
      </c>
      <c r="AK359">
        <f t="shared" si="266"/>
        <v>0</v>
      </c>
      <c r="AL359">
        <f t="shared" si="267"/>
        <v>0</v>
      </c>
      <c r="AM359">
        <f t="shared" si="246"/>
        <v>0</v>
      </c>
      <c r="AN359">
        <f>IF($S$2=0,0,(SUMPRODUCT($K$2:$R$2,Assumptions!$B$34:$I$34)/$U$2+$J$2/$U$2*Assumptions!$A$34*G359)*K359*O358)</f>
        <v>0</v>
      </c>
      <c r="AO359">
        <f t="shared" si="268"/>
        <v>0</v>
      </c>
      <c r="AP359">
        <f t="shared" si="269"/>
        <v>0</v>
      </c>
      <c r="AQ359">
        <f>IF(B359&gt;$AJ$2,0,AQ358*(1+Assumptions!$B$43)^(1/12))</f>
        <v>0</v>
      </c>
      <c r="AR359" s="27">
        <f>IF(B359&gt;$AJ$2,0,(O358+R358)*Assumptions!$B$39/12*AQ358+AV359*Assumptions!$B$41/12)</f>
        <v>0</v>
      </c>
      <c r="AS359">
        <f t="shared" si="270"/>
        <v>0</v>
      </c>
      <c r="AT359" s="28">
        <f t="shared" si="271"/>
        <v>0</v>
      </c>
      <c r="AU359">
        <f t="shared" si="272"/>
        <v>0</v>
      </c>
      <c r="AV359" s="28">
        <f t="shared" si="273"/>
        <v>0</v>
      </c>
      <c r="AW359" s="28">
        <f t="shared" si="274"/>
        <v>0</v>
      </c>
      <c r="AX359" s="23">
        <f>HLOOKUP(YEAR(A359),Assumptions!$A$25:$AL$29,2,TRUE)/100</f>
        <v>1.1739999999999999E-2</v>
      </c>
      <c r="AY359" s="29">
        <f>1/(1+HLOOKUP(YEAR(A359),Assumptions!$A$18:$AL$20,3,TRUE))^(1/12)</f>
        <v>0.99902750864006262</v>
      </c>
      <c r="AZ359" s="26">
        <f t="shared" si="275"/>
        <v>0</v>
      </c>
      <c r="BA359">
        <f t="shared" si="276"/>
        <v>0</v>
      </c>
      <c r="BB359">
        <f t="shared" si="277"/>
        <v>0</v>
      </c>
      <c r="BC359">
        <f t="shared" si="278"/>
        <v>0</v>
      </c>
    </row>
    <row r="360" spans="1:55" x14ac:dyDescent="0.2">
      <c r="A360" s="3">
        <f t="shared" si="247"/>
        <v>53723</v>
      </c>
      <c r="B360">
        <f t="shared" si="243"/>
        <v>362</v>
      </c>
      <c r="C360">
        <f t="shared" si="286"/>
        <v>30.083333333333332</v>
      </c>
      <c r="D360">
        <f t="shared" si="287"/>
        <v>0</v>
      </c>
      <c r="E360">
        <f t="shared" si="244"/>
        <v>86</v>
      </c>
      <c r="F360">
        <f>IF(C360&gt;=$T$2,0,VLOOKUP($E360,'Mortality Table'!$A$3:$C$128,2+AF$2,FALSE))</f>
        <v>0</v>
      </c>
      <c r="G360">
        <f>F360*Assumptions!$B$1</f>
        <v>0</v>
      </c>
      <c r="H360">
        <f t="shared" si="248"/>
        <v>0</v>
      </c>
      <c r="I360">
        <f t="shared" si="281"/>
        <v>0</v>
      </c>
      <c r="J360">
        <f>IF(B360&gt;$AJ$2,0,HLOOKUP(C360,Assumptions!$A$6:$J$7,2,TRUE))</f>
        <v>0</v>
      </c>
      <c r="K360" s="4">
        <f t="shared" si="282"/>
        <v>0</v>
      </c>
      <c r="L360" s="4">
        <f t="shared" si="249"/>
        <v>0</v>
      </c>
      <c r="M360" s="4">
        <f t="shared" si="283"/>
        <v>0</v>
      </c>
      <c r="N360">
        <f t="shared" si="250"/>
        <v>0</v>
      </c>
      <c r="O360" s="21">
        <f t="shared" si="284"/>
        <v>0</v>
      </c>
      <c r="P360">
        <f>IF(B360&gt;$AJ$2,0,HLOOKUP(C360,Assumptions!$A$12:$J$13,2,TRUE))</f>
        <v>0</v>
      </c>
      <c r="Q360">
        <f t="shared" si="285"/>
        <v>0</v>
      </c>
      <c r="R360">
        <f t="shared" si="251"/>
        <v>0</v>
      </c>
      <c r="S360">
        <f t="shared" si="279"/>
        <v>0</v>
      </c>
      <c r="T360">
        <f t="shared" si="280"/>
        <v>0</v>
      </c>
      <c r="U360">
        <f t="shared" si="252"/>
        <v>0</v>
      </c>
      <c r="V360">
        <f t="shared" si="253"/>
        <v>0</v>
      </c>
      <c r="W360">
        <f t="shared" si="254"/>
        <v>0</v>
      </c>
      <c r="X360">
        <f t="shared" si="245"/>
        <v>0</v>
      </c>
      <c r="Y360">
        <f t="shared" si="255"/>
        <v>0</v>
      </c>
      <c r="Z360">
        <f t="shared" si="256"/>
        <v>0</v>
      </c>
      <c r="AA360">
        <f t="shared" si="257"/>
        <v>0</v>
      </c>
      <c r="AB360">
        <f t="shared" si="258"/>
        <v>0</v>
      </c>
      <c r="AC360" s="23">
        <f>IF(B360&gt;$AJ$2,0,HLOOKUP(YEAR(A360),Assumptions!$A$25:$AL$29,4,TRUE)/100)</f>
        <v>0</v>
      </c>
      <c r="AD360">
        <f t="shared" si="259"/>
        <v>0</v>
      </c>
      <c r="AE360">
        <f t="shared" si="260"/>
        <v>0</v>
      </c>
      <c r="AF360">
        <f t="shared" si="261"/>
        <v>0</v>
      </c>
      <c r="AG360">
        <f t="shared" si="262"/>
        <v>0</v>
      </c>
      <c r="AH360">
        <f t="shared" si="263"/>
        <v>0</v>
      </c>
      <c r="AI360">
        <f t="shared" si="264"/>
        <v>0</v>
      </c>
      <c r="AJ360">
        <f t="shared" si="265"/>
        <v>0</v>
      </c>
      <c r="AK360">
        <f t="shared" si="266"/>
        <v>0</v>
      </c>
      <c r="AL360">
        <f t="shared" si="267"/>
        <v>0</v>
      </c>
      <c r="AM360">
        <f t="shared" si="246"/>
        <v>0</v>
      </c>
      <c r="AN360">
        <f>IF($S$2=0,0,(SUMPRODUCT($K$2:$R$2,Assumptions!$B$34:$I$34)/$U$2+$J$2/$U$2*Assumptions!$A$34*G360)*K360*O359)</f>
        <v>0</v>
      </c>
      <c r="AO360">
        <f t="shared" si="268"/>
        <v>0</v>
      </c>
      <c r="AP360">
        <f t="shared" si="269"/>
        <v>0</v>
      </c>
      <c r="AQ360">
        <f>IF(B360&gt;$AJ$2,0,AQ359*(1+Assumptions!$B$43)^(1/12))</f>
        <v>0</v>
      </c>
      <c r="AR360" s="27">
        <f>IF(B360&gt;$AJ$2,0,(O359+R359)*Assumptions!$B$39/12*AQ359+AV360*Assumptions!$B$41/12)</f>
        <v>0</v>
      </c>
      <c r="AS360">
        <f t="shared" si="270"/>
        <v>0</v>
      </c>
      <c r="AT360" s="28">
        <f t="shared" si="271"/>
        <v>0</v>
      </c>
      <c r="AU360">
        <f t="shared" si="272"/>
        <v>0</v>
      </c>
      <c r="AV360" s="28">
        <f t="shared" si="273"/>
        <v>0</v>
      </c>
      <c r="AW360" s="28">
        <f t="shared" si="274"/>
        <v>0</v>
      </c>
      <c r="AX360" s="23">
        <f>HLOOKUP(YEAR(A360),Assumptions!$A$25:$AL$29,2,TRUE)/100</f>
        <v>1.1739999999999999E-2</v>
      </c>
      <c r="AY360" s="29">
        <f>1/(1+HLOOKUP(YEAR(A360),Assumptions!$A$18:$AL$20,3,TRUE))^(1/12)</f>
        <v>0.99902750864006262</v>
      </c>
      <c r="AZ360" s="26">
        <f t="shared" si="275"/>
        <v>0</v>
      </c>
      <c r="BA360">
        <f t="shared" si="276"/>
        <v>0</v>
      </c>
      <c r="BB360">
        <f t="shared" si="277"/>
        <v>0</v>
      </c>
      <c r="BC360">
        <f t="shared" si="278"/>
        <v>0</v>
      </c>
    </row>
    <row r="361" spans="1:55" x14ac:dyDescent="0.2">
      <c r="A361" s="3">
        <f t="shared" si="247"/>
        <v>53751</v>
      </c>
      <c r="B361">
        <f t="shared" si="243"/>
        <v>363</v>
      </c>
      <c r="C361">
        <f t="shared" si="286"/>
        <v>30.166666666666668</v>
      </c>
      <c r="D361">
        <f t="shared" si="287"/>
        <v>0</v>
      </c>
      <c r="E361">
        <f t="shared" si="244"/>
        <v>86</v>
      </c>
      <c r="F361">
        <f>IF(C361&gt;=$T$2,0,VLOOKUP($E361,'Mortality Table'!$A$3:$C$128,2+AF$2,FALSE))</f>
        <v>0</v>
      </c>
      <c r="G361">
        <f>F361*Assumptions!$B$1</f>
        <v>0</v>
      </c>
      <c r="H361">
        <f t="shared" si="248"/>
        <v>0</v>
      </c>
      <c r="I361">
        <f t="shared" si="281"/>
        <v>0</v>
      </c>
      <c r="J361">
        <f>IF(B361&gt;$AJ$2,0,HLOOKUP(C361,Assumptions!$A$6:$J$7,2,TRUE))</f>
        <v>0</v>
      </c>
      <c r="K361" s="4">
        <f t="shared" si="282"/>
        <v>0</v>
      </c>
      <c r="L361" s="4">
        <f t="shared" si="249"/>
        <v>0</v>
      </c>
      <c r="M361" s="4">
        <f t="shared" si="283"/>
        <v>0</v>
      </c>
      <c r="N361">
        <f t="shared" si="250"/>
        <v>0</v>
      </c>
      <c r="O361" s="21">
        <f t="shared" si="284"/>
        <v>0</v>
      </c>
      <c r="P361">
        <f>IF(B361&gt;$AJ$2,0,HLOOKUP(C361,Assumptions!$A$12:$J$13,2,TRUE))</f>
        <v>0</v>
      </c>
      <c r="Q361">
        <f t="shared" si="285"/>
        <v>0</v>
      </c>
      <c r="R361">
        <f t="shared" si="251"/>
        <v>0</v>
      </c>
      <c r="S361">
        <f t="shared" si="279"/>
        <v>0</v>
      </c>
      <c r="T361">
        <f t="shared" si="280"/>
        <v>0</v>
      </c>
      <c r="U361">
        <f t="shared" si="252"/>
        <v>0</v>
      </c>
      <c r="V361">
        <f t="shared" si="253"/>
        <v>0</v>
      </c>
      <c r="W361">
        <f t="shared" si="254"/>
        <v>0</v>
      </c>
      <c r="X361">
        <f t="shared" si="245"/>
        <v>0</v>
      </c>
      <c r="Y361">
        <f t="shared" si="255"/>
        <v>0</v>
      </c>
      <c r="Z361">
        <f t="shared" si="256"/>
        <v>0</v>
      </c>
      <c r="AA361">
        <f t="shared" si="257"/>
        <v>0</v>
      </c>
      <c r="AB361">
        <f t="shared" si="258"/>
        <v>0</v>
      </c>
      <c r="AC361" s="23">
        <f>IF(B361&gt;$AJ$2,0,HLOOKUP(YEAR(A361),Assumptions!$A$25:$AL$29,4,TRUE)/100)</f>
        <v>0</v>
      </c>
      <c r="AD361">
        <f t="shared" si="259"/>
        <v>0</v>
      </c>
      <c r="AE361">
        <f t="shared" si="260"/>
        <v>0</v>
      </c>
      <c r="AF361">
        <f t="shared" si="261"/>
        <v>0</v>
      </c>
      <c r="AG361">
        <f t="shared" si="262"/>
        <v>0</v>
      </c>
      <c r="AH361">
        <f t="shared" si="263"/>
        <v>0</v>
      </c>
      <c r="AI361">
        <f t="shared" si="264"/>
        <v>0</v>
      </c>
      <c r="AJ361">
        <f t="shared" si="265"/>
        <v>0</v>
      </c>
      <c r="AK361">
        <f t="shared" si="266"/>
        <v>0</v>
      </c>
      <c r="AL361">
        <f t="shared" si="267"/>
        <v>0</v>
      </c>
      <c r="AM361">
        <f t="shared" si="246"/>
        <v>0</v>
      </c>
      <c r="AN361">
        <f>IF($S$2=0,0,(SUMPRODUCT($K$2:$R$2,Assumptions!$B$34:$I$34)/$U$2+$J$2/$U$2*Assumptions!$A$34*G361)*K361*O360)</f>
        <v>0</v>
      </c>
      <c r="AO361">
        <f t="shared" si="268"/>
        <v>0</v>
      </c>
      <c r="AP361">
        <f t="shared" si="269"/>
        <v>0</v>
      </c>
      <c r="AQ361">
        <f>IF(B361&gt;$AJ$2,0,AQ360*(1+Assumptions!$B$43)^(1/12))</f>
        <v>0</v>
      </c>
      <c r="AR361" s="27">
        <f>IF(B361&gt;$AJ$2,0,(O360+R360)*Assumptions!$B$39/12*AQ360+AV361*Assumptions!$B$41/12)</f>
        <v>0</v>
      </c>
      <c r="AS361">
        <f t="shared" si="270"/>
        <v>0</v>
      </c>
      <c r="AT361" s="28">
        <f t="shared" si="271"/>
        <v>0</v>
      </c>
      <c r="AU361">
        <f t="shared" si="272"/>
        <v>0</v>
      </c>
      <c r="AV361" s="28">
        <f t="shared" si="273"/>
        <v>0</v>
      </c>
      <c r="AW361" s="28">
        <f t="shared" si="274"/>
        <v>0</v>
      </c>
      <c r="AX361" s="23">
        <f>HLOOKUP(YEAR(A361),Assumptions!$A$25:$AL$29,2,TRUE)/100</f>
        <v>1.1739999999999999E-2</v>
      </c>
      <c r="AY361" s="29">
        <f>1/(1+HLOOKUP(YEAR(A361),Assumptions!$A$18:$AL$20,3,TRUE))^(1/12)</f>
        <v>0.99902750864006262</v>
      </c>
      <c r="AZ361" s="26">
        <f t="shared" si="275"/>
        <v>0</v>
      </c>
      <c r="BA361">
        <f t="shared" si="276"/>
        <v>0</v>
      </c>
      <c r="BB361">
        <f t="shared" si="277"/>
        <v>0</v>
      </c>
      <c r="BC361">
        <f t="shared" si="278"/>
        <v>0</v>
      </c>
    </row>
    <row r="362" spans="1:55" x14ac:dyDescent="0.2">
      <c r="A362" s="3">
        <f t="shared" si="247"/>
        <v>53782</v>
      </c>
      <c r="B362">
        <f t="shared" si="243"/>
        <v>364</v>
      </c>
      <c r="C362">
        <f t="shared" si="286"/>
        <v>30.25</v>
      </c>
      <c r="D362">
        <f t="shared" si="287"/>
        <v>0</v>
      </c>
      <c r="E362">
        <f t="shared" si="244"/>
        <v>86</v>
      </c>
      <c r="F362">
        <f>IF(C362&gt;=$T$2,0,VLOOKUP($E362,'Mortality Table'!$A$3:$C$128,2+AF$2,FALSE))</f>
        <v>0</v>
      </c>
      <c r="G362">
        <f>F362*Assumptions!$B$1</f>
        <v>0</v>
      </c>
      <c r="H362">
        <f t="shared" si="248"/>
        <v>0</v>
      </c>
      <c r="I362">
        <f t="shared" si="281"/>
        <v>0</v>
      </c>
      <c r="J362">
        <f>IF(B362&gt;$AJ$2,0,HLOOKUP(C362,Assumptions!$A$6:$J$7,2,TRUE))</f>
        <v>0</v>
      </c>
      <c r="K362" s="4">
        <f t="shared" si="282"/>
        <v>0</v>
      </c>
      <c r="L362" s="4">
        <f t="shared" si="249"/>
        <v>0</v>
      </c>
      <c r="M362" s="4">
        <f t="shared" si="283"/>
        <v>0</v>
      </c>
      <c r="N362">
        <f t="shared" si="250"/>
        <v>0</v>
      </c>
      <c r="O362" s="21">
        <f t="shared" si="284"/>
        <v>0</v>
      </c>
      <c r="P362">
        <f>IF(B362&gt;$AJ$2,0,HLOOKUP(C362,Assumptions!$A$12:$J$13,2,TRUE))</f>
        <v>0</v>
      </c>
      <c r="Q362">
        <f t="shared" si="285"/>
        <v>0</v>
      </c>
      <c r="R362">
        <f t="shared" si="251"/>
        <v>0</v>
      </c>
      <c r="S362">
        <f t="shared" si="279"/>
        <v>0</v>
      </c>
      <c r="T362">
        <f t="shared" si="280"/>
        <v>0</v>
      </c>
      <c r="U362">
        <f t="shared" si="252"/>
        <v>0</v>
      </c>
      <c r="V362">
        <f t="shared" si="253"/>
        <v>0</v>
      </c>
      <c r="W362">
        <f t="shared" si="254"/>
        <v>0</v>
      </c>
      <c r="X362">
        <f t="shared" si="245"/>
        <v>0</v>
      </c>
      <c r="Y362">
        <f t="shared" si="255"/>
        <v>0</v>
      </c>
      <c r="Z362">
        <f t="shared" si="256"/>
        <v>0</v>
      </c>
      <c r="AA362">
        <f t="shared" si="257"/>
        <v>0</v>
      </c>
      <c r="AB362">
        <f t="shared" si="258"/>
        <v>0</v>
      </c>
      <c r="AC362" s="23">
        <f>IF(B362&gt;$AJ$2,0,HLOOKUP(YEAR(A362),Assumptions!$A$25:$AL$29,4,TRUE)/100)</f>
        <v>0</v>
      </c>
      <c r="AD362">
        <f t="shared" si="259"/>
        <v>0</v>
      </c>
      <c r="AE362">
        <f t="shared" si="260"/>
        <v>0</v>
      </c>
      <c r="AF362">
        <f t="shared" si="261"/>
        <v>0</v>
      </c>
      <c r="AG362">
        <f t="shared" si="262"/>
        <v>0</v>
      </c>
      <c r="AH362">
        <f t="shared" si="263"/>
        <v>0</v>
      </c>
      <c r="AI362">
        <f t="shared" si="264"/>
        <v>0</v>
      </c>
      <c r="AJ362">
        <f t="shared" si="265"/>
        <v>0</v>
      </c>
      <c r="AK362">
        <f t="shared" si="266"/>
        <v>0</v>
      </c>
      <c r="AL362">
        <f t="shared" si="267"/>
        <v>0</v>
      </c>
      <c r="AM362">
        <f t="shared" si="246"/>
        <v>0</v>
      </c>
      <c r="AN362">
        <f>IF($S$2=0,0,(SUMPRODUCT($K$2:$R$2,Assumptions!$B$34:$I$34)/$U$2+$J$2/$U$2*Assumptions!$A$34*G362)*K362*O361)</f>
        <v>0</v>
      </c>
      <c r="AO362">
        <f t="shared" si="268"/>
        <v>0</v>
      </c>
      <c r="AP362">
        <f t="shared" si="269"/>
        <v>0</v>
      </c>
      <c r="AQ362">
        <f>IF(B362&gt;$AJ$2,0,AQ361*(1+Assumptions!$B$43)^(1/12))</f>
        <v>0</v>
      </c>
      <c r="AR362" s="27">
        <f>IF(B362&gt;$AJ$2,0,(O361+R361)*Assumptions!$B$39/12*AQ361+AV362*Assumptions!$B$41/12)</f>
        <v>0</v>
      </c>
      <c r="AS362">
        <f t="shared" si="270"/>
        <v>0</v>
      </c>
      <c r="AT362" s="28">
        <f t="shared" si="271"/>
        <v>0</v>
      </c>
      <c r="AU362">
        <f t="shared" si="272"/>
        <v>0</v>
      </c>
      <c r="AV362" s="28">
        <f t="shared" si="273"/>
        <v>0</v>
      </c>
      <c r="AW362" s="28">
        <f t="shared" si="274"/>
        <v>0</v>
      </c>
      <c r="AX362" s="23">
        <f>HLOOKUP(YEAR(A362),Assumptions!$A$25:$AL$29,2,TRUE)/100</f>
        <v>1.1739999999999999E-2</v>
      </c>
      <c r="AY362" s="29">
        <f>1/(1+HLOOKUP(YEAR(A362),Assumptions!$A$18:$AL$20,3,TRUE))^(1/12)</f>
        <v>0.99902750864006262</v>
      </c>
      <c r="AZ362" s="26">
        <f t="shared" si="275"/>
        <v>0</v>
      </c>
      <c r="BA362">
        <f t="shared" si="276"/>
        <v>0</v>
      </c>
      <c r="BB362">
        <f t="shared" si="277"/>
        <v>0</v>
      </c>
      <c r="BC362">
        <f t="shared" si="278"/>
        <v>0</v>
      </c>
    </row>
    <row r="363" spans="1:55" x14ac:dyDescent="0.2">
      <c r="A363" s="3">
        <f t="shared" si="247"/>
        <v>53812</v>
      </c>
      <c r="B363">
        <f t="shared" si="243"/>
        <v>365</v>
      </c>
      <c r="C363">
        <f t="shared" si="286"/>
        <v>30.333333333333332</v>
      </c>
      <c r="D363">
        <f t="shared" si="287"/>
        <v>0</v>
      </c>
      <c r="E363">
        <f t="shared" si="244"/>
        <v>86</v>
      </c>
      <c r="F363">
        <f>IF(C363&gt;=$T$2,0,VLOOKUP($E363,'Mortality Table'!$A$3:$C$128,2+AF$2,FALSE))</f>
        <v>0</v>
      </c>
      <c r="G363">
        <f>F363*Assumptions!$B$1</f>
        <v>0</v>
      </c>
      <c r="H363">
        <f t="shared" si="248"/>
        <v>0</v>
      </c>
      <c r="I363">
        <f t="shared" si="281"/>
        <v>0</v>
      </c>
      <c r="J363">
        <f>IF(B363&gt;$AJ$2,0,HLOOKUP(C363,Assumptions!$A$6:$J$7,2,TRUE))</f>
        <v>0</v>
      </c>
      <c r="K363" s="4">
        <f t="shared" si="282"/>
        <v>0</v>
      </c>
      <c r="L363" s="4">
        <f t="shared" si="249"/>
        <v>0</v>
      </c>
      <c r="M363" s="4">
        <f t="shared" si="283"/>
        <v>0</v>
      </c>
      <c r="N363">
        <f t="shared" si="250"/>
        <v>0</v>
      </c>
      <c r="O363" s="21">
        <f t="shared" si="284"/>
        <v>0</v>
      </c>
      <c r="P363">
        <f>IF(B363&gt;$AJ$2,0,HLOOKUP(C363,Assumptions!$A$12:$J$13,2,TRUE))</f>
        <v>0</v>
      </c>
      <c r="Q363">
        <f t="shared" si="285"/>
        <v>0</v>
      </c>
      <c r="R363">
        <f t="shared" si="251"/>
        <v>0</v>
      </c>
      <c r="S363">
        <f t="shared" si="279"/>
        <v>0</v>
      </c>
      <c r="T363">
        <f t="shared" si="280"/>
        <v>0</v>
      </c>
      <c r="U363">
        <f t="shared" si="252"/>
        <v>0</v>
      </c>
      <c r="V363">
        <f t="shared" si="253"/>
        <v>0</v>
      </c>
      <c r="W363">
        <f t="shared" si="254"/>
        <v>0</v>
      </c>
      <c r="X363">
        <f t="shared" si="245"/>
        <v>0</v>
      </c>
      <c r="Y363">
        <f t="shared" si="255"/>
        <v>0</v>
      </c>
      <c r="Z363">
        <f t="shared" si="256"/>
        <v>0</v>
      </c>
      <c r="AA363">
        <f t="shared" si="257"/>
        <v>0</v>
      </c>
      <c r="AB363">
        <f t="shared" si="258"/>
        <v>0</v>
      </c>
      <c r="AC363" s="23">
        <f>IF(B363&gt;$AJ$2,0,HLOOKUP(YEAR(A363),Assumptions!$A$25:$AL$29,4,TRUE)/100)</f>
        <v>0</v>
      </c>
      <c r="AD363">
        <f t="shared" si="259"/>
        <v>0</v>
      </c>
      <c r="AE363">
        <f t="shared" si="260"/>
        <v>0</v>
      </c>
      <c r="AF363">
        <f t="shared" si="261"/>
        <v>0</v>
      </c>
      <c r="AG363">
        <f t="shared" si="262"/>
        <v>0</v>
      </c>
      <c r="AH363">
        <f t="shared" si="263"/>
        <v>0</v>
      </c>
      <c r="AI363">
        <f t="shared" si="264"/>
        <v>0</v>
      </c>
      <c r="AJ363">
        <f t="shared" si="265"/>
        <v>0</v>
      </c>
      <c r="AK363">
        <f t="shared" si="266"/>
        <v>0</v>
      </c>
      <c r="AL363">
        <f t="shared" si="267"/>
        <v>0</v>
      </c>
      <c r="AM363">
        <f t="shared" si="246"/>
        <v>0</v>
      </c>
      <c r="AN363">
        <f>IF($S$2=0,0,(SUMPRODUCT($K$2:$R$2,Assumptions!$B$34:$I$34)/$U$2+$J$2/$U$2*Assumptions!$A$34*G363)*K363*O362)</f>
        <v>0</v>
      </c>
      <c r="AO363">
        <f t="shared" si="268"/>
        <v>0</v>
      </c>
      <c r="AP363">
        <f t="shared" si="269"/>
        <v>0</v>
      </c>
      <c r="AQ363">
        <f>IF(B363&gt;$AJ$2,0,AQ362*(1+Assumptions!$B$43)^(1/12))</f>
        <v>0</v>
      </c>
      <c r="AR363" s="27">
        <f>IF(B363&gt;$AJ$2,0,(O362+R362)*Assumptions!$B$39/12*AQ362+AV363*Assumptions!$B$41/12)</f>
        <v>0</v>
      </c>
      <c r="AS363">
        <f t="shared" si="270"/>
        <v>0</v>
      </c>
      <c r="AT363" s="28">
        <f t="shared" si="271"/>
        <v>0</v>
      </c>
      <c r="AU363">
        <f t="shared" si="272"/>
        <v>0</v>
      </c>
      <c r="AV363" s="28">
        <f t="shared" si="273"/>
        <v>0</v>
      </c>
      <c r="AW363" s="28">
        <f t="shared" si="274"/>
        <v>0</v>
      </c>
      <c r="AX363" s="23">
        <f>HLOOKUP(YEAR(A363),Assumptions!$A$25:$AL$29,2,TRUE)/100</f>
        <v>1.1739999999999999E-2</v>
      </c>
      <c r="AY363" s="29">
        <f>1/(1+HLOOKUP(YEAR(A363),Assumptions!$A$18:$AL$20,3,TRUE))^(1/12)</f>
        <v>0.99902750864006262</v>
      </c>
      <c r="AZ363" s="26">
        <f t="shared" si="275"/>
        <v>0</v>
      </c>
      <c r="BA363">
        <f t="shared" si="276"/>
        <v>0</v>
      </c>
      <c r="BB363">
        <f t="shared" si="277"/>
        <v>0</v>
      </c>
      <c r="BC363">
        <f t="shared" si="278"/>
        <v>0</v>
      </c>
    </row>
    <row r="364" spans="1:55" x14ac:dyDescent="0.2">
      <c r="A364" s="3">
        <f t="shared" si="247"/>
        <v>53843</v>
      </c>
      <c r="B364">
        <f t="shared" si="243"/>
        <v>366</v>
      </c>
      <c r="C364">
        <f t="shared" si="286"/>
        <v>30.416666666666668</v>
      </c>
      <c r="D364">
        <f t="shared" si="287"/>
        <v>0</v>
      </c>
      <c r="E364">
        <f t="shared" si="244"/>
        <v>86</v>
      </c>
      <c r="F364">
        <f>IF(C364&gt;=$T$2,0,VLOOKUP($E364,'Mortality Table'!$A$3:$C$128,2+AF$2,FALSE))</f>
        <v>0</v>
      </c>
      <c r="G364">
        <f>F364*Assumptions!$B$1</f>
        <v>0</v>
      </c>
      <c r="H364">
        <f t="shared" si="248"/>
        <v>0</v>
      </c>
      <c r="I364">
        <f t="shared" si="281"/>
        <v>0</v>
      </c>
      <c r="J364">
        <f>IF(B364&gt;$AJ$2,0,HLOOKUP(C364,Assumptions!$A$6:$J$7,2,TRUE))</f>
        <v>0</v>
      </c>
      <c r="K364" s="4">
        <f t="shared" si="282"/>
        <v>0</v>
      </c>
      <c r="L364" s="4">
        <f t="shared" si="249"/>
        <v>0</v>
      </c>
      <c r="M364" s="4">
        <f t="shared" si="283"/>
        <v>0</v>
      </c>
      <c r="N364">
        <f t="shared" si="250"/>
        <v>0</v>
      </c>
      <c r="O364" s="21">
        <f t="shared" si="284"/>
        <v>0</v>
      </c>
      <c r="P364">
        <f>IF(B364&gt;$AJ$2,0,HLOOKUP(C364,Assumptions!$A$12:$J$13,2,TRUE))</f>
        <v>0</v>
      </c>
      <c r="Q364">
        <f t="shared" si="285"/>
        <v>0</v>
      </c>
      <c r="R364">
        <f t="shared" si="251"/>
        <v>0</v>
      </c>
      <c r="S364">
        <f t="shared" si="279"/>
        <v>0</v>
      </c>
      <c r="T364">
        <f t="shared" si="280"/>
        <v>0</v>
      </c>
      <c r="U364">
        <f t="shared" si="252"/>
        <v>0</v>
      </c>
      <c r="V364">
        <f t="shared" si="253"/>
        <v>0</v>
      </c>
      <c r="W364">
        <f t="shared" si="254"/>
        <v>0</v>
      </c>
      <c r="X364">
        <f t="shared" si="245"/>
        <v>0</v>
      </c>
      <c r="Y364">
        <f t="shared" si="255"/>
        <v>0</v>
      </c>
      <c r="Z364">
        <f t="shared" si="256"/>
        <v>0</v>
      </c>
      <c r="AA364">
        <f t="shared" si="257"/>
        <v>0</v>
      </c>
      <c r="AB364">
        <f t="shared" si="258"/>
        <v>0</v>
      </c>
      <c r="AC364" s="23">
        <f>IF(B364&gt;$AJ$2,0,HLOOKUP(YEAR(A364),Assumptions!$A$25:$AL$29,4,TRUE)/100)</f>
        <v>0</v>
      </c>
      <c r="AD364">
        <f t="shared" si="259"/>
        <v>0</v>
      </c>
      <c r="AE364">
        <f t="shared" si="260"/>
        <v>0</v>
      </c>
      <c r="AF364">
        <f t="shared" si="261"/>
        <v>0</v>
      </c>
      <c r="AG364">
        <f t="shared" si="262"/>
        <v>0</v>
      </c>
      <c r="AH364">
        <f t="shared" si="263"/>
        <v>0</v>
      </c>
      <c r="AI364">
        <f t="shared" si="264"/>
        <v>0</v>
      </c>
      <c r="AJ364">
        <f t="shared" si="265"/>
        <v>0</v>
      </c>
      <c r="AK364">
        <f t="shared" si="266"/>
        <v>0</v>
      </c>
      <c r="AL364">
        <f t="shared" si="267"/>
        <v>0</v>
      </c>
      <c r="AM364">
        <f t="shared" si="246"/>
        <v>0</v>
      </c>
      <c r="AN364">
        <f>IF($S$2=0,0,(SUMPRODUCT($K$2:$R$2,Assumptions!$B$34:$I$34)/$U$2+$J$2/$U$2*Assumptions!$A$34*G364)*K364*O363)</f>
        <v>0</v>
      </c>
      <c r="AO364">
        <f t="shared" si="268"/>
        <v>0</v>
      </c>
      <c r="AP364">
        <f t="shared" si="269"/>
        <v>0</v>
      </c>
      <c r="AQ364">
        <f>IF(B364&gt;$AJ$2,0,AQ363*(1+Assumptions!$B$43)^(1/12))</f>
        <v>0</v>
      </c>
      <c r="AR364" s="27">
        <f>IF(B364&gt;$AJ$2,0,(O363+R363)*Assumptions!$B$39/12*AQ363+AV364*Assumptions!$B$41/12)</f>
        <v>0</v>
      </c>
      <c r="AS364">
        <f t="shared" si="270"/>
        <v>0</v>
      </c>
      <c r="AT364" s="28">
        <f t="shared" si="271"/>
        <v>0</v>
      </c>
      <c r="AU364">
        <f t="shared" si="272"/>
        <v>0</v>
      </c>
      <c r="AV364" s="28">
        <f t="shared" si="273"/>
        <v>0</v>
      </c>
      <c r="AW364" s="28">
        <f t="shared" si="274"/>
        <v>0</v>
      </c>
      <c r="AX364" s="23">
        <f>HLOOKUP(YEAR(A364),Assumptions!$A$25:$AL$29,2,TRUE)/100</f>
        <v>1.1739999999999999E-2</v>
      </c>
      <c r="AY364" s="29">
        <f>1/(1+HLOOKUP(YEAR(A364),Assumptions!$A$18:$AL$20,3,TRUE))^(1/12)</f>
        <v>0.99902750864006262</v>
      </c>
      <c r="AZ364" s="26">
        <f t="shared" si="275"/>
        <v>0</v>
      </c>
      <c r="BA364">
        <f t="shared" si="276"/>
        <v>0</v>
      </c>
      <c r="BB364">
        <f t="shared" si="277"/>
        <v>0</v>
      </c>
      <c r="BC364">
        <f t="shared" si="278"/>
        <v>0</v>
      </c>
    </row>
    <row r="365" spans="1:55" x14ac:dyDescent="0.2">
      <c r="A365" s="3">
        <f t="shared" si="247"/>
        <v>53873</v>
      </c>
      <c r="B365">
        <f t="shared" si="243"/>
        <v>367</v>
      </c>
      <c r="C365">
        <f t="shared" si="286"/>
        <v>30.5</v>
      </c>
      <c r="D365">
        <f t="shared" si="287"/>
        <v>0</v>
      </c>
      <c r="E365">
        <f t="shared" si="244"/>
        <v>86</v>
      </c>
      <c r="F365">
        <f>IF(C365&gt;=$T$2,0,VLOOKUP($E365,'Mortality Table'!$A$3:$C$128,2+AF$2,FALSE))</f>
        <v>0</v>
      </c>
      <c r="G365">
        <f>F365*Assumptions!$B$1</f>
        <v>0</v>
      </c>
      <c r="H365">
        <f t="shared" si="248"/>
        <v>0</v>
      </c>
      <c r="I365">
        <f t="shared" si="281"/>
        <v>0</v>
      </c>
      <c r="J365">
        <f>IF(B365&gt;$AJ$2,0,HLOOKUP(C365,Assumptions!$A$6:$J$7,2,TRUE))</f>
        <v>0</v>
      </c>
      <c r="K365" s="4">
        <f t="shared" si="282"/>
        <v>0</v>
      </c>
      <c r="L365" s="4">
        <f t="shared" si="249"/>
        <v>0</v>
      </c>
      <c r="M365" s="4">
        <f t="shared" si="283"/>
        <v>0</v>
      </c>
      <c r="N365">
        <f t="shared" si="250"/>
        <v>0</v>
      </c>
      <c r="O365" s="21">
        <f t="shared" si="284"/>
        <v>0</v>
      </c>
      <c r="P365">
        <f>IF(B365&gt;$AJ$2,0,HLOOKUP(C365,Assumptions!$A$12:$J$13,2,TRUE))</f>
        <v>0</v>
      </c>
      <c r="Q365">
        <f t="shared" si="285"/>
        <v>0</v>
      </c>
      <c r="R365">
        <f t="shared" si="251"/>
        <v>0</v>
      </c>
      <c r="S365">
        <f t="shared" si="279"/>
        <v>0</v>
      </c>
      <c r="T365">
        <f t="shared" si="280"/>
        <v>0</v>
      </c>
      <c r="U365">
        <f t="shared" si="252"/>
        <v>0</v>
      </c>
      <c r="V365">
        <f t="shared" si="253"/>
        <v>0</v>
      </c>
      <c r="W365">
        <f t="shared" si="254"/>
        <v>0</v>
      </c>
      <c r="X365">
        <f t="shared" si="245"/>
        <v>0</v>
      </c>
      <c r="Y365">
        <f t="shared" si="255"/>
        <v>0</v>
      </c>
      <c r="Z365">
        <f t="shared" si="256"/>
        <v>0</v>
      </c>
      <c r="AA365">
        <f t="shared" si="257"/>
        <v>0</v>
      </c>
      <c r="AB365">
        <f t="shared" si="258"/>
        <v>0</v>
      </c>
      <c r="AC365" s="23">
        <f>IF(B365&gt;$AJ$2,0,HLOOKUP(YEAR(A365),Assumptions!$A$25:$AL$29,4,TRUE)/100)</f>
        <v>0</v>
      </c>
      <c r="AD365">
        <f t="shared" si="259"/>
        <v>0</v>
      </c>
      <c r="AE365">
        <f t="shared" si="260"/>
        <v>0</v>
      </c>
      <c r="AF365">
        <f t="shared" si="261"/>
        <v>0</v>
      </c>
      <c r="AG365">
        <f t="shared" si="262"/>
        <v>0</v>
      </c>
      <c r="AH365">
        <f t="shared" si="263"/>
        <v>0</v>
      </c>
      <c r="AI365">
        <f t="shared" si="264"/>
        <v>0</v>
      </c>
      <c r="AJ365">
        <f t="shared" si="265"/>
        <v>0</v>
      </c>
      <c r="AK365">
        <f t="shared" si="266"/>
        <v>0</v>
      </c>
      <c r="AL365">
        <f t="shared" si="267"/>
        <v>0</v>
      </c>
      <c r="AM365">
        <f t="shared" si="246"/>
        <v>0</v>
      </c>
      <c r="AN365">
        <f>IF($S$2=0,0,(SUMPRODUCT($K$2:$R$2,Assumptions!$B$34:$I$34)/$U$2+$J$2/$U$2*Assumptions!$A$34*G365)*K365*O364)</f>
        <v>0</v>
      </c>
      <c r="AO365">
        <f t="shared" si="268"/>
        <v>0</v>
      </c>
      <c r="AP365">
        <f t="shared" si="269"/>
        <v>0</v>
      </c>
      <c r="AQ365">
        <f>IF(B365&gt;$AJ$2,0,AQ364*(1+Assumptions!$B$43)^(1/12))</f>
        <v>0</v>
      </c>
      <c r="AR365" s="27">
        <f>IF(B365&gt;$AJ$2,0,(O364+R364)*Assumptions!$B$39/12*AQ364+AV365*Assumptions!$B$41/12)</f>
        <v>0</v>
      </c>
      <c r="AS365">
        <f t="shared" si="270"/>
        <v>0</v>
      </c>
      <c r="AT365" s="28">
        <f t="shared" si="271"/>
        <v>0</v>
      </c>
      <c r="AU365">
        <f t="shared" si="272"/>
        <v>0</v>
      </c>
      <c r="AV365" s="28">
        <f t="shared" si="273"/>
        <v>0</v>
      </c>
      <c r="AW365" s="28">
        <f t="shared" si="274"/>
        <v>0</v>
      </c>
      <c r="AX365" s="23">
        <f>HLOOKUP(YEAR(A365),Assumptions!$A$25:$AL$29,2,TRUE)/100</f>
        <v>1.1739999999999999E-2</v>
      </c>
      <c r="AY365" s="29">
        <f>1/(1+HLOOKUP(YEAR(A365),Assumptions!$A$18:$AL$20,3,TRUE))^(1/12)</f>
        <v>0.99902750864006262</v>
      </c>
      <c r="AZ365" s="26">
        <f t="shared" si="275"/>
        <v>0</v>
      </c>
      <c r="BA365">
        <f t="shared" si="276"/>
        <v>0</v>
      </c>
      <c r="BB365">
        <f t="shared" si="277"/>
        <v>0</v>
      </c>
      <c r="BC365">
        <f t="shared" si="278"/>
        <v>0</v>
      </c>
    </row>
    <row r="366" spans="1:55" x14ac:dyDescent="0.2">
      <c r="A366" s="3">
        <f t="shared" si="247"/>
        <v>53904</v>
      </c>
      <c r="B366">
        <f t="shared" si="243"/>
        <v>368</v>
      </c>
      <c r="C366">
        <f t="shared" si="286"/>
        <v>30.583333333333332</v>
      </c>
      <c r="D366">
        <f t="shared" si="287"/>
        <v>0</v>
      </c>
      <c r="E366">
        <f t="shared" si="244"/>
        <v>86</v>
      </c>
      <c r="F366">
        <f>IF(C366&gt;=$T$2,0,VLOOKUP($E366,'Mortality Table'!$A$3:$C$128,2+AF$2,FALSE))</f>
        <v>0</v>
      </c>
      <c r="G366">
        <f>F366*Assumptions!$B$1</f>
        <v>0</v>
      </c>
      <c r="H366">
        <f t="shared" si="248"/>
        <v>0</v>
      </c>
      <c r="I366">
        <f t="shared" si="281"/>
        <v>0</v>
      </c>
      <c r="J366">
        <f>IF(B366&gt;$AJ$2,0,HLOOKUP(C366,Assumptions!$A$6:$J$7,2,TRUE))</f>
        <v>0</v>
      </c>
      <c r="K366" s="4">
        <f t="shared" si="282"/>
        <v>0</v>
      </c>
      <c r="L366" s="4">
        <f t="shared" si="249"/>
        <v>0</v>
      </c>
      <c r="M366" s="4">
        <f t="shared" si="283"/>
        <v>0</v>
      </c>
      <c r="N366">
        <f t="shared" si="250"/>
        <v>0</v>
      </c>
      <c r="O366" s="21">
        <f t="shared" si="284"/>
        <v>0</v>
      </c>
      <c r="P366">
        <f>IF(B366&gt;$AJ$2,0,HLOOKUP(C366,Assumptions!$A$12:$J$13,2,TRUE))</f>
        <v>0</v>
      </c>
      <c r="Q366">
        <f t="shared" si="285"/>
        <v>0</v>
      </c>
      <c r="R366">
        <f t="shared" si="251"/>
        <v>0</v>
      </c>
      <c r="S366">
        <f t="shared" si="279"/>
        <v>0</v>
      </c>
      <c r="T366">
        <f t="shared" si="280"/>
        <v>0</v>
      </c>
      <c r="U366">
        <f t="shared" si="252"/>
        <v>0</v>
      </c>
      <c r="V366">
        <f t="shared" si="253"/>
        <v>0</v>
      </c>
      <c r="W366">
        <f t="shared" si="254"/>
        <v>0</v>
      </c>
      <c r="X366">
        <f t="shared" si="245"/>
        <v>0</v>
      </c>
      <c r="Y366">
        <f t="shared" si="255"/>
        <v>0</v>
      </c>
      <c r="Z366">
        <f t="shared" si="256"/>
        <v>0</v>
      </c>
      <c r="AA366">
        <f t="shared" si="257"/>
        <v>0</v>
      </c>
      <c r="AB366">
        <f t="shared" si="258"/>
        <v>0</v>
      </c>
      <c r="AC366" s="23">
        <f>IF(B366&gt;$AJ$2,0,HLOOKUP(YEAR(A366),Assumptions!$A$25:$AL$29,4,TRUE)/100)</f>
        <v>0</v>
      </c>
      <c r="AD366">
        <f t="shared" si="259"/>
        <v>0</v>
      </c>
      <c r="AE366">
        <f t="shared" si="260"/>
        <v>0</v>
      </c>
      <c r="AF366">
        <f t="shared" si="261"/>
        <v>0</v>
      </c>
      <c r="AG366">
        <f t="shared" si="262"/>
        <v>0</v>
      </c>
      <c r="AH366">
        <f t="shared" si="263"/>
        <v>0</v>
      </c>
      <c r="AI366">
        <f t="shared" si="264"/>
        <v>0</v>
      </c>
      <c r="AJ366">
        <f t="shared" si="265"/>
        <v>0</v>
      </c>
      <c r="AK366">
        <f t="shared" si="266"/>
        <v>0</v>
      </c>
      <c r="AL366">
        <f t="shared" si="267"/>
        <v>0</v>
      </c>
      <c r="AM366">
        <f t="shared" si="246"/>
        <v>0</v>
      </c>
      <c r="AN366">
        <f>IF($S$2=0,0,(SUMPRODUCT($K$2:$R$2,Assumptions!$B$34:$I$34)/$U$2+$J$2/$U$2*Assumptions!$A$34*G366)*K366*O365)</f>
        <v>0</v>
      </c>
      <c r="AO366">
        <f t="shared" si="268"/>
        <v>0</v>
      </c>
      <c r="AP366">
        <f t="shared" si="269"/>
        <v>0</v>
      </c>
      <c r="AQ366">
        <f>IF(B366&gt;$AJ$2,0,AQ365*(1+Assumptions!$B$43)^(1/12))</f>
        <v>0</v>
      </c>
      <c r="AR366" s="27">
        <f>IF(B366&gt;$AJ$2,0,(O365+R365)*Assumptions!$B$39/12*AQ365+AV366*Assumptions!$B$41/12)</f>
        <v>0</v>
      </c>
      <c r="AS366">
        <f t="shared" si="270"/>
        <v>0</v>
      </c>
      <c r="AT366" s="28">
        <f t="shared" si="271"/>
        <v>0</v>
      </c>
      <c r="AU366">
        <f t="shared" si="272"/>
        <v>0</v>
      </c>
      <c r="AV366" s="28">
        <f t="shared" si="273"/>
        <v>0</v>
      </c>
      <c r="AW366" s="28">
        <f t="shared" si="274"/>
        <v>0</v>
      </c>
      <c r="AX366" s="23">
        <f>HLOOKUP(YEAR(A366),Assumptions!$A$25:$AL$29,2,TRUE)/100</f>
        <v>1.1739999999999999E-2</v>
      </c>
      <c r="AY366" s="29">
        <f>1/(1+HLOOKUP(YEAR(A366),Assumptions!$A$18:$AL$20,3,TRUE))^(1/12)</f>
        <v>0.99902750864006262</v>
      </c>
      <c r="AZ366" s="26">
        <f t="shared" si="275"/>
        <v>0</v>
      </c>
      <c r="BA366">
        <f t="shared" si="276"/>
        <v>0</v>
      </c>
      <c r="BB366">
        <f t="shared" si="277"/>
        <v>0</v>
      </c>
      <c r="BC366">
        <f t="shared" si="278"/>
        <v>0</v>
      </c>
    </row>
    <row r="367" spans="1:55" x14ac:dyDescent="0.2">
      <c r="A367" s="3">
        <f t="shared" si="247"/>
        <v>53935</v>
      </c>
      <c r="B367">
        <f t="shared" si="243"/>
        <v>369</v>
      </c>
      <c r="C367">
        <f t="shared" si="286"/>
        <v>30.666666666666668</v>
      </c>
      <c r="D367">
        <f t="shared" si="287"/>
        <v>0</v>
      </c>
      <c r="E367">
        <f t="shared" si="244"/>
        <v>86</v>
      </c>
      <c r="F367">
        <f>IF(C367&gt;=$T$2,0,VLOOKUP($E367,'Mortality Table'!$A$3:$C$128,2+AF$2,FALSE))</f>
        <v>0</v>
      </c>
      <c r="G367">
        <f>F367*Assumptions!$B$1</f>
        <v>0</v>
      </c>
      <c r="H367">
        <f t="shared" si="248"/>
        <v>0</v>
      </c>
      <c r="I367">
        <f t="shared" si="281"/>
        <v>0</v>
      </c>
      <c r="J367">
        <f>IF(B367&gt;$AJ$2,0,HLOOKUP(C367,Assumptions!$A$6:$J$7,2,TRUE))</f>
        <v>0</v>
      </c>
      <c r="K367" s="4">
        <f t="shared" si="282"/>
        <v>0</v>
      </c>
      <c r="L367" s="4">
        <f t="shared" si="249"/>
        <v>0</v>
      </c>
      <c r="M367" s="4">
        <f t="shared" si="283"/>
        <v>0</v>
      </c>
      <c r="N367">
        <f t="shared" si="250"/>
        <v>0</v>
      </c>
      <c r="O367" s="21">
        <f t="shared" si="284"/>
        <v>0</v>
      </c>
      <c r="P367">
        <f>IF(B367&gt;$AJ$2,0,HLOOKUP(C367,Assumptions!$A$12:$J$13,2,TRUE))</f>
        <v>0</v>
      </c>
      <c r="Q367">
        <f t="shared" si="285"/>
        <v>0</v>
      </c>
      <c r="R367">
        <f t="shared" si="251"/>
        <v>0</v>
      </c>
      <c r="S367">
        <f t="shared" si="279"/>
        <v>0</v>
      </c>
      <c r="T367">
        <f t="shared" si="280"/>
        <v>0</v>
      </c>
      <c r="U367">
        <f t="shared" si="252"/>
        <v>0</v>
      </c>
      <c r="V367">
        <f t="shared" si="253"/>
        <v>0</v>
      </c>
      <c r="W367">
        <f t="shared" si="254"/>
        <v>0</v>
      </c>
      <c r="X367">
        <f t="shared" si="245"/>
        <v>0</v>
      </c>
      <c r="Y367">
        <f t="shared" si="255"/>
        <v>0</v>
      </c>
      <c r="Z367">
        <f t="shared" si="256"/>
        <v>0</v>
      </c>
      <c r="AA367">
        <f t="shared" si="257"/>
        <v>0</v>
      </c>
      <c r="AB367">
        <f t="shared" si="258"/>
        <v>0</v>
      </c>
      <c r="AC367" s="23">
        <f>IF(B367&gt;$AJ$2,0,HLOOKUP(YEAR(A367),Assumptions!$A$25:$AL$29,4,TRUE)/100)</f>
        <v>0</v>
      </c>
      <c r="AD367">
        <f t="shared" si="259"/>
        <v>0</v>
      </c>
      <c r="AE367">
        <f t="shared" si="260"/>
        <v>0</v>
      </c>
      <c r="AF367">
        <f t="shared" si="261"/>
        <v>0</v>
      </c>
      <c r="AG367">
        <f t="shared" si="262"/>
        <v>0</v>
      </c>
      <c r="AH367">
        <f t="shared" si="263"/>
        <v>0</v>
      </c>
      <c r="AI367">
        <f t="shared" si="264"/>
        <v>0</v>
      </c>
      <c r="AJ367">
        <f t="shared" si="265"/>
        <v>0</v>
      </c>
      <c r="AK367">
        <f t="shared" si="266"/>
        <v>0</v>
      </c>
      <c r="AL367">
        <f t="shared" si="267"/>
        <v>0</v>
      </c>
      <c r="AM367">
        <f t="shared" si="246"/>
        <v>0</v>
      </c>
      <c r="AN367">
        <f>IF($S$2=0,0,(SUMPRODUCT($K$2:$R$2,Assumptions!$B$34:$I$34)/$U$2+$J$2/$U$2*Assumptions!$A$34*G367)*K367*O366)</f>
        <v>0</v>
      </c>
      <c r="AO367">
        <f t="shared" si="268"/>
        <v>0</v>
      </c>
      <c r="AP367">
        <f t="shared" si="269"/>
        <v>0</v>
      </c>
      <c r="AQ367">
        <f>IF(B367&gt;$AJ$2,0,AQ366*(1+Assumptions!$B$43)^(1/12))</f>
        <v>0</v>
      </c>
      <c r="AR367" s="27">
        <f>IF(B367&gt;$AJ$2,0,(O366+R366)*Assumptions!$B$39/12*AQ366+AV367*Assumptions!$B$41/12)</f>
        <v>0</v>
      </c>
      <c r="AS367">
        <f t="shared" si="270"/>
        <v>0</v>
      </c>
      <c r="AT367" s="28">
        <f t="shared" si="271"/>
        <v>0</v>
      </c>
      <c r="AU367">
        <f t="shared" si="272"/>
        <v>0</v>
      </c>
      <c r="AV367" s="28">
        <f t="shared" si="273"/>
        <v>0</v>
      </c>
      <c r="AW367" s="28">
        <f t="shared" si="274"/>
        <v>0</v>
      </c>
      <c r="AX367" s="23">
        <f>HLOOKUP(YEAR(A367),Assumptions!$A$25:$AL$29,2,TRUE)/100</f>
        <v>1.1739999999999999E-2</v>
      </c>
      <c r="AY367" s="29">
        <f>1/(1+HLOOKUP(YEAR(A367),Assumptions!$A$18:$AL$20,3,TRUE))^(1/12)</f>
        <v>0.99902750864006262</v>
      </c>
      <c r="AZ367" s="26">
        <f t="shared" si="275"/>
        <v>0</v>
      </c>
      <c r="BA367">
        <f t="shared" si="276"/>
        <v>0</v>
      </c>
      <c r="BB367">
        <f t="shared" si="277"/>
        <v>0</v>
      </c>
      <c r="BC367">
        <f t="shared" si="278"/>
        <v>0</v>
      </c>
    </row>
    <row r="368" spans="1:55" x14ac:dyDescent="0.2">
      <c r="A368" s="3">
        <f t="shared" si="247"/>
        <v>53965</v>
      </c>
      <c r="B368">
        <f t="shared" si="243"/>
        <v>370</v>
      </c>
      <c r="C368">
        <f t="shared" si="286"/>
        <v>30.75</v>
      </c>
      <c r="D368">
        <f t="shared" si="287"/>
        <v>0</v>
      </c>
      <c r="E368">
        <f t="shared" si="244"/>
        <v>86</v>
      </c>
      <c r="F368">
        <f>IF(C368&gt;=$T$2,0,VLOOKUP($E368,'Mortality Table'!$A$3:$C$128,2+AF$2,FALSE))</f>
        <v>0</v>
      </c>
      <c r="G368">
        <f>F368*Assumptions!$B$1</f>
        <v>0</v>
      </c>
      <c r="H368">
        <f t="shared" si="248"/>
        <v>0</v>
      </c>
      <c r="I368">
        <f t="shared" si="281"/>
        <v>0</v>
      </c>
      <c r="J368">
        <f>IF(B368&gt;$AJ$2,0,HLOOKUP(C368,Assumptions!$A$6:$J$7,2,TRUE))</f>
        <v>0</v>
      </c>
      <c r="K368" s="4">
        <f t="shared" si="282"/>
        <v>0</v>
      </c>
      <c r="L368" s="4">
        <f t="shared" si="249"/>
        <v>0</v>
      </c>
      <c r="M368" s="4">
        <f t="shared" si="283"/>
        <v>0</v>
      </c>
      <c r="N368">
        <f t="shared" si="250"/>
        <v>0</v>
      </c>
      <c r="O368" s="21">
        <f t="shared" si="284"/>
        <v>0</v>
      </c>
      <c r="P368">
        <f>IF(B368&gt;$AJ$2,0,HLOOKUP(C368,Assumptions!$A$12:$J$13,2,TRUE))</f>
        <v>0</v>
      </c>
      <c r="Q368">
        <f t="shared" si="285"/>
        <v>0</v>
      </c>
      <c r="R368">
        <f t="shared" si="251"/>
        <v>0</v>
      </c>
      <c r="S368">
        <f t="shared" si="279"/>
        <v>0</v>
      </c>
      <c r="T368">
        <f t="shared" si="280"/>
        <v>0</v>
      </c>
      <c r="U368">
        <f t="shared" si="252"/>
        <v>0</v>
      </c>
      <c r="V368">
        <f t="shared" si="253"/>
        <v>0</v>
      </c>
      <c r="W368">
        <f t="shared" si="254"/>
        <v>0</v>
      </c>
      <c r="X368">
        <f t="shared" si="245"/>
        <v>0</v>
      </c>
      <c r="Y368">
        <f t="shared" si="255"/>
        <v>0</v>
      </c>
      <c r="Z368">
        <f t="shared" si="256"/>
        <v>0</v>
      </c>
      <c r="AA368">
        <f t="shared" si="257"/>
        <v>0</v>
      </c>
      <c r="AB368">
        <f t="shared" si="258"/>
        <v>0</v>
      </c>
      <c r="AC368" s="23">
        <f>IF(B368&gt;$AJ$2,0,HLOOKUP(YEAR(A368),Assumptions!$A$25:$AL$29,4,TRUE)/100)</f>
        <v>0</v>
      </c>
      <c r="AD368">
        <f t="shared" si="259"/>
        <v>0</v>
      </c>
      <c r="AE368">
        <f t="shared" si="260"/>
        <v>0</v>
      </c>
      <c r="AF368">
        <f t="shared" si="261"/>
        <v>0</v>
      </c>
      <c r="AG368">
        <f t="shared" si="262"/>
        <v>0</v>
      </c>
      <c r="AH368">
        <f t="shared" si="263"/>
        <v>0</v>
      </c>
      <c r="AI368">
        <f t="shared" si="264"/>
        <v>0</v>
      </c>
      <c r="AJ368">
        <f t="shared" si="265"/>
        <v>0</v>
      </c>
      <c r="AK368">
        <f t="shared" si="266"/>
        <v>0</v>
      </c>
      <c r="AL368">
        <f t="shared" si="267"/>
        <v>0</v>
      </c>
      <c r="AM368">
        <f t="shared" si="246"/>
        <v>0</v>
      </c>
      <c r="AN368">
        <f>IF($S$2=0,0,(SUMPRODUCT($K$2:$R$2,Assumptions!$B$34:$I$34)/$U$2+$J$2/$U$2*Assumptions!$A$34*G368)*K368*O367)</f>
        <v>0</v>
      </c>
      <c r="AO368">
        <f t="shared" si="268"/>
        <v>0</v>
      </c>
      <c r="AP368">
        <f t="shared" si="269"/>
        <v>0</v>
      </c>
      <c r="AQ368">
        <f>IF(B368&gt;$AJ$2,0,AQ367*(1+Assumptions!$B$43)^(1/12))</f>
        <v>0</v>
      </c>
      <c r="AR368" s="27">
        <f>IF(B368&gt;$AJ$2,0,(O367+R367)*Assumptions!$B$39/12*AQ367+AV368*Assumptions!$B$41/12)</f>
        <v>0</v>
      </c>
      <c r="AS368">
        <f t="shared" si="270"/>
        <v>0</v>
      </c>
      <c r="AT368" s="28">
        <f t="shared" si="271"/>
        <v>0</v>
      </c>
      <c r="AU368">
        <f t="shared" si="272"/>
        <v>0</v>
      </c>
      <c r="AV368" s="28">
        <f t="shared" si="273"/>
        <v>0</v>
      </c>
      <c r="AW368" s="28">
        <f t="shared" si="274"/>
        <v>0</v>
      </c>
      <c r="AX368" s="23">
        <f>HLOOKUP(YEAR(A368),Assumptions!$A$25:$AL$29,2,TRUE)/100</f>
        <v>1.1739999999999999E-2</v>
      </c>
      <c r="AY368" s="29">
        <f>1/(1+HLOOKUP(YEAR(A368),Assumptions!$A$18:$AL$20,3,TRUE))^(1/12)</f>
        <v>0.99902750864006262</v>
      </c>
      <c r="AZ368" s="26">
        <f t="shared" si="275"/>
        <v>0</v>
      </c>
      <c r="BA368">
        <f t="shared" si="276"/>
        <v>0</v>
      </c>
      <c r="BB368">
        <f t="shared" si="277"/>
        <v>0</v>
      </c>
      <c r="BC368">
        <f t="shared" si="278"/>
        <v>0</v>
      </c>
    </row>
    <row r="369" spans="1:55" x14ac:dyDescent="0.2">
      <c r="A369" s="3">
        <f t="shared" si="247"/>
        <v>53996</v>
      </c>
      <c r="B369">
        <f t="shared" si="243"/>
        <v>371</v>
      </c>
      <c r="C369">
        <f t="shared" si="286"/>
        <v>30.833333333333332</v>
      </c>
      <c r="D369">
        <f t="shared" si="287"/>
        <v>0</v>
      </c>
      <c r="E369">
        <f t="shared" si="244"/>
        <v>86</v>
      </c>
      <c r="F369">
        <f>IF(C369&gt;=$T$2,0,VLOOKUP($E369,'Mortality Table'!$A$3:$C$128,2+AF$2,FALSE))</f>
        <v>0</v>
      </c>
      <c r="G369">
        <f>F369*Assumptions!$B$1</f>
        <v>0</v>
      </c>
      <c r="H369">
        <f t="shared" si="248"/>
        <v>0</v>
      </c>
      <c r="I369">
        <f t="shared" si="281"/>
        <v>0</v>
      </c>
      <c r="J369">
        <f>IF(B369&gt;$AJ$2,0,HLOOKUP(C369,Assumptions!$A$6:$J$7,2,TRUE))</f>
        <v>0</v>
      </c>
      <c r="K369" s="4">
        <f t="shared" si="282"/>
        <v>0</v>
      </c>
      <c r="L369" s="4">
        <f t="shared" si="249"/>
        <v>0</v>
      </c>
      <c r="M369" s="4">
        <f t="shared" si="283"/>
        <v>0</v>
      </c>
      <c r="N369">
        <f t="shared" si="250"/>
        <v>0</v>
      </c>
      <c r="O369" s="21">
        <f t="shared" si="284"/>
        <v>0</v>
      </c>
      <c r="P369">
        <f>IF(B369&gt;$AJ$2,0,HLOOKUP(C369,Assumptions!$A$12:$J$13,2,TRUE))</f>
        <v>0</v>
      </c>
      <c r="Q369">
        <f t="shared" si="285"/>
        <v>0</v>
      </c>
      <c r="R369">
        <f t="shared" si="251"/>
        <v>0</v>
      </c>
      <c r="S369">
        <f t="shared" si="279"/>
        <v>0</v>
      </c>
      <c r="T369">
        <f t="shared" si="280"/>
        <v>0</v>
      </c>
      <c r="U369">
        <f t="shared" si="252"/>
        <v>0</v>
      </c>
      <c r="V369">
        <f t="shared" si="253"/>
        <v>0</v>
      </c>
      <c r="W369">
        <f t="shared" si="254"/>
        <v>0</v>
      </c>
      <c r="X369">
        <f t="shared" si="245"/>
        <v>0</v>
      </c>
      <c r="Y369">
        <f t="shared" si="255"/>
        <v>0</v>
      </c>
      <c r="Z369">
        <f t="shared" si="256"/>
        <v>0</v>
      </c>
      <c r="AA369">
        <f t="shared" si="257"/>
        <v>0</v>
      </c>
      <c r="AB369">
        <f t="shared" si="258"/>
        <v>0</v>
      </c>
      <c r="AC369" s="23">
        <f>IF(B369&gt;$AJ$2,0,HLOOKUP(YEAR(A369),Assumptions!$A$25:$AL$29,4,TRUE)/100)</f>
        <v>0</v>
      </c>
      <c r="AD369">
        <f t="shared" si="259"/>
        <v>0</v>
      </c>
      <c r="AE369">
        <f t="shared" si="260"/>
        <v>0</v>
      </c>
      <c r="AF369">
        <f t="shared" si="261"/>
        <v>0</v>
      </c>
      <c r="AG369">
        <f t="shared" si="262"/>
        <v>0</v>
      </c>
      <c r="AH369">
        <f t="shared" si="263"/>
        <v>0</v>
      </c>
      <c r="AI369">
        <f t="shared" si="264"/>
        <v>0</v>
      </c>
      <c r="AJ369">
        <f t="shared" si="265"/>
        <v>0</v>
      </c>
      <c r="AK369">
        <f t="shared" si="266"/>
        <v>0</v>
      </c>
      <c r="AL369">
        <f t="shared" si="267"/>
        <v>0</v>
      </c>
      <c r="AM369">
        <f t="shared" si="246"/>
        <v>0</v>
      </c>
      <c r="AN369">
        <f>IF($S$2=0,0,(SUMPRODUCT($K$2:$R$2,Assumptions!$B$34:$I$34)/$U$2+$J$2/$U$2*Assumptions!$A$34*G369)*K369*O368)</f>
        <v>0</v>
      </c>
      <c r="AO369">
        <f t="shared" si="268"/>
        <v>0</v>
      </c>
      <c r="AP369">
        <f t="shared" si="269"/>
        <v>0</v>
      </c>
      <c r="AQ369">
        <f>IF(B369&gt;$AJ$2,0,AQ368*(1+Assumptions!$B$43)^(1/12))</f>
        <v>0</v>
      </c>
      <c r="AR369" s="27">
        <f>IF(B369&gt;$AJ$2,0,(O368+R368)*Assumptions!$B$39/12*AQ368+AV369*Assumptions!$B$41/12)</f>
        <v>0</v>
      </c>
      <c r="AS369">
        <f t="shared" si="270"/>
        <v>0</v>
      </c>
      <c r="AT369" s="28">
        <f t="shared" si="271"/>
        <v>0</v>
      </c>
      <c r="AU369">
        <f t="shared" si="272"/>
        <v>0</v>
      </c>
      <c r="AV369" s="28">
        <f t="shared" si="273"/>
        <v>0</v>
      </c>
      <c r="AW369" s="28">
        <f t="shared" si="274"/>
        <v>0</v>
      </c>
      <c r="AX369" s="23">
        <f>HLOOKUP(YEAR(A369),Assumptions!$A$25:$AL$29,2,TRUE)/100</f>
        <v>1.1739999999999999E-2</v>
      </c>
      <c r="AY369" s="29">
        <f>1/(1+HLOOKUP(YEAR(A369),Assumptions!$A$18:$AL$20,3,TRUE))^(1/12)</f>
        <v>0.99902750864006262</v>
      </c>
      <c r="AZ369" s="26">
        <f t="shared" si="275"/>
        <v>0</v>
      </c>
      <c r="BA369">
        <f t="shared" si="276"/>
        <v>0</v>
      </c>
      <c r="BB369">
        <f t="shared" si="277"/>
        <v>0</v>
      </c>
      <c r="BC369">
        <f t="shared" si="278"/>
        <v>0</v>
      </c>
    </row>
    <row r="370" spans="1:55" x14ac:dyDescent="0.2">
      <c r="A370" s="3">
        <f t="shared" si="247"/>
        <v>54026</v>
      </c>
      <c r="B370">
        <f t="shared" si="243"/>
        <v>372</v>
      </c>
      <c r="C370">
        <f t="shared" si="286"/>
        <v>30.916666666666668</v>
      </c>
      <c r="D370">
        <f t="shared" si="287"/>
        <v>0</v>
      </c>
      <c r="E370">
        <f t="shared" si="244"/>
        <v>86</v>
      </c>
      <c r="F370">
        <f>IF(C370&gt;=$T$2,0,VLOOKUP($E370,'Mortality Table'!$A$3:$C$128,2+AF$2,FALSE))</f>
        <v>0</v>
      </c>
      <c r="G370">
        <f>F370*Assumptions!$B$1</f>
        <v>0</v>
      </c>
      <c r="H370">
        <f t="shared" si="248"/>
        <v>0</v>
      </c>
      <c r="I370">
        <f t="shared" si="281"/>
        <v>0</v>
      </c>
      <c r="J370">
        <f>IF(B370&gt;$AJ$2,0,HLOOKUP(C370,Assumptions!$A$6:$J$7,2,TRUE))</f>
        <v>0</v>
      </c>
      <c r="K370" s="4">
        <f t="shared" si="282"/>
        <v>0</v>
      </c>
      <c r="L370" s="4">
        <f t="shared" si="249"/>
        <v>0</v>
      </c>
      <c r="M370" s="4">
        <f t="shared" si="283"/>
        <v>0</v>
      </c>
      <c r="N370">
        <f t="shared" si="250"/>
        <v>0</v>
      </c>
      <c r="O370" s="21">
        <f t="shared" si="284"/>
        <v>0</v>
      </c>
      <c r="P370">
        <f>IF(B370&gt;$AJ$2,0,HLOOKUP(C370,Assumptions!$A$12:$J$13,2,TRUE))</f>
        <v>0</v>
      </c>
      <c r="Q370">
        <f t="shared" si="285"/>
        <v>0</v>
      </c>
      <c r="R370">
        <f t="shared" si="251"/>
        <v>0</v>
      </c>
      <c r="S370">
        <f t="shared" si="279"/>
        <v>0</v>
      </c>
      <c r="T370">
        <f t="shared" si="280"/>
        <v>0</v>
      </c>
      <c r="U370">
        <f t="shared" si="252"/>
        <v>0</v>
      </c>
      <c r="V370">
        <f t="shared" si="253"/>
        <v>0</v>
      </c>
      <c r="W370">
        <f t="shared" si="254"/>
        <v>0</v>
      </c>
      <c r="X370">
        <f t="shared" si="245"/>
        <v>0</v>
      </c>
      <c r="Y370">
        <f t="shared" si="255"/>
        <v>0</v>
      </c>
      <c r="Z370">
        <f t="shared" si="256"/>
        <v>0</v>
      </c>
      <c r="AA370">
        <f t="shared" si="257"/>
        <v>0</v>
      </c>
      <c r="AB370">
        <f t="shared" si="258"/>
        <v>0</v>
      </c>
      <c r="AC370" s="23">
        <f>IF(B370&gt;$AJ$2,0,HLOOKUP(YEAR(A370),Assumptions!$A$25:$AL$29,4,TRUE)/100)</f>
        <v>0</v>
      </c>
      <c r="AD370">
        <f t="shared" si="259"/>
        <v>0</v>
      </c>
      <c r="AE370">
        <f t="shared" si="260"/>
        <v>0</v>
      </c>
      <c r="AF370">
        <f t="shared" si="261"/>
        <v>0</v>
      </c>
      <c r="AG370">
        <f t="shared" si="262"/>
        <v>0</v>
      </c>
      <c r="AH370">
        <f t="shared" si="263"/>
        <v>0</v>
      </c>
      <c r="AI370">
        <f t="shared" si="264"/>
        <v>0</v>
      </c>
      <c r="AJ370">
        <f t="shared" si="265"/>
        <v>0</v>
      </c>
      <c r="AK370">
        <f t="shared" si="266"/>
        <v>0</v>
      </c>
      <c r="AL370">
        <f t="shared" si="267"/>
        <v>0</v>
      </c>
      <c r="AM370">
        <f t="shared" si="246"/>
        <v>0</v>
      </c>
      <c r="AN370">
        <f>IF($S$2=0,0,(SUMPRODUCT($K$2:$R$2,Assumptions!$B$34:$I$34)/$U$2+$J$2/$U$2*Assumptions!$A$34*G370)*K370*O369)</f>
        <v>0</v>
      </c>
      <c r="AO370">
        <f t="shared" si="268"/>
        <v>0</v>
      </c>
      <c r="AP370">
        <f t="shared" si="269"/>
        <v>0</v>
      </c>
      <c r="AQ370">
        <f>IF(B370&gt;$AJ$2,0,AQ369*(1+Assumptions!$B$43)^(1/12))</f>
        <v>0</v>
      </c>
      <c r="AR370" s="27">
        <f>IF(B370&gt;$AJ$2,0,(O369+R369)*Assumptions!$B$39/12*AQ369+AV370*Assumptions!$B$41/12)</f>
        <v>0</v>
      </c>
      <c r="AS370">
        <f t="shared" si="270"/>
        <v>0</v>
      </c>
      <c r="AT370" s="28">
        <f t="shared" si="271"/>
        <v>0</v>
      </c>
      <c r="AU370">
        <f t="shared" si="272"/>
        <v>0</v>
      </c>
      <c r="AV370" s="28">
        <f t="shared" si="273"/>
        <v>0</v>
      </c>
      <c r="AW370" s="28">
        <f t="shared" si="274"/>
        <v>0</v>
      </c>
      <c r="AX370" s="23">
        <f>HLOOKUP(YEAR(A370),Assumptions!$A$25:$AL$29,2,TRUE)/100</f>
        <v>1.1739999999999999E-2</v>
      </c>
      <c r="AY370" s="29">
        <f>1/(1+HLOOKUP(YEAR(A370),Assumptions!$A$18:$AL$20,3,TRUE))^(1/12)</f>
        <v>0.99902750864006262</v>
      </c>
      <c r="AZ370" s="26">
        <f t="shared" si="275"/>
        <v>0</v>
      </c>
      <c r="BA370">
        <f t="shared" si="276"/>
        <v>0</v>
      </c>
      <c r="BB370">
        <f t="shared" si="277"/>
        <v>0</v>
      </c>
      <c r="BC370">
        <f t="shared" si="278"/>
        <v>0</v>
      </c>
    </row>
    <row r="371" spans="1:55" x14ac:dyDescent="0.2">
      <c r="A371" s="3">
        <f t="shared" si="247"/>
        <v>54057</v>
      </c>
      <c r="B371">
        <f t="shared" si="243"/>
        <v>373</v>
      </c>
      <c r="C371">
        <f t="shared" si="286"/>
        <v>31</v>
      </c>
      <c r="D371">
        <f t="shared" si="287"/>
        <v>1</v>
      </c>
      <c r="E371">
        <f t="shared" si="244"/>
        <v>87</v>
      </c>
      <c r="F371">
        <f>IF(C371&gt;=$T$2,0,VLOOKUP($E371,'Mortality Table'!$A$3:$C$128,2+AF$2,FALSE))</f>
        <v>0</v>
      </c>
      <c r="G371">
        <f>F371*Assumptions!$B$1</f>
        <v>0</v>
      </c>
      <c r="H371">
        <f t="shared" si="248"/>
        <v>0</v>
      </c>
      <c r="I371">
        <f t="shared" si="281"/>
        <v>0</v>
      </c>
      <c r="J371">
        <f>IF(B371&gt;$AJ$2,0,HLOOKUP(C371,Assumptions!$A$6:$J$7,2,TRUE))</f>
        <v>0</v>
      </c>
      <c r="K371" s="4">
        <f t="shared" si="282"/>
        <v>0</v>
      </c>
      <c r="L371" s="4">
        <f t="shared" si="249"/>
        <v>0</v>
      </c>
      <c r="M371" s="4">
        <f t="shared" si="283"/>
        <v>0</v>
      </c>
      <c r="N371">
        <f t="shared" si="250"/>
        <v>0</v>
      </c>
      <c r="O371" s="21">
        <f t="shared" si="284"/>
        <v>0</v>
      </c>
      <c r="P371">
        <f>IF(B371&gt;$AJ$2,0,HLOOKUP(C371,Assumptions!$A$12:$J$13,2,TRUE))</f>
        <v>0</v>
      </c>
      <c r="Q371">
        <f t="shared" si="285"/>
        <v>0</v>
      </c>
      <c r="R371">
        <f t="shared" si="251"/>
        <v>0</v>
      </c>
      <c r="S371">
        <f t="shared" si="279"/>
        <v>0</v>
      </c>
      <c r="T371">
        <f t="shared" si="280"/>
        <v>0</v>
      </c>
      <c r="U371">
        <f t="shared" si="252"/>
        <v>0</v>
      </c>
      <c r="V371">
        <f t="shared" si="253"/>
        <v>0</v>
      </c>
      <c r="W371">
        <f t="shared" si="254"/>
        <v>0</v>
      </c>
      <c r="X371">
        <f t="shared" si="245"/>
        <v>0</v>
      </c>
      <c r="Y371">
        <f t="shared" si="255"/>
        <v>0</v>
      </c>
      <c r="Z371">
        <f t="shared" si="256"/>
        <v>0</v>
      </c>
      <c r="AA371">
        <f t="shared" si="257"/>
        <v>0</v>
      </c>
      <c r="AB371">
        <f t="shared" si="258"/>
        <v>0</v>
      </c>
      <c r="AC371" s="23">
        <f>IF(B371&gt;$AJ$2,0,HLOOKUP(YEAR(A371),Assumptions!$A$25:$AL$29,4,TRUE)/100)</f>
        <v>0</v>
      </c>
      <c r="AD371">
        <f t="shared" si="259"/>
        <v>0</v>
      </c>
      <c r="AE371">
        <f t="shared" si="260"/>
        <v>0</v>
      </c>
      <c r="AF371">
        <f t="shared" si="261"/>
        <v>0</v>
      </c>
      <c r="AG371">
        <f t="shared" si="262"/>
        <v>0</v>
      </c>
      <c r="AH371">
        <f t="shared" si="263"/>
        <v>0</v>
      </c>
      <c r="AI371">
        <f t="shared" si="264"/>
        <v>0</v>
      </c>
      <c r="AJ371">
        <f t="shared" si="265"/>
        <v>0</v>
      </c>
      <c r="AK371">
        <f t="shared" si="266"/>
        <v>0</v>
      </c>
      <c r="AL371">
        <f t="shared" si="267"/>
        <v>0</v>
      </c>
      <c r="AM371">
        <f t="shared" si="246"/>
        <v>0</v>
      </c>
      <c r="AN371">
        <f>IF($S$2=0,0,(SUMPRODUCT($K$2:$R$2,Assumptions!$B$34:$I$34)/$U$2+$J$2/$U$2*Assumptions!$A$34*G371)*K371*O370)</f>
        <v>0</v>
      </c>
      <c r="AO371">
        <f t="shared" si="268"/>
        <v>0</v>
      </c>
      <c r="AP371">
        <f t="shared" si="269"/>
        <v>0</v>
      </c>
      <c r="AQ371">
        <f>IF(B371&gt;$AJ$2,0,AQ370*(1+Assumptions!$B$43)^(1/12))</f>
        <v>0</v>
      </c>
      <c r="AR371" s="27">
        <f>IF(B371&gt;$AJ$2,0,(O370+R370)*Assumptions!$B$39/12*AQ370+AV371*Assumptions!$B$41/12)</f>
        <v>0</v>
      </c>
      <c r="AS371">
        <f t="shared" si="270"/>
        <v>0</v>
      </c>
      <c r="AT371" s="28">
        <f t="shared" si="271"/>
        <v>0</v>
      </c>
      <c r="AU371">
        <f t="shared" si="272"/>
        <v>0</v>
      </c>
      <c r="AV371" s="28">
        <f t="shared" si="273"/>
        <v>0</v>
      </c>
      <c r="AW371" s="28">
        <f t="shared" si="274"/>
        <v>0</v>
      </c>
      <c r="AX371" s="23">
        <f>HLOOKUP(YEAR(A371),Assumptions!$A$25:$AL$29,2,TRUE)/100</f>
        <v>1.1739999999999999E-2</v>
      </c>
      <c r="AY371" s="29">
        <f>1/(1+HLOOKUP(YEAR(A371),Assumptions!$A$18:$AL$20,3,TRUE))^(1/12)</f>
        <v>0.99902750864006262</v>
      </c>
      <c r="AZ371" s="26">
        <f t="shared" si="275"/>
        <v>0</v>
      </c>
      <c r="BA371">
        <f t="shared" si="276"/>
        <v>0</v>
      </c>
      <c r="BB371">
        <f t="shared" si="277"/>
        <v>0</v>
      </c>
      <c r="BC371">
        <f t="shared" si="278"/>
        <v>0</v>
      </c>
    </row>
    <row r="372" spans="1:55" x14ac:dyDescent="0.2">
      <c r="A372" s="3">
        <f t="shared" si="247"/>
        <v>54088</v>
      </c>
      <c r="B372">
        <f t="shared" si="243"/>
        <v>374</v>
      </c>
      <c r="C372">
        <f t="shared" si="286"/>
        <v>31.083333333333336</v>
      </c>
      <c r="D372">
        <f t="shared" si="287"/>
        <v>0</v>
      </c>
      <c r="E372">
        <f t="shared" si="244"/>
        <v>87</v>
      </c>
      <c r="F372">
        <f>IF(C372&gt;=$T$2,0,VLOOKUP($E372,'Mortality Table'!$A$3:$C$128,2+AF$2,FALSE))</f>
        <v>0</v>
      </c>
      <c r="G372">
        <f>F372*Assumptions!$B$1</f>
        <v>0</v>
      </c>
      <c r="H372">
        <f t="shared" si="248"/>
        <v>0</v>
      </c>
      <c r="I372">
        <f t="shared" si="281"/>
        <v>0</v>
      </c>
      <c r="J372">
        <f>IF(B372&gt;$AJ$2,0,HLOOKUP(C372,Assumptions!$A$6:$J$7,2,TRUE))</f>
        <v>0</v>
      </c>
      <c r="K372" s="4">
        <f t="shared" si="282"/>
        <v>0</v>
      </c>
      <c r="L372" s="4">
        <f t="shared" si="249"/>
        <v>0</v>
      </c>
      <c r="M372" s="4">
        <f t="shared" si="283"/>
        <v>0</v>
      </c>
      <c r="N372">
        <f t="shared" si="250"/>
        <v>0</v>
      </c>
      <c r="O372" s="21">
        <f t="shared" si="284"/>
        <v>0</v>
      </c>
      <c r="P372">
        <f>IF(B372&gt;$AJ$2,0,HLOOKUP(C372,Assumptions!$A$12:$J$13,2,TRUE))</f>
        <v>0</v>
      </c>
      <c r="Q372">
        <f t="shared" si="285"/>
        <v>0</v>
      </c>
      <c r="R372">
        <f t="shared" si="251"/>
        <v>0</v>
      </c>
      <c r="S372">
        <f t="shared" si="279"/>
        <v>0</v>
      </c>
      <c r="T372">
        <f t="shared" si="280"/>
        <v>0</v>
      </c>
      <c r="U372">
        <f t="shared" si="252"/>
        <v>0</v>
      </c>
      <c r="V372">
        <f t="shared" si="253"/>
        <v>0</v>
      </c>
      <c r="W372">
        <f t="shared" si="254"/>
        <v>0</v>
      </c>
      <c r="X372">
        <f t="shared" si="245"/>
        <v>0</v>
      </c>
      <c r="Y372">
        <f t="shared" si="255"/>
        <v>0</v>
      </c>
      <c r="Z372">
        <f t="shared" si="256"/>
        <v>0</v>
      </c>
      <c r="AA372">
        <f t="shared" si="257"/>
        <v>0</v>
      </c>
      <c r="AB372">
        <f t="shared" si="258"/>
        <v>0</v>
      </c>
      <c r="AC372" s="23">
        <f>IF(B372&gt;$AJ$2,0,HLOOKUP(YEAR(A372),Assumptions!$A$25:$AL$29,4,TRUE)/100)</f>
        <v>0</v>
      </c>
      <c r="AD372">
        <f t="shared" si="259"/>
        <v>0</v>
      </c>
      <c r="AE372">
        <f t="shared" si="260"/>
        <v>0</v>
      </c>
      <c r="AF372">
        <f t="shared" si="261"/>
        <v>0</v>
      </c>
      <c r="AG372">
        <f t="shared" si="262"/>
        <v>0</v>
      </c>
      <c r="AH372">
        <f t="shared" si="263"/>
        <v>0</v>
      </c>
      <c r="AI372">
        <f t="shared" si="264"/>
        <v>0</v>
      </c>
      <c r="AJ372">
        <f t="shared" si="265"/>
        <v>0</v>
      </c>
      <c r="AK372">
        <f t="shared" si="266"/>
        <v>0</v>
      </c>
      <c r="AL372">
        <f t="shared" si="267"/>
        <v>0</v>
      </c>
      <c r="AM372">
        <f t="shared" si="246"/>
        <v>0</v>
      </c>
      <c r="AN372">
        <f>IF($S$2=0,0,(SUMPRODUCT($K$2:$R$2,Assumptions!$B$34:$I$34)/$U$2+$J$2/$U$2*Assumptions!$A$34*G372)*K372*O371)</f>
        <v>0</v>
      </c>
      <c r="AO372">
        <f t="shared" si="268"/>
        <v>0</v>
      </c>
      <c r="AP372">
        <f t="shared" si="269"/>
        <v>0</v>
      </c>
      <c r="AQ372">
        <f>IF(B372&gt;$AJ$2,0,AQ371*(1+Assumptions!$B$43)^(1/12))</f>
        <v>0</v>
      </c>
      <c r="AR372" s="27">
        <f>IF(B372&gt;$AJ$2,0,(O371+R371)*Assumptions!$B$39/12*AQ371+AV372*Assumptions!$B$41/12)</f>
        <v>0</v>
      </c>
      <c r="AS372">
        <f t="shared" si="270"/>
        <v>0</v>
      </c>
      <c r="AT372" s="28">
        <f t="shared" si="271"/>
        <v>0</v>
      </c>
      <c r="AU372">
        <f t="shared" si="272"/>
        <v>0</v>
      </c>
      <c r="AV372" s="28">
        <f t="shared" si="273"/>
        <v>0</v>
      </c>
      <c r="AW372" s="28">
        <f t="shared" si="274"/>
        <v>0</v>
      </c>
      <c r="AX372" s="23">
        <f>HLOOKUP(YEAR(A372),Assumptions!$A$25:$AL$29,2,TRUE)/100</f>
        <v>1.1339999999999999E-2</v>
      </c>
      <c r="AY372" s="29">
        <f>1/(1+HLOOKUP(YEAR(A372),Assumptions!$A$18:$AL$20,3,TRUE))^(1/12)</f>
        <v>0.99902750864006262</v>
      </c>
      <c r="AZ372" s="26">
        <f t="shared" si="275"/>
        <v>0</v>
      </c>
      <c r="BA372">
        <f t="shared" si="276"/>
        <v>0</v>
      </c>
      <c r="BB372">
        <f t="shared" si="277"/>
        <v>0</v>
      </c>
      <c r="BC372">
        <f t="shared" si="278"/>
        <v>0</v>
      </c>
    </row>
    <row r="373" spans="1:55" x14ac:dyDescent="0.2">
      <c r="A373" s="3">
        <f t="shared" si="247"/>
        <v>54117</v>
      </c>
      <c r="B373">
        <f t="shared" si="243"/>
        <v>375</v>
      </c>
      <c r="C373">
        <f t="shared" si="286"/>
        <v>31.166666666666664</v>
      </c>
      <c r="D373">
        <f t="shared" si="287"/>
        <v>0</v>
      </c>
      <c r="E373">
        <f t="shared" si="244"/>
        <v>87</v>
      </c>
      <c r="F373">
        <f>IF(C373&gt;=$T$2,0,VLOOKUP($E373,'Mortality Table'!$A$3:$C$128,2+AF$2,FALSE))</f>
        <v>0</v>
      </c>
      <c r="G373">
        <f>F373*Assumptions!$B$1</f>
        <v>0</v>
      </c>
      <c r="H373">
        <f t="shared" si="248"/>
        <v>0</v>
      </c>
      <c r="I373">
        <f t="shared" si="281"/>
        <v>0</v>
      </c>
      <c r="J373">
        <f>IF(B373&gt;$AJ$2,0,HLOOKUP(C373,Assumptions!$A$6:$J$7,2,TRUE))</f>
        <v>0</v>
      </c>
      <c r="K373" s="4">
        <f t="shared" si="282"/>
        <v>0</v>
      </c>
      <c r="L373" s="4">
        <f t="shared" si="249"/>
        <v>0</v>
      </c>
      <c r="M373" s="4">
        <f t="shared" si="283"/>
        <v>0</v>
      </c>
      <c r="N373">
        <f t="shared" si="250"/>
        <v>0</v>
      </c>
      <c r="O373" s="21">
        <f t="shared" si="284"/>
        <v>0</v>
      </c>
      <c r="P373">
        <f>IF(B373&gt;$AJ$2,0,HLOOKUP(C373,Assumptions!$A$12:$J$13,2,TRUE))</f>
        <v>0</v>
      </c>
      <c r="Q373">
        <f t="shared" si="285"/>
        <v>0</v>
      </c>
      <c r="R373">
        <f t="shared" si="251"/>
        <v>0</v>
      </c>
      <c r="S373">
        <f t="shared" si="279"/>
        <v>0</v>
      </c>
      <c r="T373">
        <f t="shared" si="280"/>
        <v>0</v>
      </c>
      <c r="U373">
        <f t="shared" si="252"/>
        <v>0</v>
      </c>
      <c r="V373">
        <f t="shared" si="253"/>
        <v>0</v>
      </c>
      <c r="W373">
        <f t="shared" si="254"/>
        <v>0</v>
      </c>
      <c r="X373">
        <f t="shared" si="245"/>
        <v>0</v>
      </c>
      <c r="Y373">
        <f t="shared" si="255"/>
        <v>0</v>
      </c>
      <c r="Z373">
        <f t="shared" si="256"/>
        <v>0</v>
      </c>
      <c r="AA373">
        <f t="shared" si="257"/>
        <v>0</v>
      </c>
      <c r="AB373">
        <f t="shared" si="258"/>
        <v>0</v>
      </c>
      <c r="AC373" s="23">
        <f>IF(B373&gt;$AJ$2,0,HLOOKUP(YEAR(A373),Assumptions!$A$25:$AL$29,4,TRUE)/100)</f>
        <v>0</v>
      </c>
      <c r="AD373">
        <f t="shared" si="259"/>
        <v>0</v>
      </c>
      <c r="AE373">
        <f t="shared" si="260"/>
        <v>0</v>
      </c>
      <c r="AF373">
        <f t="shared" si="261"/>
        <v>0</v>
      </c>
      <c r="AG373">
        <f t="shared" si="262"/>
        <v>0</v>
      </c>
      <c r="AH373">
        <f t="shared" si="263"/>
        <v>0</v>
      </c>
      <c r="AI373">
        <f t="shared" si="264"/>
        <v>0</v>
      </c>
      <c r="AJ373">
        <f t="shared" si="265"/>
        <v>0</v>
      </c>
      <c r="AK373">
        <f t="shared" si="266"/>
        <v>0</v>
      </c>
      <c r="AL373">
        <f t="shared" si="267"/>
        <v>0</v>
      </c>
      <c r="AM373">
        <f t="shared" si="246"/>
        <v>0</v>
      </c>
      <c r="AN373">
        <f>IF($S$2=0,0,(SUMPRODUCT($K$2:$R$2,Assumptions!$B$34:$I$34)/$U$2+$J$2/$U$2*Assumptions!$A$34*G373)*K373*O372)</f>
        <v>0</v>
      </c>
      <c r="AO373">
        <f t="shared" si="268"/>
        <v>0</v>
      </c>
      <c r="AP373">
        <f t="shared" si="269"/>
        <v>0</v>
      </c>
      <c r="AQ373">
        <f>IF(B373&gt;$AJ$2,0,AQ372*(1+Assumptions!$B$43)^(1/12))</f>
        <v>0</v>
      </c>
      <c r="AR373" s="27">
        <f>IF(B373&gt;$AJ$2,0,(O372+R372)*Assumptions!$B$39/12*AQ372+AV373*Assumptions!$B$41/12)</f>
        <v>0</v>
      </c>
      <c r="AS373">
        <f t="shared" si="270"/>
        <v>0</v>
      </c>
      <c r="AT373" s="28">
        <f t="shared" si="271"/>
        <v>0</v>
      </c>
      <c r="AU373">
        <f t="shared" si="272"/>
        <v>0</v>
      </c>
      <c r="AV373" s="28">
        <f t="shared" si="273"/>
        <v>0</v>
      </c>
      <c r="AW373" s="28">
        <f t="shared" si="274"/>
        <v>0</v>
      </c>
      <c r="AX373" s="23">
        <f>HLOOKUP(YEAR(A373),Assumptions!$A$25:$AL$29,2,TRUE)/100</f>
        <v>1.1339999999999999E-2</v>
      </c>
      <c r="AY373" s="29">
        <f>1/(1+HLOOKUP(YEAR(A373),Assumptions!$A$18:$AL$20,3,TRUE))^(1/12)</f>
        <v>0.99902750864006262</v>
      </c>
      <c r="AZ373" s="26">
        <f t="shared" si="275"/>
        <v>0</v>
      </c>
      <c r="BA373">
        <f t="shared" si="276"/>
        <v>0</v>
      </c>
      <c r="BB373">
        <f t="shared" si="277"/>
        <v>0</v>
      </c>
      <c r="BC373">
        <f t="shared" si="278"/>
        <v>0</v>
      </c>
    </row>
    <row r="374" spans="1:55" x14ac:dyDescent="0.2">
      <c r="A374" s="3">
        <f t="shared" si="247"/>
        <v>54148</v>
      </c>
      <c r="B374">
        <f t="shared" si="243"/>
        <v>376</v>
      </c>
      <c r="C374">
        <f t="shared" si="286"/>
        <v>31.25</v>
      </c>
      <c r="D374">
        <f t="shared" si="287"/>
        <v>0</v>
      </c>
      <c r="E374">
        <f t="shared" si="244"/>
        <v>87</v>
      </c>
      <c r="F374">
        <f>IF(C374&gt;=$T$2,0,VLOOKUP($E374,'Mortality Table'!$A$3:$C$128,2+AF$2,FALSE))</f>
        <v>0</v>
      </c>
      <c r="G374">
        <f>F374*Assumptions!$B$1</f>
        <v>0</v>
      </c>
      <c r="H374">
        <f t="shared" si="248"/>
        <v>0</v>
      </c>
      <c r="I374">
        <f t="shared" si="281"/>
        <v>0</v>
      </c>
      <c r="J374">
        <f>IF(B374&gt;$AJ$2,0,HLOOKUP(C374,Assumptions!$A$6:$J$7,2,TRUE))</f>
        <v>0</v>
      </c>
      <c r="K374" s="4">
        <f t="shared" si="282"/>
        <v>0</v>
      </c>
      <c r="L374" s="4">
        <f t="shared" si="249"/>
        <v>0</v>
      </c>
      <c r="M374" s="4">
        <f t="shared" si="283"/>
        <v>0</v>
      </c>
      <c r="N374">
        <f t="shared" si="250"/>
        <v>0</v>
      </c>
      <c r="O374" s="21">
        <f t="shared" si="284"/>
        <v>0</v>
      </c>
      <c r="P374">
        <f>IF(B374&gt;$AJ$2,0,HLOOKUP(C374,Assumptions!$A$12:$J$13,2,TRUE))</f>
        <v>0</v>
      </c>
      <c r="Q374">
        <f t="shared" si="285"/>
        <v>0</v>
      </c>
      <c r="R374">
        <f t="shared" si="251"/>
        <v>0</v>
      </c>
      <c r="S374">
        <f t="shared" si="279"/>
        <v>0</v>
      </c>
      <c r="T374">
        <f t="shared" si="280"/>
        <v>0</v>
      </c>
      <c r="U374">
        <f t="shared" si="252"/>
        <v>0</v>
      </c>
      <c r="V374">
        <f t="shared" si="253"/>
        <v>0</v>
      </c>
      <c r="W374">
        <f t="shared" si="254"/>
        <v>0</v>
      </c>
      <c r="X374">
        <f t="shared" si="245"/>
        <v>0</v>
      </c>
      <c r="Y374">
        <f t="shared" si="255"/>
        <v>0</v>
      </c>
      <c r="Z374">
        <f t="shared" si="256"/>
        <v>0</v>
      </c>
      <c r="AA374">
        <f t="shared" si="257"/>
        <v>0</v>
      </c>
      <c r="AB374">
        <f t="shared" si="258"/>
        <v>0</v>
      </c>
      <c r="AC374" s="23">
        <f>IF(B374&gt;$AJ$2,0,HLOOKUP(YEAR(A374),Assumptions!$A$25:$AL$29,4,TRUE)/100)</f>
        <v>0</v>
      </c>
      <c r="AD374">
        <f t="shared" si="259"/>
        <v>0</v>
      </c>
      <c r="AE374">
        <f t="shared" si="260"/>
        <v>0</v>
      </c>
      <c r="AF374">
        <f t="shared" si="261"/>
        <v>0</v>
      </c>
      <c r="AG374">
        <f t="shared" si="262"/>
        <v>0</v>
      </c>
      <c r="AH374">
        <f t="shared" si="263"/>
        <v>0</v>
      </c>
      <c r="AI374">
        <f t="shared" si="264"/>
        <v>0</v>
      </c>
      <c r="AJ374">
        <f t="shared" si="265"/>
        <v>0</v>
      </c>
      <c r="AK374">
        <f t="shared" si="266"/>
        <v>0</v>
      </c>
      <c r="AL374">
        <f t="shared" si="267"/>
        <v>0</v>
      </c>
      <c r="AM374">
        <f t="shared" si="246"/>
        <v>0</v>
      </c>
      <c r="AN374">
        <f>IF($S$2=0,0,(SUMPRODUCT($K$2:$R$2,Assumptions!$B$34:$I$34)/$U$2+$J$2/$U$2*Assumptions!$A$34*G374)*K374*O373)</f>
        <v>0</v>
      </c>
      <c r="AO374">
        <f t="shared" si="268"/>
        <v>0</v>
      </c>
      <c r="AP374">
        <f t="shared" si="269"/>
        <v>0</v>
      </c>
      <c r="AQ374">
        <f>IF(B374&gt;$AJ$2,0,AQ373*(1+Assumptions!$B$43)^(1/12))</f>
        <v>0</v>
      </c>
      <c r="AR374" s="27">
        <f>IF(B374&gt;$AJ$2,0,(O373+R373)*Assumptions!$B$39/12*AQ373+AV374*Assumptions!$B$41/12)</f>
        <v>0</v>
      </c>
      <c r="AS374">
        <f t="shared" si="270"/>
        <v>0</v>
      </c>
      <c r="AT374" s="28">
        <f t="shared" si="271"/>
        <v>0</v>
      </c>
      <c r="AU374">
        <f t="shared" si="272"/>
        <v>0</v>
      </c>
      <c r="AV374" s="28">
        <f t="shared" si="273"/>
        <v>0</v>
      </c>
      <c r="AW374" s="28">
        <f t="shared" si="274"/>
        <v>0</v>
      </c>
      <c r="AX374" s="23">
        <f>HLOOKUP(YEAR(A374),Assumptions!$A$25:$AL$29,2,TRUE)/100</f>
        <v>1.1339999999999999E-2</v>
      </c>
      <c r="AY374" s="29">
        <f>1/(1+HLOOKUP(YEAR(A374),Assumptions!$A$18:$AL$20,3,TRUE))^(1/12)</f>
        <v>0.99902750864006262</v>
      </c>
      <c r="AZ374" s="26">
        <f t="shared" si="275"/>
        <v>0</v>
      </c>
      <c r="BA374">
        <f t="shared" si="276"/>
        <v>0</v>
      </c>
      <c r="BB374">
        <f t="shared" si="277"/>
        <v>0</v>
      </c>
      <c r="BC374">
        <f t="shared" si="278"/>
        <v>0</v>
      </c>
    </row>
    <row r="375" spans="1:55" x14ac:dyDescent="0.2">
      <c r="A375" s="3">
        <f t="shared" si="247"/>
        <v>54178</v>
      </c>
      <c r="B375">
        <f t="shared" si="243"/>
        <v>377</v>
      </c>
      <c r="C375">
        <f t="shared" si="286"/>
        <v>31.333333333333336</v>
      </c>
      <c r="D375">
        <f t="shared" si="287"/>
        <v>0</v>
      </c>
      <c r="E375">
        <f t="shared" si="244"/>
        <v>87</v>
      </c>
      <c r="F375">
        <f>IF(C375&gt;=$T$2,0,VLOOKUP($E375,'Mortality Table'!$A$3:$C$128,2+AF$2,FALSE))</f>
        <v>0</v>
      </c>
      <c r="G375">
        <f>F375*Assumptions!$B$1</f>
        <v>0</v>
      </c>
      <c r="H375">
        <f t="shared" si="248"/>
        <v>0</v>
      </c>
      <c r="I375">
        <f t="shared" si="281"/>
        <v>0</v>
      </c>
      <c r="J375">
        <f>IF(B375&gt;$AJ$2,0,HLOOKUP(C375,Assumptions!$A$6:$J$7,2,TRUE))</f>
        <v>0</v>
      </c>
      <c r="K375" s="4">
        <f t="shared" si="282"/>
        <v>0</v>
      </c>
      <c r="L375" s="4">
        <f t="shared" si="249"/>
        <v>0</v>
      </c>
      <c r="M375" s="4">
        <f t="shared" si="283"/>
        <v>0</v>
      </c>
      <c r="N375">
        <f t="shared" si="250"/>
        <v>0</v>
      </c>
      <c r="O375" s="21">
        <f t="shared" si="284"/>
        <v>0</v>
      </c>
      <c r="P375">
        <f>IF(B375&gt;$AJ$2,0,HLOOKUP(C375,Assumptions!$A$12:$J$13,2,TRUE))</f>
        <v>0</v>
      </c>
      <c r="Q375">
        <f t="shared" si="285"/>
        <v>0</v>
      </c>
      <c r="R375">
        <f t="shared" si="251"/>
        <v>0</v>
      </c>
      <c r="S375">
        <f t="shared" si="279"/>
        <v>0</v>
      </c>
      <c r="T375">
        <f t="shared" si="280"/>
        <v>0</v>
      </c>
      <c r="U375">
        <f t="shared" si="252"/>
        <v>0</v>
      </c>
      <c r="V375">
        <f t="shared" si="253"/>
        <v>0</v>
      </c>
      <c r="W375">
        <f t="shared" si="254"/>
        <v>0</v>
      </c>
      <c r="X375">
        <f t="shared" si="245"/>
        <v>0</v>
      </c>
      <c r="Y375">
        <f t="shared" si="255"/>
        <v>0</v>
      </c>
      <c r="Z375">
        <f t="shared" si="256"/>
        <v>0</v>
      </c>
      <c r="AA375">
        <f t="shared" si="257"/>
        <v>0</v>
      </c>
      <c r="AB375">
        <f t="shared" si="258"/>
        <v>0</v>
      </c>
      <c r="AC375" s="23">
        <f>IF(B375&gt;$AJ$2,0,HLOOKUP(YEAR(A375),Assumptions!$A$25:$AL$29,4,TRUE)/100)</f>
        <v>0</v>
      </c>
      <c r="AD375">
        <f t="shared" si="259"/>
        <v>0</v>
      </c>
      <c r="AE375">
        <f t="shared" si="260"/>
        <v>0</v>
      </c>
      <c r="AF375">
        <f t="shared" si="261"/>
        <v>0</v>
      </c>
      <c r="AG375">
        <f t="shared" si="262"/>
        <v>0</v>
      </c>
      <c r="AH375">
        <f t="shared" si="263"/>
        <v>0</v>
      </c>
      <c r="AI375">
        <f t="shared" si="264"/>
        <v>0</v>
      </c>
      <c r="AJ375">
        <f t="shared" si="265"/>
        <v>0</v>
      </c>
      <c r="AK375">
        <f t="shared" si="266"/>
        <v>0</v>
      </c>
      <c r="AL375">
        <f t="shared" si="267"/>
        <v>0</v>
      </c>
      <c r="AM375">
        <f t="shared" si="246"/>
        <v>0</v>
      </c>
      <c r="AN375">
        <f>IF($S$2=0,0,(SUMPRODUCT($K$2:$R$2,Assumptions!$B$34:$I$34)/$U$2+$J$2/$U$2*Assumptions!$A$34*G375)*K375*O374)</f>
        <v>0</v>
      </c>
      <c r="AO375">
        <f t="shared" si="268"/>
        <v>0</v>
      </c>
      <c r="AP375">
        <f t="shared" si="269"/>
        <v>0</v>
      </c>
      <c r="AQ375">
        <f>IF(B375&gt;$AJ$2,0,AQ374*(1+Assumptions!$B$43)^(1/12))</f>
        <v>0</v>
      </c>
      <c r="AR375" s="27">
        <f>IF(B375&gt;$AJ$2,0,(O374+R374)*Assumptions!$B$39/12*AQ374+AV375*Assumptions!$B$41/12)</f>
        <v>0</v>
      </c>
      <c r="AS375">
        <f t="shared" si="270"/>
        <v>0</v>
      </c>
      <c r="AT375" s="28">
        <f t="shared" si="271"/>
        <v>0</v>
      </c>
      <c r="AU375">
        <f t="shared" si="272"/>
        <v>0</v>
      </c>
      <c r="AV375" s="28">
        <f t="shared" si="273"/>
        <v>0</v>
      </c>
      <c r="AW375" s="28">
        <f t="shared" si="274"/>
        <v>0</v>
      </c>
      <c r="AX375" s="23">
        <f>HLOOKUP(YEAR(A375),Assumptions!$A$25:$AL$29,2,TRUE)/100</f>
        <v>1.1339999999999999E-2</v>
      </c>
      <c r="AY375" s="29">
        <f>1/(1+HLOOKUP(YEAR(A375),Assumptions!$A$18:$AL$20,3,TRUE))^(1/12)</f>
        <v>0.99902750864006262</v>
      </c>
      <c r="AZ375" s="26">
        <f t="shared" si="275"/>
        <v>0</v>
      </c>
      <c r="BA375">
        <f t="shared" si="276"/>
        <v>0</v>
      </c>
      <c r="BB375">
        <f t="shared" si="277"/>
        <v>0</v>
      </c>
      <c r="BC375">
        <f t="shared" si="278"/>
        <v>0</v>
      </c>
    </row>
    <row r="376" spans="1:55" x14ac:dyDescent="0.2">
      <c r="A376" s="3">
        <f t="shared" si="247"/>
        <v>54209</v>
      </c>
      <c r="B376">
        <f t="shared" si="243"/>
        <v>378</v>
      </c>
      <c r="C376">
        <f t="shared" si="286"/>
        <v>31.416666666666664</v>
      </c>
      <c r="D376">
        <f t="shared" si="287"/>
        <v>0</v>
      </c>
      <c r="E376">
        <f t="shared" si="244"/>
        <v>87</v>
      </c>
      <c r="F376">
        <f>IF(C376&gt;=$T$2,0,VLOOKUP($E376,'Mortality Table'!$A$3:$C$128,2+AF$2,FALSE))</f>
        <v>0</v>
      </c>
      <c r="G376">
        <f>F376*Assumptions!$B$1</f>
        <v>0</v>
      </c>
      <c r="H376">
        <f t="shared" si="248"/>
        <v>0</v>
      </c>
      <c r="I376">
        <f t="shared" si="281"/>
        <v>0</v>
      </c>
      <c r="J376">
        <f>IF(B376&gt;$AJ$2,0,HLOOKUP(C376,Assumptions!$A$6:$J$7,2,TRUE))</f>
        <v>0</v>
      </c>
      <c r="K376" s="4">
        <f t="shared" si="282"/>
        <v>0</v>
      </c>
      <c r="L376" s="4">
        <f t="shared" si="249"/>
        <v>0</v>
      </c>
      <c r="M376" s="4">
        <f t="shared" si="283"/>
        <v>0</v>
      </c>
      <c r="N376">
        <f t="shared" si="250"/>
        <v>0</v>
      </c>
      <c r="O376" s="21">
        <f t="shared" si="284"/>
        <v>0</v>
      </c>
      <c r="P376">
        <f>IF(B376&gt;$AJ$2,0,HLOOKUP(C376,Assumptions!$A$12:$J$13,2,TRUE))</f>
        <v>0</v>
      </c>
      <c r="Q376">
        <f t="shared" si="285"/>
        <v>0</v>
      </c>
      <c r="R376">
        <f t="shared" si="251"/>
        <v>0</v>
      </c>
      <c r="S376">
        <f t="shared" si="279"/>
        <v>0</v>
      </c>
      <c r="T376">
        <f t="shared" si="280"/>
        <v>0</v>
      </c>
      <c r="U376">
        <f t="shared" si="252"/>
        <v>0</v>
      </c>
      <c r="V376">
        <f t="shared" si="253"/>
        <v>0</v>
      </c>
      <c r="W376">
        <f t="shared" si="254"/>
        <v>0</v>
      </c>
      <c r="X376">
        <f t="shared" si="245"/>
        <v>0</v>
      </c>
      <c r="Y376">
        <f t="shared" si="255"/>
        <v>0</v>
      </c>
      <c r="Z376">
        <f t="shared" si="256"/>
        <v>0</v>
      </c>
      <c r="AA376">
        <f t="shared" si="257"/>
        <v>0</v>
      </c>
      <c r="AB376">
        <f t="shared" si="258"/>
        <v>0</v>
      </c>
      <c r="AC376" s="23">
        <f>IF(B376&gt;$AJ$2,0,HLOOKUP(YEAR(A376),Assumptions!$A$25:$AL$29,4,TRUE)/100)</f>
        <v>0</v>
      </c>
      <c r="AD376">
        <f t="shared" si="259"/>
        <v>0</v>
      </c>
      <c r="AE376">
        <f t="shared" si="260"/>
        <v>0</v>
      </c>
      <c r="AF376">
        <f t="shared" si="261"/>
        <v>0</v>
      </c>
      <c r="AG376">
        <f t="shared" si="262"/>
        <v>0</v>
      </c>
      <c r="AH376">
        <f t="shared" si="263"/>
        <v>0</v>
      </c>
      <c r="AI376">
        <f t="shared" si="264"/>
        <v>0</v>
      </c>
      <c r="AJ376">
        <f t="shared" si="265"/>
        <v>0</v>
      </c>
      <c r="AK376">
        <f t="shared" si="266"/>
        <v>0</v>
      </c>
      <c r="AL376">
        <f t="shared" si="267"/>
        <v>0</v>
      </c>
      <c r="AM376">
        <f t="shared" si="246"/>
        <v>0</v>
      </c>
      <c r="AN376">
        <f>IF($S$2=0,0,(SUMPRODUCT($K$2:$R$2,Assumptions!$B$34:$I$34)/$U$2+$J$2/$U$2*Assumptions!$A$34*G376)*K376*O375)</f>
        <v>0</v>
      </c>
      <c r="AO376">
        <f t="shared" si="268"/>
        <v>0</v>
      </c>
      <c r="AP376">
        <f t="shared" si="269"/>
        <v>0</v>
      </c>
      <c r="AQ376">
        <f>IF(B376&gt;$AJ$2,0,AQ375*(1+Assumptions!$B$43)^(1/12))</f>
        <v>0</v>
      </c>
      <c r="AR376" s="27">
        <f>IF(B376&gt;$AJ$2,0,(O375+R375)*Assumptions!$B$39/12*AQ375+AV376*Assumptions!$B$41/12)</f>
        <v>0</v>
      </c>
      <c r="AS376">
        <f t="shared" si="270"/>
        <v>0</v>
      </c>
      <c r="AT376" s="28">
        <f t="shared" si="271"/>
        <v>0</v>
      </c>
      <c r="AU376">
        <f t="shared" si="272"/>
        <v>0</v>
      </c>
      <c r="AV376" s="28">
        <f t="shared" si="273"/>
        <v>0</v>
      </c>
      <c r="AW376" s="28">
        <f t="shared" si="274"/>
        <v>0</v>
      </c>
      <c r="AX376" s="23">
        <f>HLOOKUP(YEAR(A376),Assumptions!$A$25:$AL$29,2,TRUE)/100</f>
        <v>1.1339999999999999E-2</v>
      </c>
      <c r="AY376" s="29">
        <f>1/(1+HLOOKUP(YEAR(A376),Assumptions!$A$18:$AL$20,3,TRUE))^(1/12)</f>
        <v>0.99902750864006262</v>
      </c>
      <c r="AZ376" s="26">
        <f t="shared" si="275"/>
        <v>0</v>
      </c>
      <c r="BA376">
        <f t="shared" si="276"/>
        <v>0</v>
      </c>
      <c r="BB376">
        <f t="shared" si="277"/>
        <v>0</v>
      </c>
      <c r="BC376">
        <f t="shared" si="278"/>
        <v>0</v>
      </c>
    </row>
    <row r="377" spans="1:55" x14ac:dyDescent="0.2">
      <c r="A377" s="3">
        <f t="shared" si="247"/>
        <v>54239</v>
      </c>
      <c r="B377">
        <f t="shared" si="243"/>
        <v>379</v>
      </c>
      <c r="C377">
        <f t="shared" si="286"/>
        <v>31.5</v>
      </c>
      <c r="D377">
        <f t="shared" si="287"/>
        <v>0</v>
      </c>
      <c r="E377">
        <f t="shared" si="244"/>
        <v>87</v>
      </c>
      <c r="F377">
        <f>IF(C377&gt;=$T$2,0,VLOOKUP($E377,'Mortality Table'!$A$3:$C$128,2+AF$2,FALSE))</f>
        <v>0</v>
      </c>
      <c r="G377">
        <f>F377*Assumptions!$B$1</f>
        <v>0</v>
      </c>
      <c r="H377">
        <f t="shared" si="248"/>
        <v>0</v>
      </c>
      <c r="I377">
        <f t="shared" si="281"/>
        <v>0</v>
      </c>
      <c r="J377">
        <f>IF(B377&gt;$AJ$2,0,HLOOKUP(C377,Assumptions!$A$6:$J$7,2,TRUE))</f>
        <v>0</v>
      </c>
      <c r="K377" s="4">
        <f t="shared" si="282"/>
        <v>0</v>
      </c>
      <c r="L377" s="4">
        <f t="shared" si="249"/>
        <v>0</v>
      </c>
      <c r="M377" s="4">
        <f t="shared" si="283"/>
        <v>0</v>
      </c>
      <c r="N377">
        <f t="shared" si="250"/>
        <v>0</v>
      </c>
      <c r="O377" s="21">
        <f t="shared" si="284"/>
        <v>0</v>
      </c>
      <c r="P377">
        <f>IF(B377&gt;$AJ$2,0,HLOOKUP(C377,Assumptions!$A$12:$J$13,2,TRUE))</f>
        <v>0</v>
      </c>
      <c r="Q377">
        <f t="shared" si="285"/>
        <v>0</v>
      </c>
      <c r="R377">
        <f t="shared" si="251"/>
        <v>0</v>
      </c>
      <c r="S377">
        <f t="shared" si="279"/>
        <v>0</v>
      </c>
      <c r="T377">
        <f t="shared" si="280"/>
        <v>0</v>
      </c>
      <c r="U377">
        <f t="shared" si="252"/>
        <v>0</v>
      </c>
      <c r="V377">
        <f t="shared" si="253"/>
        <v>0</v>
      </c>
      <c r="W377">
        <f t="shared" si="254"/>
        <v>0</v>
      </c>
      <c r="X377">
        <f t="shared" si="245"/>
        <v>0</v>
      </c>
      <c r="Y377">
        <f t="shared" si="255"/>
        <v>0</v>
      </c>
      <c r="Z377">
        <f t="shared" si="256"/>
        <v>0</v>
      </c>
      <c r="AA377">
        <f t="shared" si="257"/>
        <v>0</v>
      </c>
      <c r="AB377">
        <f t="shared" si="258"/>
        <v>0</v>
      </c>
      <c r="AC377" s="23">
        <f>IF(B377&gt;$AJ$2,0,HLOOKUP(YEAR(A377),Assumptions!$A$25:$AL$29,4,TRUE)/100)</f>
        <v>0</v>
      </c>
      <c r="AD377">
        <f t="shared" si="259"/>
        <v>0</v>
      </c>
      <c r="AE377">
        <f t="shared" si="260"/>
        <v>0</v>
      </c>
      <c r="AF377">
        <f t="shared" si="261"/>
        <v>0</v>
      </c>
      <c r="AG377">
        <f t="shared" si="262"/>
        <v>0</v>
      </c>
      <c r="AH377">
        <f t="shared" si="263"/>
        <v>0</v>
      </c>
      <c r="AI377">
        <f t="shared" si="264"/>
        <v>0</v>
      </c>
      <c r="AJ377">
        <f t="shared" si="265"/>
        <v>0</v>
      </c>
      <c r="AK377">
        <f t="shared" si="266"/>
        <v>0</v>
      </c>
      <c r="AL377">
        <f t="shared" si="267"/>
        <v>0</v>
      </c>
      <c r="AM377">
        <f t="shared" si="246"/>
        <v>0</v>
      </c>
      <c r="AN377">
        <f>IF($S$2=0,0,(SUMPRODUCT($K$2:$R$2,Assumptions!$B$34:$I$34)/$U$2+$J$2/$U$2*Assumptions!$A$34*G377)*K377*O376)</f>
        <v>0</v>
      </c>
      <c r="AO377">
        <f t="shared" si="268"/>
        <v>0</v>
      </c>
      <c r="AP377">
        <f t="shared" si="269"/>
        <v>0</v>
      </c>
      <c r="AQ377">
        <f>IF(B377&gt;$AJ$2,0,AQ376*(1+Assumptions!$B$43)^(1/12))</f>
        <v>0</v>
      </c>
      <c r="AR377" s="27">
        <f>IF(B377&gt;$AJ$2,0,(O376+R376)*Assumptions!$B$39/12*AQ376+AV377*Assumptions!$B$41/12)</f>
        <v>0</v>
      </c>
      <c r="AS377">
        <f t="shared" si="270"/>
        <v>0</v>
      </c>
      <c r="AT377" s="28">
        <f t="shared" si="271"/>
        <v>0</v>
      </c>
      <c r="AU377">
        <f t="shared" si="272"/>
        <v>0</v>
      </c>
      <c r="AV377" s="28">
        <f t="shared" si="273"/>
        <v>0</v>
      </c>
      <c r="AW377" s="28">
        <f t="shared" si="274"/>
        <v>0</v>
      </c>
      <c r="AX377" s="23">
        <f>HLOOKUP(YEAR(A377),Assumptions!$A$25:$AL$29,2,TRUE)/100</f>
        <v>1.1339999999999999E-2</v>
      </c>
      <c r="AY377" s="29">
        <f>1/(1+HLOOKUP(YEAR(A377),Assumptions!$A$18:$AL$20,3,TRUE))^(1/12)</f>
        <v>0.99902750864006262</v>
      </c>
      <c r="AZ377" s="26">
        <f t="shared" si="275"/>
        <v>0</v>
      </c>
      <c r="BA377">
        <f t="shared" si="276"/>
        <v>0</v>
      </c>
      <c r="BB377">
        <f t="shared" si="277"/>
        <v>0</v>
      </c>
      <c r="BC377">
        <f t="shared" si="278"/>
        <v>0</v>
      </c>
    </row>
    <row r="378" spans="1:55" x14ac:dyDescent="0.2">
      <c r="A378" s="3">
        <f t="shared" si="247"/>
        <v>54270</v>
      </c>
      <c r="B378">
        <f t="shared" si="243"/>
        <v>380</v>
      </c>
      <c r="C378">
        <f t="shared" si="286"/>
        <v>31.583333333333336</v>
      </c>
      <c r="D378">
        <f t="shared" si="287"/>
        <v>0</v>
      </c>
      <c r="E378">
        <f t="shared" si="244"/>
        <v>87</v>
      </c>
      <c r="F378">
        <f>IF(C378&gt;=$T$2,0,VLOOKUP($E378,'Mortality Table'!$A$3:$C$128,2+AF$2,FALSE))</f>
        <v>0</v>
      </c>
      <c r="G378">
        <f>F378*Assumptions!$B$1</f>
        <v>0</v>
      </c>
      <c r="H378">
        <f t="shared" si="248"/>
        <v>0</v>
      </c>
      <c r="I378">
        <f t="shared" si="281"/>
        <v>0</v>
      </c>
      <c r="J378">
        <f>IF(B378&gt;$AJ$2,0,HLOOKUP(C378,Assumptions!$A$6:$J$7,2,TRUE))</f>
        <v>0</v>
      </c>
      <c r="K378" s="4">
        <f t="shared" si="282"/>
        <v>0</v>
      </c>
      <c r="L378" s="4">
        <f t="shared" si="249"/>
        <v>0</v>
      </c>
      <c r="M378" s="4">
        <f t="shared" si="283"/>
        <v>0</v>
      </c>
      <c r="N378">
        <f t="shared" si="250"/>
        <v>0</v>
      </c>
      <c r="O378" s="21">
        <f t="shared" si="284"/>
        <v>0</v>
      </c>
      <c r="P378">
        <f>IF(B378&gt;$AJ$2,0,HLOOKUP(C378,Assumptions!$A$12:$J$13,2,TRUE))</f>
        <v>0</v>
      </c>
      <c r="Q378">
        <f t="shared" si="285"/>
        <v>0</v>
      </c>
      <c r="R378">
        <f t="shared" si="251"/>
        <v>0</v>
      </c>
      <c r="S378">
        <f t="shared" si="279"/>
        <v>0</v>
      </c>
      <c r="T378">
        <f t="shared" si="280"/>
        <v>0</v>
      </c>
      <c r="U378">
        <f t="shared" si="252"/>
        <v>0</v>
      </c>
      <c r="V378">
        <f t="shared" si="253"/>
        <v>0</v>
      </c>
      <c r="W378">
        <f t="shared" si="254"/>
        <v>0</v>
      </c>
      <c r="X378">
        <f t="shared" si="245"/>
        <v>0</v>
      </c>
      <c r="Y378">
        <f t="shared" si="255"/>
        <v>0</v>
      </c>
      <c r="Z378">
        <f t="shared" si="256"/>
        <v>0</v>
      </c>
      <c r="AA378">
        <f t="shared" si="257"/>
        <v>0</v>
      </c>
      <c r="AB378">
        <f t="shared" si="258"/>
        <v>0</v>
      </c>
      <c r="AC378" s="23">
        <f>IF(B378&gt;$AJ$2,0,HLOOKUP(YEAR(A378),Assumptions!$A$25:$AL$29,4,TRUE)/100)</f>
        <v>0</v>
      </c>
      <c r="AD378">
        <f t="shared" si="259"/>
        <v>0</v>
      </c>
      <c r="AE378">
        <f t="shared" si="260"/>
        <v>0</v>
      </c>
      <c r="AF378">
        <f t="shared" si="261"/>
        <v>0</v>
      </c>
      <c r="AG378">
        <f t="shared" si="262"/>
        <v>0</v>
      </c>
      <c r="AH378">
        <f t="shared" si="263"/>
        <v>0</v>
      </c>
      <c r="AI378">
        <f t="shared" si="264"/>
        <v>0</v>
      </c>
      <c r="AJ378">
        <f t="shared" si="265"/>
        <v>0</v>
      </c>
      <c r="AK378">
        <f t="shared" si="266"/>
        <v>0</v>
      </c>
      <c r="AL378">
        <f t="shared" si="267"/>
        <v>0</v>
      </c>
      <c r="AM378">
        <f t="shared" si="246"/>
        <v>0</v>
      </c>
      <c r="AN378">
        <f>IF($S$2=0,0,(SUMPRODUCT($K$2:$R$2,Assumptions!$B$34:$I$34)/$U$2+$J$2/$U$2*Assumptions!$A$34*G378)*K378*O377)</f>
        <v>0</v>
      </c>
      <c r="AO378">
        <f t="shared" si="268"/>
        <v>0</v>
      </c>
      <c r="AP378">
        <f t="shared" si="269"/>
        <v>0</v>
      </c>
      <c r="AQ378">
        <f>IF(B378&gt;$AJ$2,0,AQ377*(1+Assumptions!$B$43)^(1/12))</f>
        <v>0</v>
      </c>
      <c r="AR378" s="27">
        <f>IF(B378&gt;$AJ$2,0,(O377+R377)*Assumptions!$B$39/12*AQ377+AV378*Assumptions!$B$41/12)</f>
        <v>0</v>
      </c>
      <c r="AS378">
        <f t="shared" si="270"/>
        <v>0</v>
      </c>
      <c r="AT378" s="28">
        <f t="shared" si="271"/>
        <v>0</v>
      </c>
      <c r="AU378">
        <f t="shared" si="272"/>
        <v>0</v>
      </c>
      <c r="AV378" s="28">
        <f t="shared" si="273"/>
        <v>0</v>
      </c>
      <c r="AW378" s="28">
        <f t="shared" si="274"/>
        <v>0</v>
      </c>
      <c r="AX378" s="23">
        <f>HLOOKUP(YEAR(A378),Assumptions!$A$25:$AL$29,2,TRUE)/100</f>
        <v>1.1339999999999999E-2</v>
      </c>
      <c r="AY378" s="29">
        <f>1/(1+HLOOKUP(YEAR(A378),Assumptions!$A$18:$AL$20,3,TRUE))^(1/12)</f>
        <v>0.99902750864006262</v>
      </c>
      <c r="AZ378" s="26">
        <f t="shared" si="275"/>
        <v>0</v>
      </c>
      <c r="BA378">
        <f t="shared" si="276"/>
        <v>0</v>
      </c>
      <c r="BB378">
        <f t="shared" si="277"/>
        <v>0</v>
      </c>
      <c r="BC378">
        <f t="shared" si="278"/>
        <v>0</v>
      </c>
    </row>
    <row r="379" spans="1:55" x14ac:dyDescent="0.2">
      <c r="A379" s="3">
        <f t="shared" si="247"/>
        <v>54301</v>
      </c>
      <c r="B379">
        <f t="shared" si="243"/>
        <v>381</v>
      </c>
      <c r="C379">
        <f t="shared" si="286"/>
        <v>31.666666666666664</v>
      </c>
      <c r="D379">
        <f t="shared" si="287"/>
        <v>0</v>
      </c>
      <c r="E379">
        <f t="shared" si="244"/>
        <v>87</v>
      </c>
      <c r="F379">
        <f>IF(C379&gt;=$T$2,0,VLOOKUP($E379,'Mortality Table'!$A$3:$C$128,2+AF$2,FALSE))</f>
        <v>0</v>
      </c>
      <c r="G379">
        <f>F379*Assumptions!$B$1</f>
        <v>0</v>
      </c>
      <c r="H379">
        <f t="shared" si="248"/>
        <v>0</v>
      </c>
      <c r="I379">
        <f t="shared" si="281"/>
        <v>0</v>
      </c>
      <c r="J379">
        <f>IF(B379&gt;$AJ$2,0,HLOOKUP(C379,Assumptions!$A$6:$J$7,2,TRUE))</f>
        <v>0</v>
      </c>
      <c r="K379" s="4">
        <f t="shared" si="282"/>
        <v>0</v>
      </c>
      <c r="L379" s="4">
        <f t="shared" si="249"/>
        <v>0</v>
      </c>
      <c r="M379" s="4">
        <f t="shared" si="283"/>
        <v>0</v>
      </c>
      <c r="N379">
        <f t="shared" si="250"/>
        <v>0</v>
      </c>
      <c r="O379" s="21">
        <f t="shared" si="284"/>
        <v>0</v>
      </c>
      <c r="P379">
        <f>IF(B379&gt;$AJ$2,0,HLOOKUP(C379,Assumptions!$A$12:$J$13,2,TRUE))</f>
        <v>0</v>
      </c>
      <c r="Q379">
        <f t="shared" si="285"/>
        <v>0</v>
      </c>
      <c r="R379">
        <f t="shared" si="251"/>
        <v>0</v>
      </c>
      <c r="S379">
        <f t="shared" si="279"/>
        <v>0</v>
      </c>
      <c r="T379">
        <f t="shared" si="280"/>
        <v>0</v>
      </c>
      <c r="U379">
        <f t="shared" si="252"/>
        <v>0</v>
      </c>
      <c r="V379">
        <f t="shared" si="253"/>
        <v>0</v>
      </c>
      <c r="W379">
        <f t="shared" si="254"/>
        <v>0</v>
      </c>
      <c r="X379">
        <f t="shared" si="245"/>
        <v>0</v>
      </c>
      <c r="Y379">
        <f t="shared" si="255"/>
        <v>0</v>
      </c>
      <c r="Z379">
        <f t="shared" si="256"/>
        <v>0</v>
      </c>
      <c r="AA379">
        <f t="shared" si="257"/>
        <v>0</v>
      </c>
      <c r="AB379">
        <f t="shared" si="258"/>
        <v>0</v>
      </c>
      <c r="AC379" s="23">
        <f>IF(B379&gt;$AJ$2,0,HLOOKUP(YEAR(A379),Assumptions!$A$25:$AL$29,4,TRUE)/100)</f>
        <v>0</v>
      </c>
      <c r="AD379">
        <f t="shared" si="259"/>
        <v>0</v>
      </c>
      <c r="AE379">
        <f t="shared" si="260"/>
        <v>0</v>
      </c>
      <c r="AF379">
        <f t="shared" si="261"/>
        <v>0</v>
      </c>
      <c r="AG379">
        <f t="shared" si="262"/>
        <v>0</v>
      </c>
      <c r="AH379">
        <f t="shared" si="263"/>
        <v>0</v>
      </c>
      <c r="AI379">
        <f t="shared" si="264"/>
        <v>0</v>
      </c>
      <c r="AJ379">
        <f t="shared" si="265"/>
        <v>0</v>
      </c>
      <c r="AK379">
        <f t="shared" si="266"/>
        <v>0</v>
      </c>
      <c r="AL379">
        <f t="shared" si="267"/>
        <v>0</v>
      </c>
      <c r="AM379">
        <f t="shared" si="246"/>
        <v>0</v>
      </c>
      <c r="AN379">
        <f>IF($S$2=0,0,(SUMPRODUCT($K$2:$R$2,Assumptions!$B$34:$I$34)/$U$2+$J$2/$U$2*Assumptions!$A$34*G379)*K379*O378)</f>
        <v>0</v>
      </c>
      <c r="AO379">
        <f t="shared" si="268"/>
        <v>0</v>
      </c>
      <c r="AP379">
        <f t="shared" si="269"/>
        <v>0</v>
      </c>
      <c r="AQ379">
        <f>IF(B379&gt;$AJ$2,0,AQ378*(1+Assumptions!$B$43)^(1/12))</f>
        <v>0</v>
      </c>
      <c r="AR379" s="27">
        <f>IF(B379&gt;$AJ$2,0,(O378+R378)*Assumptions!$B$39/12*AQ378+AV379*Assumptions!$B$41/12)</f>
        <v>0</v>
      </c>
      <c r="AS379">
        <f t="shared" si="270"/>
        <v>0</v>
      </c>
      <c r="AT379" s="28">
        <f t="shared" si="271"/>
        <v>0</v>
      </c>
      <c r="AU379">
        <f t="shared" si="272"/>
        <v>0</v>
      </c>
      <c r="AV379" s="28">
        <f t="shared" si="273"/>
        <v>0</v>
      </c>
      <c r="AW379" s="28">
        <f t="shared" si="274"/>
        <v>0</v>
      </c>
      <c r="AX379" s="23">
        <f>HLOOKUP(YEAR(A379),Assumptions!$A$25:$AL$29,2,TRUE)/100</f>
        <v>1.1339999999999999E-2</v>
      </c>
      <c r="AY379" s="29">
        <f>1/(1+HLOOKUP(YEAR(A379),Assumptions!$A$18:$AL$20,3,TRUE))^(1/12)</f>
        <v>0.99902750864006262</v>
      </c>
      <c r="AZ379" s="26">
        <f t="shared" si="275"/>
        <v>0</v>
      </c>
      <c r="BA379">
        <f t="shared" si="276"/>
        <v>0</v>
      </c>
      <c r="BB379">
        <f t="shared" si="277"/>
        <v>0</v>
      </c>
      <c r="BC379">
        <f t="shared" si="278"/>
        <v>0</v>
      </c>
    </row>
    <row r="380" spans="1:55" x14ac:dyDescent="0.2">
      <c r="A380" s="3">
        <f t="shared" si="247"/>
        <v>54331</v>
      </c>
      <c r="B380">
        <f t="shared" si="243"/>
        <v>382</v>
      </c>
      <c r="C380">
        <f t="shared" si="286"/>
        <v>31.75</v>
      </c>
      <c r="D380">
        <f t="shared" si="287"/>
        <v>0</v>
      </c>
      <c r="E380">
        <f t="shared" si="244"/>
        <v>87</v>
      </c>
      <c r="F380">
        <f>IF(C380&gt;=$T$2,0,VLOOKUP($E380,'Mortality Table'!$A$3:$C$128,2+AF$2,FALSE))</f>
        <v>0</v>
      </c>
      <c r="G380">
        <f>F380*Assumptions!$B$1</f>
        <v>0</v>
      </c>
      <c r="H380">
        <f t="shared" si="248"/>
        <v>0</v>
      </c>
      <c r="I380">
        <f t="shared" si="281"/>
        <v>0</v>
      </c>
      <c r="J380">
        <f>IF(B380&gt;$AJ$2,0,HLOOKUP(C380,Assumptions!$A$6:$J$7,2,TRUE))</f>
        <v>0</v>
      </c>
      <c r="K380" s="4">
        <f t="shared" si="282"/>
        <v>0</v>
      </c>
      <c r="L380" s="4">
        <f t="shared" si="249"/>
        <v>0</v>
      </c>
      <c r="M380" s="4">
        <f t="shared" si="283"/>
        <v>0</v>
      </c>
      <c r="N380">
        <f t="shared" si="250"/>
        <v>0</v>
      </c>
      <c r="O380" s="21">
        <f t="shared" si="284"/>
        <v>0</v>
      </c>
      <c r="P380">
        <f>IF(B380&gt;$AJ$2,0,HLOOKUP(C380,Assumptions!$A$12:$J$13,2,TRUE))</f>
        <v>0</v>
      </c>
      <c r="Q380">
        <f t="shared" si="285"/>
        <v>0</v>
      </c>
      <c r="R380">
        <f t="shared" si="251"/>
        <v>0</v>
      </c>
      <c r="S380">
        <f t="shared" si="279"/>
        <v>0</v>
      </c>
      <c r="T380">
        <f t="shared" si="280"/>
        <v>0</v>
      </c>
      <c r="U380">
        <f t="shared" si="252"/>
        <v>0</v>
      </c>
      <c r="V380">
        <f t="shared" si="253"/>
        <v>0</v>
      </c>
      <c r="W380">
        <f t="shared" si="254"/>
        <v>0</v>
      </c>
      <c r="X380">
        <f t="shared" si="245"/>
        <v>0</v>
      </c>
      <c r="Y380">
        <f t="shared" si="255"/>
        <v>0</v>
      </c>
      <c r="Z380">
        <f t="shared" si="256"/>
        <v>0</v>
      </c>
      <c r="AA380">
        <f t="shared" si="257"/>
        <v>0</v>
      </c>
      <c r="AB380">
        <f t="shared" si="258"/>
        <v>0</v>
      </c>
      <c r="AC380" s="23">
        <f>IF(B380&gt;$AJ$2,0,HLOOKUP(YEAR(A380),Assumptions!$A$25:$AL$29,4,TRUE)/100)</f>
        <v>0</v>
      </c>
      <c r="AD380">
        <f t="shared" si="259"/>
        <v>0</v>
      </c>
      <c r="AE380">
        <f t="shared" si="260"/>
        <v>0</v>
      </c>
      <c r="AF380">
        <f t="shared" si="261"/>
        <v>0</v>
      </c>
      <c r="AG380">
        <f t="shared" si="262"/>
        <v>0</v>
      </c>
      <c r="AH380">
        <f t="shared" si="263"/>
        <v>0</v>
      </c>
      <c r="AI380">
        <f t="shared" si="264"/>
        <v>0</v>
      </c>
      <c r="AJ380">
        <f t="shared" si="265"/>
        <v>0</v>
      </c>
      <c r="AK380">
        <f t="shared" si="266"/>
        <v>0</v>
      </c>
      <c r="AL380">
        <f t="shared" si="267"/>
        <v>0</v>
      </c>
      <c r="AM380">
        <f t="shared" si="246"/>
        <v>0</v>
      </c>
      <c r="AN380">
        <f>IF($S$2=0,0,(SUMPRODUCT($K$2:$R$2,Assumptions!$B$34:$I$34)/$U$2+$J$2/$U$2*Assumptions!$A$34*G380)*K380*O379)</f>
        <v>0</v>
      </c>
      <c r="AO380">
        <f t="shared" si="268"/>
        <v>0</v>
      </c>
      <c r="AP380">
        <f t="shared" si="269"/>
        <v>0</v>
      </c>
      <c r="AQ380">
        <f>IF(B380&gt;$AJ$2,0,AQ379*(1+Assumptions!$B$43)^(1/12))</f>
        <v>0</v>
      </c>
      <c r="AR380" s="27">
        <f>IF(B380&gt;$AJ$2,0,(O379+R379)*Assumptions!$B$39/12*AQ379+AV380*Assumptions!$B$41/12)</f>
        <v>0</v>
      </c>
      <c r="AS380">
        <f t="shared" si="270"/>
        <v>0</v>
      </c>
      <c r="AT380" s="28">
        <f t="shared" si="271"/>
        <v>0</v>
      </c>
      <c r="AU380">
        <f t="shared" si="272"/>
        <v>0</v>
      </c>
      <c r="AV380" s="28">
        <f t="shared" si="273"/>
        <v>0</v>
      </c>
      <c r="AW380" s="28">
        <f t="shared" si="274"/>
        <v>0</v>
      </c>
      <c r="AX380" s="23">
        <f>HLOOKUP(YEAR(A380),Assumptions!$A$25:$AL$29,2,TRUE)/100</f>
        <v>1.1339999999999999E-2</v>
      </c>
      <c r="AY380" s="29">
        <f>1/(1+HLOOKUP(YEAR(A380),Assumptions!$A$18:$AL$20,3,TRUE))^(1/12)</f>
        <v>0.99902750864006262</v>
      </c>
      <c r="AZ380" s="26">
        <f t="shared" si="275"/>
        <v>0</v>
      </c>
      <c r="BA380">
        <f t="shared" si="276"/>
        <v>0</v>
      </c>
      <c r="BB380">
        <f t="shared" si="277"/>
        <v>0</v>
      </c>
      <c r="BC380">
        <f t="shared" si="278"/>
        <v>0</v>
      </c>
    </row>
    <row r="381" spans="1:55" x14ac:dyDescent="0.2">
      <c r="A381" s="3">
        <f t="shared" si="247"/>
        <v>54362</v>
      </c>
      <c r="B381">
        <f t="shared" si="243"/>
        <v>383</v>
      </c>
      <c r="C381">
        <f t="shared" si="286"/>
        <v>31.833333333333336</v>
      </c>
      <c r="D381">
        <f t="shared" si="287"/>
        <v>0</v>
      </c>
      <c r="E381">
        <f t="shared" si="244"/>
        <v>87</v>
      </c>
      <c r="F381">
        <f>IF(C381&gt;=$T$2,0,VLOOKUP($E381,'Mortality Table'!$A$3:$C$128,2+AF$2,FALSE))</f>
        <v>0</v>
      </c>
      <c r="G381">
        <f>F381*Assumptions!$B$1</f>
        <v>0</v>
      </c>
      <c r="H381">
        <f t="shared" si="248"/>
        <v>0</v>
      </c>
      <c r="I381">
        <f t="shared" si="281"/>
        <v>0</v>
      </c>
      <c r="J381">
        <f>IF(B381&gt;$AJ$2,0,HLOOKUP(C381,Assumptions!$A$6:$J$7,2,TRUE))</f>
        <v>0</v>
      </c>
      <c r="K381" s="4">
        <f t="shared" si="282"/>
        <v>0</v>
      </c>
      <c r="L381" s="4">
        <f t="shared" si="249"/>
        <v>0</v>
      </c>
      <c r="M381" s="4">
        <f t="shared" si="283"/>
        <v>0</v>
      </c>
      <c r="N381">
        <f t="shared" si="250"/>
        <v>0</v>
      </c>
      <c r="O381" s="21">
        <f t="shared" si="284"/>
        <v>0</v>
      </c>
      <c r="P381">
        <f>IF(B381&gt;$AJ$2,0,HLOOKUP(C381,Assumptions!$A$12:$J$13,2,TRUE))</f>
        <v>0</v>
      </c>
      <c r="Q381">
        <f t="shared" si="285"/>
        <v>0</v>
      </c>
      <c r="R381">
        <f t="shared" si="251"/>
        <v>0</v>
      </c>
      <c r="S381">
        <f t="shared" si="279"/>
        <v>0</v>
      </c>
      <c r="T381">
        <f t="shared" si="280"/>
        <v>0</v>
      </c>
      <c r="U381">
        <f t="shared" si="252"/>
        <v>0</v>
      </c>
      <c r="V381">
        <f t="shared" si="253"/>
        <v>0</v>
      </c>
      <c r="W381">
        <f t="shared" si="254"/>
        <v>0</v>
      </c>
      <c r="X381">
        <f t="shared" si="245"/>
        <v>0</v>
      </c>
      <c r="Y381">
        <f t="shared" si="255"/>
        <v>0</v>
      </c>
      <c r="Z381">
        <f t="shared" si="256"/>
        <v>0</v>
      </c>
      <c r="AA381">
        <f t="shared" si="257"/>
        <v>0</v>
      </c>
      <c r="AB381">
        <f t="shared" si="258"/>
        <v>0</v>
      </c>
      <c r="AC381" s="23">
        <f>IF(B381&gt;$AJ$2,0,HLOOKUP(YEAR(A381),Assumptions!$A$25:$AL$29,4,TRUE)/100)</f>
        <v>0</v>
      </c>
      <c r="AD381">
        <f t="shared" si="259"/>
        <v>0</v>
      </c>
      <c r="AE381">
        <f t="shared" si="260"/>
        <v>0</v>
      </c>
      <c r="AF381">
        <f t="shared" si="261"/>
        <v>0</v>
      </c>
      <c r="AG381">
        <f t="shared" si="262"/>
        <v>0</v>
      </c>
      <c r="AH381">
        <f t="shared" si="263"/>
        <v>0</v>
      </c>
      <c r="AI381">
        <f t="shared" si="264"/>
        <v>0</v>
      </c>
      <c r="AJ381">
        <f t="shared" si="265"/>
        <v>0</v>
      </c>
      <c r="AK381">
        <f t="shared" si="266"/>
        <v>0</v>
      </c>
      <c r="AL381">
        <f t="shared" si="267"/>
        <v>0</v>
      </c>
      <c r="AM381">
        <f t="shared" si="246"/>
        <v>0</v>
      </c>
      <c r="AN381">
        <f>IF($S$2=0,0,(SUMPRODUCT($K$2:$R$2,Assumptions!$B$34:$I$34)/$U$2+$J$2/$U$2*Assumptions!$A$34*G381)*K381*O380)</f>
        <v>0</v>
      </c>
      <c r="AO381">
        <f t="shared" si="268"/>
        <v>0</v>
      </c>
      <c r="AP381">
        <f t="shared" si="269"/>
        <v>0</v>
      </c>
      <c r="AQ381">
        <f>IF(B381&gt;$AJ$2,0,AQ380*(1+Assumptions!$B$43)^(1/12))</f>
        <v>0</v>
      </c>
      <c r="AR381" s="27">
        <f>IF(B381&gt;$AJ$2,0,(O380+R380)*Assumptions!$B$39/12*AQ380+AV381*Assumptions!$B$41/12)</f>
        <v>0</v>
      </c>
      <c r="AS381">
        <f t="shared" si="270"/>
        <v>0</v>
      </c>
      <c r="AT381" s="28">
        <f t="shared" si="271"/>
        <v>0</v>
      </c>
      <c r="AU381">
        <f t="shared" si="272"/>
        <v>0</v>
      </c>
      <c r="AV381" s="28">
        <f t="shared" si="273"/>
        <v>0</v>
      </c>
      <c r="AW381" s="28">
        <f t="shared" si="274"/>
        <v>0</v>
      </c>
      <c r="AX381" s="23">
        <f>HLOOKUP(YEAR(A381),Assumptions!$A$25:$AL$29,2,TRUE)/100</f>
        <v>1.1339999999999999E-2</v>
      </c>
      <c r="AY381" s="29">
        <f>1/(1+HLOOKUP(YEAR(A381),Assumptions!$A$18:$AL$20,3,TRUE))^(1/12)</f>
        <v>0.99902750864006262</v>
      </c>
      <c r="AZ381" s="26">
        <f t="shared" si="275"/>
        <v>0</v>
      </c>
      <c r="BA381">
        <f t="shared" si="276"/>
        <v>0</v>
      </c>
      <c r="BB381">
        <f t="shared" si="277"/>
        <v>0</v>
      </c>
      <c r="BC381">
        <f t="shared" si="278"/>
        <v>0</v>
      </c>
    </row>
    <row r="382" spans="1:55" x14ac:dyDescent="0.2">
      <c r="A382" s="3">
        <f t="shared" si="247"/>
        <v>54392</v>
      </c>
      <c r="B382">
        <f t="shared" si="243"/>
        <v>384</v>
      </c>
      <c r="C382">
        <f t="shared" si="286"/>
        <v>31.916666666666664</v>
      </c>
      <c r="D382">
        <f t="shared" si="287"/>
        <v>0</v>
      </c>
      <c r="E382">
        <f t="shared" si="244"/>
        <v>87</v>
      </c>
      <c r="F382">
        <f>IF(C382&gt;=$T$2,0,VLOOKUP($E382,'Mortality Table'!$A$3:$C$128,2+AF$2,FALSE))</f>
        <v>0</v>
      </c>
      <c r="G382">
        <f>F382*Assumptions!$B$1</f>
        <v>0</v>
      </c>
      <c r="H382">
        <f t="shared" si="248"/>
        <v>0</v>
      </c>
      <c r="I382">
        <f t="shared" si="281"/>
        <v>0</v>
      </c>
      <c r="J382">
        <f>IF(B382&gt;$AJ$2,0,HLOOKUP(C382,Assumptions!$A$6:$J$7,2,TRUE))</f>
        <v>0</v>
      </c>
      <c r="K382" s="4">
        <f t="shared" si="282"/>
        <v>0</v>
      </c>
      <c r="L382" s="4">
        <f t="shared" si="249"/>
        <v>0</v>
      </c>
      <c r="M382" s="4">
        <f t="shared" si="283"/>
        <v>0</v>
      </c>
      <c r="N382">
        <f t="shared" si="250"/>
        <v>0</v>
      </c>
      <c r="O382" s="21">
        <f t="shared" si="284"/>
        <v>0</v>
      </c>
      <c r="P382">
        <f>IF(B382&gt;$AJ$2,0,HLOOKUP(C382,Assumptions!$A$12:$J$13,2,TRUE))</f>
        <v>0</v>
      </c>
      <c r="Q382">
        <f t="shared" si="285"/>
        <v>0</v>
      </c>
      <c r="R382">
        <f t="shared" si="251"/>
        <v>0</v>
      </c>
      <c r="S382">
        <f t="shared" si="279"/>
        <v>0</v>
      </c>
      <c r="T382">
        <f t="shared" si="280"/>
        <v>0</v>
      </c>
      <c r="U382">
        <f t="shared" si="252"/>
        <v>0</v>
      </c>
      <c r="V382">
        <f t="shared" si="253"/>
        <v>0</v>
      </c>
      <c r="W382">
        <f t="shared" si="254"/>
        <v>0</v>
      </c>
      <c r="X382">
        <f t="shared" si="245"/>
        <v>0</v>
      </c>
      <c r="Y382">
        <f t="shared" si="255"/>
        <v>0</v>
      </c>
      <c r="Z382">
        <f t="shared" si="256"/>
        <v>0</v>
      </c>
      <c r="AA382">
        <f t="shared" si="257"/>
        <v>0</v>
      </c>
      <c r="AB382">
        <f t="shared" si="258"/>
        <v>0</v>
      </c>
      <c r="AC382" s="23">
        <f>IF(B382&gt;$AJ$2,0,HLOOKUP(YEAR(A382),Assumptions!$A$25:$AL$29,4,TRUE)/100)</f>
        <v>0</v>
      </c>
      <c r="AD382">
        <f t="shared" si="259"/>
        <v>0</v>
      </c>
      <c r="AE382">
        <f t="shared" si="260"/>
        <v>0</v>
      </c>
      <c r="AF382">
        <f t="shared" si="261"/>
        <v>0</v>
      </c>
      <c r="AG382">
        <f t="shared" si="262"/>
        <v>0</v>
      </c>
      <c r="AH382">
        <f t="shared" si="263"/>
        <v>0</v>
      </c>
      <c r="AI382">
        <f t="shared" si="264"/>
        <v>0</v>
      </c>
      <c r="AJ382">
        <f t="shared" si="265"/>
        <v>0</v>
      </c>
      <c r="AK382">
        <f t="shared" si="266"/>
        <v>0</v>
      </c>
      <c r="AL382">
        <f t="shared" si="267"/>
        <v>0</v>
      </c>
      <c r="AM382">
        <f t="shared" si="246"/>
        <v>0</v>
      </c>
      <c r="AN382">
        <f>IF($S$2=0,0,(SUMPRODUCT($K$2:$R$2,Assumptions!$B$34:$I$34)/$U$2+$J$2/$U$2*Assumptions!$A$34*G382)*K382*O381)</f>
        <v>0</v>
      </c>
      <c r="AO382">
        <f t="shared" si="268"/>
        <v>0</v>
      </c>
      <c r="AP382">
        <f t="shared" si="269"/>
        <v>0</v>
      </c>
      <c r="AQ382">
        <f>IF(B382&gt;$AJ$2,0,AQ381*(1+Assumptions!$B$43)^(1/12))</f>
        <v>0</v>
      </c>
      <c r="AR382" s="27">
        <f>IF(B382&gt;$AJ$2,0,(O381+R381)*Assumptions!$B$39/12*AQ381+AV382*Assumptions!$B$41/12)</f>
        <v>0</v>
      </c>
      <c r="AS382">
        <f t="shared" si="270"/>
        <v>0</v>
      </c>
      <c r="AT382" s="28">
        <f t="shared" si="271"/>
        <v>0</v>
      </c>
      <c r="AU382">
        <f t="shared" si="272"/>
        <v>0</v>
      </c>
      <c r="AV382" s="28">
        <f t="shared" si="273"/>
        <v>0</v>
      </c>
      <c r="AW382" s="28">
        <f t="shared" si="274"/>
        <v>0</v>
      </c>
      <c r="AX382" s="23">
        <f>HLOOKUP(YEAR(A382),Assumptions!$A$25:$AL$29,2,TRUE)/100</f>
        <v>1.1339999999999999E-2</v>
      </c>
      <c r="AY382" s="29">
        <f>1/(1+HLOOKUP(YEAR(A382),Assumptions!$A$18:$AL$20,3,TRUE))^(1/12)</f>
        <v>0.99902750864006262</v>
      </c>
      <c r="AZ382" s="26">
        <f t="shared" si="275"/>
        <v>0</v>
      </c>
      <c r="BA382">
        <f t="shared" si="276"/>
        <v>0</v>
      </c>
      <c r="BB382">
        <f t="shared" si="277"/>
        <v>0</v>
      </c>
      <c r="BC382">
        <f t="shared" si="278"/>
        <v>0</v>
      </c>
    </row>
    <row r="383" spans="1:55" x14ac:dyDescent="0.2">
      <c r="A383" s="3">
        <f t="shared" si="247"/>
        <v>54423</v>
      </c>
      <c r="B383">
        <f t="shared" si="243"/>
        <v>385</v>
      </c>
      <c r="C383">
        <f t="shared" si="286"/>
        <v>32</v>
      </c>
      <c r="D383">
        <f t="shared" si="287"/>
        <v>1</v>
      </c>
      <c r="E383">
        <f t="shared" si="244"/>
        <v>88</v>
      </c>
      <c r="F383">
        <f>IF(C383&gt;=$T$2,0,VLOOKUP($E383,'Mortality Table'!$A$3:$C$128,2+AF$2,FALSE))</f>
        <v>0</v>
      </c>
      <c r="G383">
        <f>F383*Assumptions!$B$1</f>
        <v>0</v>
      </c>
      <c r="H383">
        <f t="shared" si="248"/>
        <v>0</v>
      </c>
      <c r="I383">
        <f t="shared" si="281"/>
        <v>0</v>
      </c>
      <c r="J383">
        <f>IF(B383&gt;$AJ$2,0,HLOOKUP(C383,Assumptions!$A$6:$J$7,2,TRUE))</f>
        <v>0</v>
      </c>
      <c r="K383" s="4">
        <f t="shared" si="282"/>
        <v>0</v>
      </c>
      <c r="L383" s="4">
        <f t="shared" si="249"/>
        <v>0</v>
      </c>
      <c r="M383" s="4">
        <f t="shared" si="283"/>
        <v>0</v>
      </c>
      <c r="N383">
        <f t="shared" si="250"/>
        <v>0</v>
      </c>
      <c r="O383" s="21">
        <f t="shared" si="284"/>
        <v>0</v>
      </c>
      <c r="P383">
        <f>IF(B383&gt;$AJ$2,0,HLOOKUP(C383,Assumptions!$A$12:$J$13,2,TRUE))</f>
        <v>0</v>
      </c>
      <c r="Q383">
        <f t="shared" si="285"/>
        <v>0</v>
      </c>
      <c r="R383">
        <f t="shared" si="251"/>
        <v>0</v>
      </c>
      <c r="S383">
        <f t="shared" si="279"/>
        <v>0</v>
      </c>
      <c r="T383">
        <f t="shared" si="280"/>
        <v>0</v>
      </c>
      <c r="U383">
        <f t="shared" si="252"/>
        <v>0</v>
      </c>
      <c r="V383">
        <f t="shared" si="253"/>
        <v>0</v>
      </c>
      <c r="W383">
        <f t="shared" si="254"/>
        <v>0</v>
      </c>
      <c r="X383">
        <f t="shared" si="245"/>
        <v>0</v>
      </c>
      <c r="Y383">
        <f t="shared" si="255"/>
        <v>0</v>
      </c>
      <c r="Z383">
        <f t="shared" si="256"/>
        <v>0</v>
      </c>
      <c r="AA383">
        <f t="shared" si="257"/>
        <v>0</v>
      </c>
      <c r="AB383">
        <f t="shared" si="258"/>
        <v>0</v>
      </c>
      <c r="AC383" s="23">
        <f>IF(B383&gt;$AJ$2,0,HLOOKUP(YEAR(A383),Assumptions!$A$25:$AL$29,4,TRUE)/100)</f>
        <v>0</v>
      </c>
      <c r="AD383">
        <f t="shared" si="259"/>
        <v>0</v>
      </c>
      <c r="AE383">
        <f t="shared" si="260"/>
        <v>0</v>
      </c>
      <c r="AF383">
        <f t="shared" si="261"/>
        <v>0</v>
      </c>
      <c r="AG383">
        <f t="shared" si="262"/>
        <v>0</v>
      </c>
      <c r="AH383">
        <f t="shared" si="263"/>
        <v>0</v>
      </c>
      <c r="AI383">
        <f t="shared" si="264"/>
        <v>0</v>
      </c>
      <c r="AJ383">
        <f t="shared" si="265"/>
        <v>0</v>
      </c>
      <c r="AK383">
        <f t="shared" si="266"/>
        <v>0</v>
      </c>
      <c r="AL383">
        <f t="shared" si="267"/>
        <v>0</v>
      </c>
      <c r="AM383">
        <f t="shared" si="246"/>
        <v>0</v>
      </c>
      <c r="AN383">
        <f>IF($S$2=0,0,(SUMPRODUCT($K$2:$R$2,Assumptions!$B$34:$I$34)/$U$2+$J$2/$U$2*Assumptions!$A$34*G383)*K383*O382)</f>
        <v>0</v>
      </c>
      <c r="AO383">
        <f t="shared" si="268"/>
        <v>0</v>
      </c>
      <c r="AP383">
        <f t="shared" si="269"/>
        <v>0</v>
      </c>
      <c r="AQ383">
        <f>IF(B383&gt;$AJ$2,0,AQ382*(1+Assumptions!$B$43)^(1/12))</f>
        <v>0</v>
      </c>
      <c r="AR383" s="27">
        <f>IF(B383&gt;$AJ$2,0,(O382+R382)*Assumptions!$B$39/12*AQ382+AV383*Assumptions!$B$41/12)</f>
        <v>0</v>
      </c>
      <c r="AS383">
        <f t="shared" si="270"/>
        <v>0</v>
      </c>
      <c r="AT383" s="28">
        <f t="shared" si="271"/>
        <v>0</v>
      </c>
      <c r="AU383">
        <f t="shared" si="272"/>
        <v>0</v>
      </c>
      <c r="AV383" s="28">
        <f t="shared" si="273"/>
        <v>0</v>
      </c>
      <c r="AW383" s="28">
        <f t="shared" si="274"/>
        <v>0</v>
      </c>
      <c r="AX383" s="23">
        <f>HLOOKUP(YEAR(A383),Assumptions!$A$25:$AL$29,2,TRUE)/100</f>
        <v>1.1339999999999999E-2</v>
      </c>
      <c r="AY383" s="29">
        <f>1/(1+HLOOKUP(YEAR(A383),Assumptions!$A$18:$AL$20,3,TRUE))^(1/12)</f>
        <v>0.99902750864006262</v>
      </c>
      <c r="AZ383" s="26">
        <f t="shared" si="275"/>
        <v>0</v>
      </c>
      <c r="BA383">
        <f t="shared" si="276"/>
        <v>0</v>
      </c>
      <c r="BB383">
        <f t="shared" si="277"/>
        <v>0</v>
      </c>
      <c r="BC383">
        <f t="shared" si="278"/>
        <v>0</v>
      </c>
    </row>
    <row r="384" spans="1:55" x14ac:dyDescent="0.2">
      <c r="A384" s="3">
        <f t="shared" si="247"/>
        <v>54454</v>
      </c>
      <c r="B384">
        <f t="shared" si="243"/>
        <v>386</v>
      </c>
      <c r="C384">
        <f t="shared" si="286"/>
        <v>32.083333333333336</v>
      </c>
      <c r="D384">
        <f t="shared" si="287"/>
        <v>0</v>
      </c>
      <c r="E384">
        <f t="shared" si="244"/>
        <v>88</v>
      </c>
      <c r="F384">
        <f>IF(C384&gt;=$T$2,0,VLOOKUP($E384,'Mortality Table'!$A$3:$C$128,2+AF$2,FALSE))</f>
        <v>0</v>
      </c>
      <c r="G384">
        <f>F384*Assumptions!$B$1</f>
        <v>0</v>
      </c>
      <c r="H384">
        <f t="shared" si="248"/>
        <v>0</v>
      </c>
      <c r="I384">
        <f t="shared" si="281"/>
        <v>0</v>
      </c>
      <c r="J384">
        <f>IF(B384&gt;$AJ$2,0,HLOOKUP(C384,Assumptions!$A$6:$J$7,2,TRUE))</f>
        <v>0</v>
      </c>
      <c r="K384" s="4">
        <f t="shared" si="282"/>
        <v>0</v>
      </c>
      <c r="L384" s="4">
        <f t="shared" si="249"/>
        <v>0</v>
      </c>
      <c r="M384" s="4">
        <f t="shared" si="283"/>
        <v>0</v>
      </c>
      <c r="N384">
        <f t="shared" si="250"/>
        <v>0</v>
      </c>
      <c r="O384" s="21">
        <f t="shared" si="284"/>
        <v>0</v>
      </c>
      <c r="P384">
        <f>IF(B384&gt;$AJ$2,0,HLOOKUP(C384,Assumptions!$A$12:$J$13,2,TRUE))</f>
        <v>0</v>
      </c>
      <c r="Q384">
        <f t="shared" si="285"/>
        <v>0</v>
      </c>
      <c r="R384">
        <f t="shared" si="251"/>
        <v>0</v>
      </c>
      <c r="S384">
        <f t="shared" si="279"/>
        <v>0</v>
      </c>
      <c r="T384">
        <f t="shared" si="280"/>
        <v>0</v>
      </c>
      <c r="U384">
        <f t="shared" si="252"/>
        <v>0</v>
      </c>
      <c r="V384">
        <f t="shared" si="253"/>
        <v>0</v>
      </c>
      <c r="W384">
        <f t="shared" si="254"/>
        <v>0</v>
      </c>
      <c r="X384">
        <f t="shared" si="245"/>
        <v>0</v>
      </c>
      <c r="Y384">
        <f t="shared" si="255"/>
        <v>0</v>
      </c>
      <c r="Z384">
        <f t="shared" si="256"/>
        <v>0</v>
      </c>
      <c r="AA384">
        <f t="shared" si="257"/>
        <v>0</v>
      </c>
      <c r="AB384">
        <f t="shared" si="258"/>
        <v>0</v>
      </c>
      <c r="AC384" s="23">
        <f>IF(B384&gt;$AJ$2,0,HLOOKUP(YEAR(A384),Assumptions!$A$25:$AL$29,4,TRUE)/100)</f>
        <v>0</v>
      </c>
      <c r="AD384">
        <f t="shared" si="259"/>
        <v>0</v>
      </c>
      <c r="AE384">
        <f t="shared" si="260"/>
        <v>0</v>
      </c>
      <c r="AF384">
        <f t="shared" si="261"/>
        <v>0</v>
      </c>
      <c r="AG384">
        <f t="shared" si="262"/>
        <v>0</v>
      </c>
      <c r="AH384">
        <f t="shared" si="263"/>
        <v>0</v>
      </c>
      <c r="AI384">
        <f t="shared" si="264"/>
        <v>0</v>
      </c>
      <c r="AJ384">
        <f t="shared" si="265"/>
        <v>0</v>
      </c>
      <c r="AK384">
        <f t="shared" si="266"/>
        <v>0</v>
      </c>
      <c r="AL384">
        <f t="shared" si="267"/>
        <v>0</v>
      </c>
      <c r="AM384">
        <f t="shared" si="246"/>
        <v>0</v>
      </c>
      <c r="AN384">
        <f>IF($S$2=0,0,(SUMPRODUCT($K$2:$R$2,Assumptions!$B$34:$I$34)/$U$2+$J$2/$U$2*Assumptions!$A$34*G384)*K384*O383)</f>
        <v>0</v>
      </c>
      <c r="AO384">
        <f t="shared" si="268"/>
        <v>0</v>
      </c>
      <c r="AP384">
        <f t="shared" si="269"/>
        <v>0</v>
      </c>
      <c r="AQ384">
        <f>IF(B384&gt;$AJ$2,0,AQ383*(1+Assumptions!$B$43)^(1/12))</f>
        <v>0</v>
      </c>
      <c r="AR384" s="27">
        <f>IF(B384&gt;$AJ$2,0,(O383+R383)*Assumptions!$B$39/12*AQ383+AV384*Assumptions!$B$41/12)</f>
        <v>0</v>
      </c>
      <c r="AS384">
        <f t="shared" si="270"/>
        <v>0</v>
      </c>
      <c r="AT384" s="28">
        <f t="shared" si="271"/>
        <v>0</v>
      </c>
      <c r="AU384">
        <f t="shared" si="272"/>
        <v>0</v>
      </c>
      <c r="AV384" s="28">
        <f t="shared" si="273"/>
        <v>0</v>
      </c>
      <c r="AW384" s="28">
        <f t="shared" si="274"/>
        <v>0</v>
      </c>
      <c r="AX384" s="23">
        <f>HLOOKUP(YEAR(A384),Assumptions!$A$25:$AL$29,2,TRUE)/100</f>
        <v>1.1332999999999999E-2</v>
      </c>
      <c r="AY384" s="29">
        <f>1/(1+HLOOKUP(YEAR(A384),Assumptions!$A$18:$AL$20,3,TRUE))^(1/12)</f>
        <v>0.99906043006125222</v>
      </c>
      <c r="AZ384" s="26">
        <f t="shared" si="275"/>
        <v>0</v>
      </c>
      <c r="BA384">
        <f t="shared" si="276"/>
        <v>0</v>
      </c>
      <c r="BB384">
        <f t="shared" si="277"/>
        <v>0</v>
      </c>
      <c r="BC384">
        <f t="shared" si="278"/>
        <v>0</v>
      </c>
    </row>
    <row r="385" spans="1:55" x14ac:dyDescent="0.2">
      <c r="A385" s="3">
        <f t="shared" si="247"/>
        <v>54482</v>
      </c>
      <c r="B385">
        <f t="shared" si="243"/>
        <v>387</v>
      </c>
      <c r="C385">
        <f t="shared" si="286"/>
        <v>32.166666666666664</v>
      </c>
      <c r="D385">
        <f t="shared" si="287"/>
        <v>0</v>
      </c>
      <c r="E385">
        <f t="shared" si="244"/>
        <v>88</v>
      </c>
      <c r="F385">
        <f>IF(C385&gt;=$T$2,0,VLOOKUP($E385,'Mortality Table'!$A$3:$C$128,2+AF$2,FALSE))</f>
        <v>0</v>
      </c>
      <c r="G385">
        <f>F385*Assumptions!$B$1</f>
        <v>0</v>
      </c>
      <c r="H385">
        <f t="shared" si="248"/>
        <v>0</v>
      </c>
      <c r="I385">
        <f t="shared" si="281"/>
        <v>0</v>
      </c>
      <c r="J385">
        <f>IF(B385&gt;$AJ$2,0,HLOOKUP(C385,Assumptions!$A$6:$J$7,2,TRUE))</f>
        <v>0</v>
      </c>
      <c r="K385" s="4">
        <f t="shared" si="282"/>
        <v>0</v>
      </c>
      <c r="L385" s="4">
        <f t="shared" si="249"/>
        <v>0</v>
      </c>
      <c r="M385" s="4">
        <f t="shared" si="283"/>
        <v>0</v>
      </c>
      <c r="N385">
        <f t="shared" si="250"/>
        <v>0</v>
      </c>
      <c r="O385" s="21">
        <f t="shared" si="284"/>
        <v>0</v>
      </c>
      <c r="P385">
        <f>IF(B385&gt;$AJ$2,0,HLOOKUP(C385,Assumptions!$A$12:$J$13,2,TRUE))</f>
        <v>0</v>
      </c>
      <c r="Q385">
        <f t="shared" si="285"/>
        <v>0</v>
      </c>
      <c r="R385">
        <f t="shared" si="251"/>
        <v>0</v>
      </c>
      <c r="S385">
        <f t="shared" si="279"/>
        <v>0</v>
      </c>
      <c r="T385">
        <f t="shared" si="280"/>
        <v>0</v>
      </c>
      <c r="U385">
        <f t="shared" si="252"/>
        <v>0</v>
      </c>
      <c r="V385">
        <f t="shared" si="253"/>
        <v>0</v>
      </c>
      <c r="W385">
        <f t="shared" si="254"/>
        <v>0</v>
      </c>
      <c r="X385">
        <f t="shared" si="245"/>
        <v>0</v>
      </c>
      <c r="Y385">
        <f t="shared" si="255"/>
        <v>0</v>
      </c>
      <c r="Z385">
        <f t="shared" si="256"/>
        <v>0</v>
      </c>
      <c r="AA385">
        <f t="shared" si="257"/>
        <v>0</v>
      </c>
      <c r="AB385">
        <f t="shared" si="258"/>
        <v>0</v>
      </c>
      <c r="AC385" s="23">
        <f>IF(B385&gt;$AJ$2,0,HLOOKUP(YEAR(A385),Assumptions!$A$25:$AL$29,4,TRUE)/100)</f>
        <v>0</v>
      </c>
      <c r="AD385">
        <f t="shared" si="259"/>
        <v>0</v>
      </c>
      <c r="AE385">
        <f t="shared" si="260"/>
        <v>0</v>
      </c>
      <c r="AF385">
        <f t="shared" si="261"/>
        <v>0</v>
      </c>
      <c r="AG385">
        <f t="shared" si="262"/>
        <v>0</v>
      </c>
      <c r="AH385">
        <f t="shared" si="263"/>
        <v>0</v>
      </c>
      <c r="AI385">
        <f t="shared" si="264"/>
        <v>0</v>
      </c>
      <c r="AJ385">
        <f t="shared" si="265"/>
        <v>0</v>
      </c>
      <c r="AK385">
        <f t="shared" si="266"/>
        <v>0</v>
      </c>
      <c r="AL385">
        <f t="shared" si="267"/>
        <v>0</v>
      </c>
      <c r="AM385">
        <f t="shared" si="246"/>
        <v>0</v>
      </c>
      <c r="AN385">
        <f>IF($S$2=0,0,(SUMPRODUCT($K$2:$R$2,Assumptions!$B$34:$I$34)/$U$2+$J$2/$U$2*Assumptions!$A$34*G385)*K385*O384)</f>
        <v>0</v>
      </c>
      <c r="AO385">
        <f t="shared" si="268"/>
        <v>0</v>
      </c>
      <c r="AP385">
        <f t="shared" si="269"/>
        <v>0</v>
      </c>
      <c r="AQ385">
        <f>IF(B385&gt;$AJ$2,0,AQ384*(1+Assumptions!$B$43)^(1/12))</f>
        <v>0</v>
      </c>
      <c r="AR385" s="27">
        <f>IF(B385&gt;$AJ$2,0,(O384+R384)*Assumptions!$B$39/12*AQ384+AV385*Assumptions!$B$41/12)</f>
        <v>0</v>
      </c>
      <c r="AS385">
        <f t="shared" si="270"/>
        <v>0</v>
      </c>
      <c r="AT385" s="28">
        <f t="shared" si="271"/>
        <v>0</v>
      </c>
      <c r="AU385">
        <f t="shared" si="272"/>
        <v>0</v>
      </c>
      <c r="AV385" s="28">
        <f t="shared" si="273"/>
        <v>0</v>
      </c>
      <c r="AW385" s="28">
        <f t="shared" si="274"/>
        <v>0</v>
      </c>
      <c r="AX385" s="23">
        <f>HLOOKUP(YEAR(A385),Assumptions!$A$25:$AL$29,2,TRUE)/100</f>
        <v>1.1332999999999999E-2</v>
      </c>
      <c r="AY385" s="29">
        <f>1/(1+HLOOKUP(YEAR(A385),Assumptions!$A$18:$AL$20,3,TRUE))^(1/12)</f>
        <v>0.99906043006125222</v>
      </c>
      <c r="AZ385" s="26">
        <f t="shared" si="275"/>
        <v>0</v>
      </c>
      <c r="BA385">
        <f t="shared" si="276"/>
        <v>0</v>
      </c>
      <c r="BB385">
        <f t="shared" si="277"/>
        <v>0</v>
      </c>
      <c r="BC385">
        <f t="shared" si="278"/>
        <v>0</v>
      </c>
    </row>
    <row r="386" spans="1:55" x14ac:dyDescent="0.2">
      <c r="A386" s="3">
        <f t="shared" si="247"/>
        <v>54513</v>
      </c>
      <c r="B386">
        <f t="shared" si="243"/>
        <v>388</v>
      </c>
      <c r="C386">
        <f t="shared" si="286"/>
        <v>32.25</v>
      </c>
      <c r="D386">
        <f t="shared" si="287"/>
        <v>0</v>
      </c>
      <c r="E386">
        <f t="shared" si="244"/>
        <v>88</v>
      </c>
      <c r="F386">
        <f>IF(C386&gt;=$T$2,0,VLOOKUP($E386,'Mortality Table'!$A$3:$C$128,2+AF$2,FALSE))</f>
        <v>0</v>
      </c>
      <c r="G386">
        <f>F386*Assumptions!$B$1</f>
        <v>0</v>
      </c>
      <c r="H386">
        <f t="shared" si="248"/>
        <v>0</v>
      </c>
      <c r="I386">
        <f t="shared" si="281"/>
        <v>0</v>
      </c>
      <c r="J386">
        <f>IF(B386&gt;$AJ$2,0,HLOOKUP(C386,Assumptions!$A$6:$J$7,2,TRUE))</f>
        <v>0</v>
      </c>
      <c r="K386" s="4">
        <f t="shared" si="282"/>
        <v>0</v>
      </c>
      <c r="L386" s="4">
        <f t="shared" si="249"/>
        <v>0</v>
      </c>
      <c r="M386" s="4">
        <f t="shared" si="283"/>
        <v>0</v>
      </c>
      <c r="N386">
        <f t="shared" si="250"/>
        <v>0</v>
      </c>
      <c r="O386" s="21">
        <f t="shared" si="284"/>
        <v>0</v>
      </c>
      <c r="P386">
        <f>IF(B386&gt;$AJ$2,0,HLOOKUP(C386,Assumptions!$A$12:$J$13,2,TRUE))</f>
        <v>0</v>
      </c>
      <c r="Q386">
        <f t="shared" si="285"/>
        <v>0</v>
      </c>
      <c r="R386">
        <f t="shared" si="251"/>
        <v>0</v>
      </c>
      <c r="S386">
        <f t="shared" si="279"/>
        <v>0</v>
      </c>
      <c r="T386">
        <f t="shared" si="280"/>
        <v>0</v>
      </c>
      <c r="U386">
        <f t="shared" si="252"/>
        <v>0</v>
      </c>
      <c r="V386">
        <f t="shared" si="253"/>
        <v>0</v>
      </c>
      <c r="W386">
        <f t="shared" si="254"/>
        <v>0</v>
      </c>
      <c r="X386">
        <f t="shared" si="245"/>
        <v>0</v>
      </c>
      <c r="Y386">
        <f t="shared" si="255"/>
        <v>0</v>
      </c>
      <c r="Z386">
        <f t="shared" si="256"/>
        <v>0</v>
      </c>
      <c r="AA386">
        <f t="shared" si="257"/>
        <v>0</v>
      </c>
      <c r="AB386">
        <f t="shared" si="258"/>
        <v>0</v>
      </c>
      <c r="AC386" s="23">
        <f>IF(B386&gt;$AJ$2,0,HLOOKUP(YEAR(A386),Assumptions!$A$25:$AL$29,4,TRUE)/100)</f>
        <v>0</v>
      </c>
      <c r="AD386">
        <f t="shared" si="259"/>
        <v>0</v>
      </c>
      <c r="AE386">
        <f t="shared" si="260"/>
        <v>0</v>
      </c>
      <c r="AF386">
        <f t="shared" si="261"/>
        <v>0</v>
      </c>
      <c r="AG386">
        <f t="shared" si="262"/>
        <v>0</v>
      </c>
      <c r="AH386">
        <f t="shared" si="263"/>
        <v>0</v>
      </c>
      <c r="AI386">
        <f t="shared" si="264"/>
        <v>0</v>
      </c>
      <c r="AJ386">
        <f t="shared" si="265"/>
        <v>0</v>
      </c>
      <c r="AK386">
        <f t="shared" si="266"/>
        <v>0</v>
      </c>
      <c r="AL386">
        <f t="shared" si="267"/>
        <v>0</v>
      </c>
      <c r="AM386">
        <f t="shared" si="246"/>
        <v>0</v>
      </c>
      <c r="AN386">
        <f>IF($S$2=0,0,(SUMPRODUCT($K$2:$R$2,Assumptions!$B$34:$I$34)/$U$2+$J$2/$U$2*Assumptions!$A$34*G386)*K386*O385)</f>
        <v>0</v>
      </c>
      <c r="AO386">
        <f t="shared" si="268"/>
        <v>0</v>
      </c>
      <c r="AP386">
        <f t="shared" si="269"/>
        <v>0</v>
      </c>
      <c r="AQ386">
        <f>IF(B386&gt;$AJ$2,0,AQ385*(1+Assumptions!$B$43)^(1/12))</f>
        <v>0</v>
      </c>
      <c r="AR386" s="27">
        <f>IF(B386&gt;$AJ$2,0,(O385+R385)*Assumptions!$B$39/12*AQ385+AV386*Assumptions!$B$41/12)</f>
        <v>0</v>
      </c>
      <c r="AS386">
        <f t="shared" si="270"/>
        <v>0</v>
      </c>
      <c r="AT386" s="28">
        <f t="shared" si="271"/>
        <v>0</v>
      </c>
      <c r="AU386">
        <f t="shared" si="272"/>
        <v>0</v>
      </c>
      <c r="AV386" s="28">
        <f t="shared" si="273"/>
        <v>0</v>
      </c>
      <c r="AW386" s="28">
        <f t="shared" si="274"/>
        <v>0</v>
      </c>
      <c r="AX386" s="23">
        <f>HLOOKUP(YEAR(A386),Assumptions!$A$25:$AL$29,2,TRUE)/100</f>
        <v>1.1332999999999999E-2</v>
      </c>
      <c r="AY386" s="29">
        <f>1/(1+HLOOKUP(YEAR(A386),Assumptions!$A$18:$AL$20,3,TRUE))^(1/12)</f>
        <v>0.99906043006125222</v>
      </c>
      <c r="AZ386" s="26">
        <f t="shared" si="275"/>
        <v>0</v>
      </c>
      <c r="BA386">
        <f t="shared" si="276"/>
        <v>0</v>
      </c>
      <c r="BB386">
        <f t="shared" si="277"/>
        <v>0</v>
      </c>
      <c r="BC386">
        <f t="shared" si="278"/>
        <v>0</v>
      </c>
    </row>
    <row r="387" spans="1:55" x14ac:dyDescent="0.2">
      <c r="A387" s="3">
        <f t="shared" si="247"/>
        <v>54543</v>
      </c>
      <c r="B387">
        <f t="shared" si="243"/>
        <v>389</v>
      </c>
      <c r="C387">
        <f t="shared" si="286"/>
        <v>32.333333333333336</v>
      </c>
      <c r="D387">
        <f t="shared" si="287"/>
        <v>0</v>
      </c>
      <c r="E387">
        <f t="shared" si="244"/>
        <v>88</v>
      </c>
      <c r="F387">
        <f>IF(C387&gt;=$T$2,0,VLOOKUP($E387,'Mortality Table'!$A$3:$C$128,2+AF$2,FALSE))</f>
        <v>0</v>
      </c>
      <c r="G387">
        <f>F387*Assumptions!$B$1</f>
        <v>0</v>
      </c>
      <c r="H387">
        <f t="shared" si="248"/>
        <v>0</v>
      </c>
      <c r="I387">
        <f t="shared" si="281"/>
        <v>0</v>
      </c>
      <c r="J387">
        <f>IF(B387&gt;$AJ$2,0,HLOOKUP(C387,Assumptions!$A$6:$J$7,2,TRUE))</f>
        <v>0</v>
      </c>
      <c r="K387" s="4">
        <f t="shared" si="282"/>
        <v>0</v>
      </c>
      <c r="L387" s="4">
        <f t="shared" si="249"/>
        <v>0</v>
      </c>
      <c r="M387" s="4">
        <f t="shared" si="283"/>
        <v>0</v>
      </c>
      <c r="N387">
        <f t="shared" si="250"/>
        <v>0</v>
      </c>
      <c r="O387" s="21">
        <f t="shared" si="284"/>
        <v>0</v>
      </c>
      <c r="P387">
        <f>IF(B387&gt;$AJ$2,0,HLOOKUP(C387,Assumptions!$A$12:$J$13,2,TRUE))</f>
        <v>0</v>
      </c>
      <c r="Q387">
        <f t="shared" si="285"/>
        <v>0</v>
      </c>
      <c r="R387">
        <f t="shared" si="251"/>
        <v>0</v>
      </c>
      <c r="S387">
        <f t="shared" si="279"/>
        <v>0</v>
      </c>
      <c r="T387">
        <f t="shared" si="280"/>
        <v>0</v>
      </c>
      <c r="U387">
        <f t="shared" si="252"/>
        <v>0</v>
      </c>
      <c r="V387">
        <f t="shared" si="253"/>
        <v>0</v>
      </c>
      <c r="W387">
        <f t="shared" si="254"/>
        <v>0</v>
      </c>
      <c r="X387">
        <f t="shared" si="245"/>
        <v>0</v>
      </c>
      <c r="Y387">
        <f t="shared" si="255"/>
        <v>0</v>
      </c>
      <c r="Z387">
        <f t="shared" si="256"/>
        <v>0</v>
      </c>
      <c r="AA387">
        <f t="shared" si="257"/>
        <v>0</v>
      </c>
      <c r="AB387">
        <f t="shared" si="258"/>
        <v>0</v>
      </c>
      <c r="AC387" s="23">
        <f>IF(B387&gt;$AJ$2,0,HLOOKUP(YEAR(A387),Assumptions!$A$25:$AL$29,4,TRUE)/100)</f>
        <v>0</v>
      </c>
      <c r="AD387">
        <f t="shared" si="259"/>
        <v>0</v>
      </c>
      <c r="AE387">
        <f t="shared" si="260"/>
        <v>0</v>
      </c>
      <c r="AF387">
        <f t="shared" si="261"/>
        <v>0</v>
      </c>
      <c r="AG387">
        <f t="shared" si="262"/>
        <v>0</v>
      </c>
      <c r="AH387">
        <f t="shared" si="263"/>
        <v>0</v>
      </c>
      <c r="AI387">
        <f t="shared" si="264"/>
        <v>0</v>
      </c>
      <c r="AJ387">
        <f t="shared" si="265"/>
        <v>0</v>
      </c>
      <c r="AK387">
        <f t="shared" si="266"/>
        <v>0</v>
      </c>
      <c r="AL387">
        <f t="shared" si="267"/>
        <v>0</v>
      </c>
      <c r="AM387">
        <f t="shared" si="246"/>
        <v>0</v>
      </c>
      <c r="AN387">
        <f>IF($S$2=0,0,(SUMPRODUCT($K$2:$R$2,Assumptions!$B$34:$I$34)/$U$2+$J$2/$U$2*Assumptions!$A$34*G387)*K387*O386)</f>
        <v>0</v>
      </c>
      <c r="AO387">
        <f t="shared" si="268"/>
        <v>0</v>
      </c>
      <c r="AP387">
        <f t="shared" si="269"/>
        <v>0</v>
      </c>
      <c r="AQ387">
        <f>IF(B387&gt;$AJ$2,0,AQ386*(1+Assumptions!$B$43)^(1/12))</f>
        <v>0</v>
      </c>
      <c r="AR387" s="27">
        <f>IF(B387&gt;$AJ$2,0,(O386+R386)*Assumptions!$B$39/12*AQ386+AV387*Assumptions!$B$41/12)</f>
        <v>0</v>
      </c>
      <c r="AS387">
        <f t="shared" si="270"/>
        <v>0</v>
      </c>
      <c r="AT387" s="28">
        <f t="shared" si="271"/>
        <v>0</v>
      </c>
      <c r="AU387">
        <f t="shared" si="272"/>
        <v>0</v>
      </c>
      <c r="AV387" s="28">
        <f t="shared" si="273"/>
        <v>0</v>
      </c>
      <c r="AW387" s="28">
        <f t="shared" si="274"/>
        <v>0</v>
      </c>
      <c r="AX387" s="23">
        <f>HLOOKUP(YEAR(A387),Assumptions!$A$25:$AL$29,2,TRUE)/100</f>
        <v>1.1332999999999999E-2</v>
      </c>
      <c r="AY387" s="29">
        <f>1/(1+HLOOKUP(YEAR(A387),Assumptions!$A$18:$AL$20,3,TRUE))^(1/12)</f>
        <v>0.99906043006125222</v>
      </c>
      <c r="AZ387" s="26">
        <f t="shared" si="275"/>
        <v>0</v>
      </c>
      <c r="BA387">
        <f t="shared" si="276"/>
        <v>0</v>
      </c>
      <c r="BB387">
        <f t="shared" si="277"/>
        <v>0</v>
      </c>
      <c r="BC387">
        <f t="shared" si="278"/>
        <v>0</v>
      </c>
    </row>
    <row r="388" spans="1:55" x14ac:dyDescent="0.2">
      <c r="A388" s="3">
        <f t="shared" si="247"/>
        <v>54574</v>
      </c>
      <c r="B388">
        <f t="shared" si="243"/>
        <v>390</v>
      </c>
      <c r="C388">
        <f t="shared" si="286"/>
        <v>32.416666666666664</v>
      </c>
      <c r="D388">
        <f t="shared" si="287"/>
        <v>0</v>
      </c>
      <c r="E388">
        <f t="shared" si="244"/>
        <v>88</v>
      </c>
      <c r="F388">
        <f>IF(C388&gt;=$T$2,0,VLOOKUP($E388,'Mortality Table'!$A$3:$C$128,2+AF$2,FALSE))</f>
        <v>0</v>
      </c>
      <c r="G388">
        <f>F388*Assumptions!$B$1</f>
        <v>0</v>
      </c>
      <c r="H388">
        <f t="shared" si="248"/>
        <v>0</v>
      </c>
      <c r="I388">
        <f t="shared" si="281"/>
        <v>0</v>
      </c>
      <c r="J388">
        <f>IF(B388&gt;$AJ$2,0,HLOOKUP(C388,Assumptions!$A$6:$J$7,2,TRUE))</f>
        <v>0</v>
      </c>
      <c r="K388" s="4">
        <f t="shared" si="282"/>
        <v>0</v>
      </c>
      <c r="L388" s="4">
        <f t="shared" si="249"/>
        <v>0</v>
      </c>
      <c r="M388" s="4">
        <f t="shared" si="283"/>
        <v>0</v>
      </c>
      <c r="N388">
        <f t="shared" si="250"/>
        <v>0</v>
      </c>
      <c r="O388" s="21">
        <f t="shared" si="284"/>
        <v>0</v>
      </c>
      <c r="P388">
        <f>IF(B388&gt;$AJ$2,0,HLOOKUP(C388,Assumptions!$A$12:$J$13,2,TRUE))</f>
        <v>0</v>
      </c>
      <c r="Q388">
        <f t="shared" si="285"/>
        <v>0</v>
      </c>
      <c r="R388">
        <f t="shared" si="251"/>
        <v>0</v>
      </c>
      <c r="S388">
        <f t="shared" si="279"/>
        <v>0</v>
      </c>
      <c r="T388">
        <f t="shared" si="280"/>
        <v>0</v>
      </c>
      <c r="U388">
        <f t="shared" si="252"/>
        <v>0</v>
      </c>
      <c r="V388">
        <f t="shared" si="253"/>
        <v>0</v>
      </c>
      <c r="W388">
        <f t="shared" si="254"/>
        <v>0</v>
      </c>
      <c r="X388">
        <f t="shared" si="245"/>
        <v>0</v>
      </c>
      <c r="Y388">
        <f t="shared" si="255"/>
        <v>0</v>
      </c>
      <c r="Z388">
        <f t="shared" si="256"/>
        <v>0</v>
      </c>
      <c r="AA388">
        <f t="shared" si="257"/>
        <v>0</v>
      </c>
      <c r="AB388">
        <f t="shared" si="258"/>
        <v>0</v>
      </c>
      <c r="AC388" s="23">
        <f>IF(B388&gt;$AJ$2,0,HLOOKUP(YEAR(A388),Assumptions!$A$25:$AL$29,4,TRUE)/100)</f>
        <v>0</v>
      </c>
      <c r="AD388">
        <f t="shared" si="259"/>
        <v>0</v>
      </c>
      <c r="AE388">
        <f t="shared" si="260"/>
        <v>0</v>
      </c>
      <c r="AF388">
        <f t="shared" si="261"/>
        <v>0</v>
      </c>
      <c r="AG388">
        <f t="shared" si="262"/>
        <v>0</v>
      </c>
      <c r="AH388">
        <f t="shared" si="263"/>
        <v>0</v>
      </c>
      <c r="AI388">
        <f t="shared" si="264"/>
        <v>0</v>
      </c>
      <c r="AJ388">
        <f t="shared" si="265"/>
        <v>0</v>
      </c>
      <c r="AK388">
        <f t="shared" si="266"/>
        <v>0</v>
      </c>
      <c r="AL388">
        <f t="shared" si="267"/>
        <v>0</v>
      </c>
      <c r="AM388">
        <f t="shared" si="246"/>
        <v>0</v>
      </c>
      <c r="AN388">
        <f>IF($S$2=0,0,(SUMPRODUCT($K$2:$R$2,Assumptions!$B$34:$I$34)/$U$2+$J$2/$U$2*Assumptions!$A$34*G388)*K388*O387)</f>
        <v>0</v>
      </c>
      <c r="AO388">
        <f t="shared" si="268"/>
        <v>0</v>
      </c>
      <c r="AP388">
        <f t="shared" si="269"/>
        <v>0</v>
      </c>
      <c r="AQ388">
        <f>IF(B388&gt;$AJ$2,0,AQ387*(1+Assumptions!$B$43)^(1/12))</f>
        <v>0</v>
      </c>
      <c r="AR388" s="27">
        <f>IF(B388&gt;$AJ$2,0,(O387+R387)*Assumptions!$B$39/12*AQ387+AV388*Assumptions!$B$41/12)</f>
        <v>0</v>
      </c>
      <c r="AS388">
        <f t="shared" si="270"/>
        <v>0</v>
      </c>
      <c r="AT388" s="28">
        <f t="shared" si="271"/>
        <v>0</v>
      </c>
      <c r="AU388">
        <f t="shared" si="272"/>
        <v>0</v>
      </c>
      <c r="AV388" s="28">
        <f t="shared" si="273"/>
        <v>0</v>
      </c>
      <c r="AW388" s="28">
        <f t="shared" si="274"/>
        <v>0</v>
      </c>
      <c r="AX388" s="23">
        <f>HLOOKUP(YEAR(A388),Assumptions!$A$25:$AL$29,2,TRUE)/100</f>
        <v>1.1332999999999999E-2</v>
      </c>
      <c r="AY388" s="29">
        <f>1/(1+HLOOKUP(YEAR(A388),Assumptions!$A$18:$AL$20,3,TRUE))^(1/12)</f>
        <v>0.99906043006125222</v>
      </c>
      <c r="AZ388" s="26">
        <f t="shared" si="275"/>
        <v>0</v>
      </c>
      <c r="BA388">
        <f t="shared" si="276"/>
        <v>0</v>
      </c>
      <c r="BB388">
        <f t="shared" si="277"/>
        <v>0</v>
      </c>
      <c r="BC388">
        <f t="shared" si="278"/>
        <v>0</v>
      </c>
    </row>
    <row r="389" spans="1:55" x14ac:dyDescent="0.2">
      <c r="A389" s="3">
        <f t="shared" si="247"/>
        <v>54604</v>
      </c>
      <c r="B389">
        <f t="shared" si="243"/>
        <v>391</v>
      </c>
      <c r="C389">
        <f t="shared" si="286"/>
        <v>32.5</v>
      </c>
      <c r="D389">
        <f t="shared" si="287"/>
        <v>0</v>
      </c>
      <c r="E389">
        <f t="shared" si="244"/>
        <v>88</v>
      </c>
      <c r="F389">
        <f>IF(C389&gt;=$T$2,0,VLOOKUP($E389,'Mortality Table'!$A$3:$C$128,2+AF$2,FALSE))</f>
        <v>0</v>
      </c>
      <c r="G389">
        <f>F389*Assumptions!$B$1</f>
        <v>0</v>
      </c>
      <c r="H389">
        <f t="shared" si="248"/>
        <v>0</v>
      </c>
      <c r="I389">
        <f t="shared" si="281"/>
        <v>0</v>
      </c>
      <c r="J389">
        <f>IF(B389&gt;$AJ$2,0,HLOOKUP(C389,Assumptions!$A$6:$J$7,2,TRUE))</f>
        <v>0</v>
      </c>
      <c r="K389" s="4">
        <f t="shared" si="282"/>
        <v>0</v>
      </c>
      <c r="L389" s="4">
        <f t="shared" si="249"/>
        <v>0</v>
      </c>
      <c r="M389" s="4">
        <f t="shared" si="283"/>
        <v>0</v>
      </c>
      <c r="N389">
        <f t="shared" si="250"/>
        <v>0</v>
      </c>
      <c r="O389" s="21">
        <f t="shared" si="284"/>
        <v>0</v>
      </c>
      <c r="P389">
        <f>IF(B389&gt;$AJ$2,0,HLOOKUP(C389,Assumptions!$A$12:$J$13,2,TRUE))</f>
        <v>0</v>
      </c>
      <c r="Q389">
        <f t="shared" si="285"/>
        <v>0</v>
      </c>
      <c r="R389">
        <f t="shared" si="251"/>
        <v>0</v>
      </c>
      <c r="S389">
        <f t="shared" si="279"/>
        <v>0</v>
      </c>
      <c r="T389">
        <f t="shared" si="280"/>
        <v>0</v>
      </c>
      <c r="U389">
        <f t="shared" si="252"/>
        <v>0</v>
      </c>
      <c r="V389">
        <f t="shared" si="253"/>
        <v>0</v>
      </c>
      <c r="W389">
        <f t="shared" si="254"/>
        <v>0</v>
      </c>
      <c r="X389">
        <f t="shared" si="245"/>
        <v>0</v>
      </c>
      <c r="Y389">
        <f t="shared" si="255"/>
        <v>0</v>
      </c>
      <c r="Z389">
        <f t="shared" si="256"/>
        <v>0</v>
      </c>
      <c r="AA389">
        <f t="shared" si="257"/>
        <v>0</v>
      </c>
      <c r="AB389">
        <f t="shared" si="258"/>
        <v>0</v>
      </c>
      <c r="AC389" s="23">
        <f>IF(B389&gt;$AJ$2,0,HLOOKUP(YEAR(A389),Assumptions!$A$25:$AL$29,4,TRUE)/100)</f>
        <v>0</v>
      </c>
      <c r="AD389">
        <f t="shared" si="259"/>
        <v>0</v>
      </c>
      <c r="AE389">
        <f t="shared" si="260"/>
        <v>0</v>
      </c>
      <c r="AF389">
        <f t="shared" si="261"/>
        <v>0</v>
      </c>
      <c r="AG389">
        <f t="shared" si="262"/>
        <v>0</v>
      </c>
      <c r="AH389">
        <f t="shared" si="263"/>
        <v>0</v>
      </c>
      <c r="AI389">
        <f t="shared" si="264"/>
        <v>0</v>
      </c>
      <c r="AJ389">
        <f t="shared" si="265"/>
        <v>0</v>
      </c>
      <c r="AK389">
        <f t="shared" si="266"/>
        <v>0</v>
      </c>
      <c r="AL389">
        <f t="shared" si="267"/>
        <v>0</v>
      </c>
      <c r="AM389">
        <f t="shared" si="246"/>
        <v>0</v>
      </c>
      <c r="AN389">
        <f>IF($S$2=0,0,(SUMPRODUCT($K$2:$R$2,Assumptions!$B$34:$I$34)/$U$2+$J$2/$U$2*Assumptions!$A$34*G389)*K389*O388)</f>
        <v>0</v>
      </c>
      <c r="AO389">
        <f t="shared" si="268"/>
        <v>0</v>
      </c>
      <c r="AP389">
        <f t="shared" si="269"/>
        <v>0</v>
      </c>
      <c r="AQ389">
        <f>IF(B389&gt;$AJ$2,0,AQ388*(1+Assumptions!$B$43)^(1/12))</f>
        <v>0</v>
      </c>
      <c r="AR389" s="27">
        <f>IF(B389&gt;$AJ$2,0,(O388+R388)*Assumptions!$B$39/12*AQ388+AV389*Assumptions!$B$41/12)</f>
        <v>0</v>
      </c>
      <c r="AS389">
        <f t="shared" si="270"/>
        <v>0</v>
      </c>
      <c r="AT389" s="28">
        <f t="shared" si="271"/>
        <v>0</v>
      </c>
      <c r="AU389">
        <f t="shared" si="272"/>
        <v>0</v>
      </c>
      <c r="AV389" s="28">
        <f t="shared" si="273"/>
        <v>0</v>
      </c>
      <c r="AW389" s="28">
        <f t="shared" si="274"/>
        <v>0</v>
      </c>
      <c r="AX389" s="23">
        <f>HLOOKUP(YEAR(A389),Assumptions!$A$25:$AL$29,2,TRUE)/100</f>
        <v>1.1332999999999999E-2</v>
      </c>
      <c r="AY389" s="29">
        <f>1/(1+HLOOKUP(YEAR(A389),Assumptions!$A$18:$AL$20,3,TRUE))^(1/12)</f>
        <v>0.99906043006125222</v>
      </c>
      <c r="AZ389" s="26">
        <f t="shared" si="275"/>
        <v>0</v>
      </c>
      <c r="BA389">
        <f t="shared" si="276"/>
        <v>0</v>
      </c>
      <c r="BB389">
        <f t="shared" si="277"/>
        <v>0</v>
      </c>
      <c r="BC389">
        <f t="shared" si="278"/>
        <v>0</v>
      </c>
    </row>
    <row r="390" spans="1:55" x14ac:dyDescent="0.2">
      <c r="A390" s="3">
        <f t="shared" si="247"/>
        <v>54635</v>
      </c>
      <c r="B390">
        <f t="shared" si="243"/>
        <v>392</v>
      </c>
      <c r="C390">
        <f t="shared" si="286"/>
        <v>32.583333333333336</v>
      </c>
      <c r="D390">
        <f t="shared" si="287"/>
        <v>0</v>
      </c>
      <c r="E390">
        <f t="shared" si="244"/>
        <v>88</v>
      </c>
      <c r="F390">
        <f>IF(C390&gt;=$T$2,0,VLOOKUP($E390,'Mortality Table'!$A$3:$C$128,2+AF$2,FALSE))</f>
        <v>0</v>
      </c>
      <c r="G390">
        <f>F390*Assumptions!$B$1</f>
        <v>0</v>
      </c>
      <c r="H390">
        <f t="shared" si="248"/>
        <v>0</v>
      </c>
      <c r="I390">
        <f t="shared" si="281"/>
        <v>0</v>
      </c>
      <c r="J390">
        <f>IF(B390&gt;$AJ$2,0,HLOOKUP(C390,Assumptions!$A$6:$J$7,2,TRUE))</f>
        <v>0</v>
      </c>
      <c r="K390" s="4">
        <f t="shared" si="282"/>
        <v>0</v>
      </c>
      <c r="L390" s="4">
        <f t="shared" si="249"/>
        <v>0</v>
      </c>
      <c r="M390" s="4">
        <f t="shared" si="283"/>
        <v>0</v>
      </c>
      <c r="N390">
        <f t="shared" si="250"/>
        <v>0</v>
      </c>
      <c r="O390" s="21">
        <f t="shared" si="284"/>
        <v>0</v>
      </c>
      <c r="P390">
        <f>IF(B390&gt;$AJ$2,0,HLOOKUP(C390,Assumptions!$A$12:$J$13,2,TRUE))</f>
        <v>0</v>
      </c>
      <c r="Q390">
        <f t="shared" si="285"/>
        <v>0</v>
      </c>
      <c r="R390">
        <f t="shared" si="251"/>
        <v>0</v>
      </c>
      <c r="S390">
        <f t="shared" si="279"/>
        <v>0</v>
      </c>
      <c r="T390">
        <f t="shared" si="280"/>
        <v>0</v>
      </c>
      <c r="U390">
        <f t="shared" si="252"/>
        <v>0</v>
      </c>
      <c r="V390">
        <f t="shared" si="253"/>
        <v>0</v>
      </c>
      <c r="W390">
        <f t="shared" si="254"/>
        <v>0</v>
      </c>
      <c r="X390">
        <f t="shared" si="245"/>
        <v>0</v>
      </c>
      <c r="Y390">
        <f t="shared" si="255"/>
        <v>0</v>
      </c>
      <c r="Z390">
        <f t="shared" si="256"/>
        <v>0</v>
      </c>
      <c r="AA390">
        <f t="shared" si="257"/>
        <v>0</v>
      </c>
      <c r="AB390">
        <f t="shared" si="258"/>
        <v>0</v>
      </c>
      <c r="AC390" s="23">
        <f>IF(B390&gt;$AJ$2,0,HLOOKUP(YEAR(A390),Assumptions!$A$25:$AL$29,4,TRUE)/100)</f>
        <v>0</v>
      </c>
      <c r="AD390">
        <f t="shared" si="259"/>
        <v>0</v>
      </c>
      <c r="AE390">
        <f t="shared" si="260"/>
        <v>0</v>
      </c>
      <c r="AF390">
        <f t="shared" si="261"/>
        <v>0</v>
      </c>
      <c r="AG390">
        <f t="shared" si="262"/>
        <v>0</v>
      </c>
      <c r="AH390">
        <f t="shared" si="263"/>
        <v>0</v>
      </c>
      <c r="AI390">
        <f t="shared" si="264"/>
        <v>0</v>
      </c>
      <c r="AJ390">
        <f t="shared" si="265"/>
        <v>0</v>
      </c>
      <c r="AK390">
        <f t="shared" si="266"/>
        <v>0</v>
      </c>
      <c r="AL390">
        <f t="shared" si="267"/>
        <v>0</v>
      </c>
      <c r="AM390">
        <f t="shared" si="246"/>
        <v>0</v>
      </c>
      <c r="AN390">
        <f>IF($S$2=0,0,(SUMPRODUCT($K$2:$R$2,Assumptions!$B$34:$I$34)/$U$2+$J$2/$U$2*Assumptions!$A$34*G390)*K390*O389)</f>
        <v>0</v>
      </c>
      <c r="AO390">
        <f t="shared" si="268"/>
        <v>0</v>
      </c>
      <c r="AP390">
        <f t="shared" si="269"/>
        <v>0</v>
      </c>
      <c r="AQ390">
        <f>IF(B390&gt;$AJ$2,0,AQ389*(1+Assumptions!$B$43)^(1/12))</f>
        <v>0</v>
      </c>
      <c r="AR390" s="27">
        <f>IF(B390&gt;$AJ$2,0,(O389+R389)*Assumptions!$B$39/12*AQ389+AV390*Assumptions!$B$41/12)</f>
        <v>0</v>
      </c>
      <c r="AS390">
        <f t="shared" si="270"/>
        <v>0</v>
      </c>
      <c r="AT390" s="28">
        <f t="shared" si="271"/>
        <v>0</v>
      </c>
      <c r="AU390">
        <f t="shared" si="272"/>
        <v>0</v>
      </c>
      <c r="AV390" s="28">
        <f t="shared" si="273"/>
        <v>0</v>
      </c>
      <c r="AW390" s="28">
        <f t="shared" si="274"/>
        <v>0</v>
      </c>
      <c r="AX390" s="23">
        <f>HLOOKUP(YEAR(A390),Assumptions!$A$25:$AL$29,2,TRUE)/100</f>
        <v>1.1332999999999999E-2</v>
      </c>
      <c r="AY390" s="29">
        <f>1/(1+HLOOKUP(YEAR(A390),Assumptions!$A$18:$AL$20,3,TRUE))^(1/12)</f>
        <v>0.99906043006125222</v>
      </c>
      <c r="AZ390" s="26">
        <f t="shared" si="275"/>
        <v>0</v>
      </c>
      <c r="BA390">
        <f t="shared" si="276"/>
        <v>0</v>
      </c>
      <c r="BB390">
        <f t="shared" si="277"/>
        <v>0</v>
      </c>
      <c r="BC390">
        <f t="shared" si="278"/>
        <v>0</v>
      </c>
    </row>
    <row r="391" spans="1:55" x14ac:dyDescent="0.2">
      <c r="A391" s="3">
        <f t="shared" si="247"/>
        <v>54666</v>
      </c>
      <c r="B391">
        <f t="shared" si="243"/>
        <v>393</v>
      </c>
      <c r="C391">
        <f t="shared" si="286"/>
        <v>32.666666666666664</v>
      </c>
      <c r="D391">
        <f t="shared" si="287"/>
        <v>0</v>
      </c>
      <c r="E391">
        <f t="shared" si="244"/>
        <v>88</v>
      </c>
      <c r="F391">
        <f>IF(C391&gt;=$T$2,0,VLOOKUP($E391,'Mortality Table'!$A$3:$C$128,2+AF$2,FALSE))</f>
        <v>0</v>
      </c>
      <c r="G391">
        <f>F391*Assumptions!$B$1</f>
        <v>0</v>
      </c>
      <c r="H391">
        <f t="shared" si="248"/>
        <v>0</v>
      </c>
      <c r="I391">
        <f t="shared" si="281"/>
        <v>0</v>
      </c>
      <c r="J391">
        <f>IF(B391&gt;$AJ$2,0,HLOOKUP(C391,Assumptions!$A$6:$J$7,2,TRUE))</f>
        <v>0</v>
      </c>
      <c r="K391" s="4">
        <f t="shared" si="282"/>
        <v>0</v>
      </c>
      <c r="L391" s="4">
        <f t="shared" si="249"/>
        <v>0</v>
      </c>
      <c r="M391" s="4">
        <f t="shared" si="283"/>
        <v>0</v>
      </c>
      <c r="N391">
        <f t="shared" si="250"/>
        <v>0</v>
      </c>
      <c r="O391" s="21">
        <f t="shared" si="284"/>
        <v>0</v>
      </c>
      <c r="P391">
        <f>IF(B391&gt;$AJ$2,0,HLOOKUP(C391,Assumptions!$A$12:$J$13,2,TRUE))</f>
        <v>0</v>
      </c>
      <c r="Q391">
        <f t="shared" si="285"/>
        <v>0</v>
      </c>
      <c r="R391">
        <f t="shared" si="251"/>
        <v>0</v>
      </c>
      <c r="S391">
        <f t="shared" si="279"/>
        <v>0</v>
      </c>
      <c r="T391">
        <f t="shared" si="280"/>
        <v>0</v>
      </c>
      <c r="U391">
        <f t="shared" si="252"/>
        <v>0</v>
      </c>
      <c r="V391">
        <f t="shared" si="253"/>
        <v>0</v>
      </c>
      <c r="W391">
        <f t="shared" si="254"/>
        <v>0</v>
      </c>
      <c r="X391">
        <f t="shared" si="245"/>
        <v>0</v>
      </c>
      <c r="Y391">
        <f t="shared" si="255"/>
        <v>0</v>
      </c>
      <c r="Z391">
        <f t="shared" si="256"/>
        <v>0</v>
      </c>
      <c r="AA391">
        <f t="shared" si="257"/>
        <v>0</v>
      </c>
      <c r="AB391">
        <f t="shared" si="258"/>
        <v>0</v>
      </c>
      <c r="AC391" s="23">
        <f>IF(B391&gt;$AJ$2,0,HLOOKUP(YEAR(A391),Assumptions!$A$25:$AL$29,4,TRUE)/100)</f>
        <v>0</v>
      </c>
      <c r="AD391">
        <f t="shared" si="259"/>
        <v>0</v>
      </c>
      <c r="AE391">
        <f t="shared" si="260"/>
        <v>0</v>
      </c>
      <c r="AF391">
        <f t="shared" si="261"/>
        <v>0</v>
      </c>
      <c r="AG391">
        <f t="shared" si="262"/>
        <v>0</v>
      </c>
      <c r="AH391">
        <f t="shared" si="263"/>
        <v>0</v>
      </c>
      <c r="AI391">
        <f t="shared" si="264"/>
        <v>0</v>
      </c>
      <c r="AJ391">
        <f t="shared" si="265"/>
        <v>0</v>
      </c>
      <c r="AK391">
        <f t="shared" si="266"/>
        <v>0</v>
      </c>
      <c r="AL391">
        <f t="shared" si="267"/>
        <v>0</v>
      </c>
      <c r="AM391">
        <f t="shared" si="246"/>
        <v>0</v>
      </c>
      <c r="AN391">
        <f>IF($S$2=0,0,(SUMPRODUCT($K$2:$R$2,Assumptions!$B$34:$I$34)/$U$2+$J$2/$U$2*Assumptions!$A$34*G391)*K391*O390)</f>
        <v>0</v>
      </c>
      <c r="AO391">
        <f t="shared" si="268"/>
        <v>0</v>
      </c>
      <c r="AP391">
        <f t="shared" si="269"/>
        <v>0</v>
      </c>
      <c r="AQ391">
        <f>IF(B391&gt;$AJ$2,0,AQ390*(1+Assumptions!$B$43)^(1/12))</f>
        <v>0</v>
      </c>
      <c r="AR391" s="27">
        <f>IF(B391&gt;$AJ$2,0,(O390+R390)*Assumptions!$B$39/12*AQ390+AV391*Assumptions!$B$41/12)</f>
        <v>0</v>
      </c>
      <c r="AS391">
        <f t="shared" si="270"/>
        <v>0</v>
      </c>
      <c r="AT391" s="28">
        <f t="shared" si="271"/>
        <v>0</v>
      </c>
      <c r="AU391">
        <f t="shared" si="272"/>
        <v>0</v>
      </c>
      <c r="AV391" s="28">
        <f t="shared" si="273"/>
        <v>0</v>
      </c>
      <c r="AW391" s="28">
        <f t="shared" si="274"/>
        <v>0</v>
      </c>
      <c r="AX391" s="23">
        <f>HLOOKUP(YEAR(A391),Assumptions!$A$25:$AL$29,2,TRUE)/100</f>
        <v>1.1332999999999999E-2</v>
      </c>
      <c r="AY391" s="29">
        <f>1/(1+HLOOKUP(YEAR(A391),Assumptions!$A$18:$AL$20,3,TRUE))^(1/12)</f>
        <v>0.99906043006125222</v>
      </c>
      <c r="AZ391" s="26">
        <f t="shared" si="275"/>
        <v>0</v>
      </c>
      <c r="BA391">
        <f t="shared" si="276"/>
        <v>0</v>
      </c>
      <c r="BB391">
        <f t="shared" si="277"/>
        <v>0</v>
      </c>
      <c r="BC391">
        <f t="shared" si="278"/>
        <v>0</v>
      </c>
    </row>
    <row r="392" spans="1:55" x14ac:dyDescent="0.2">
      <c r="A392" s="3">
        <f t="shared" si="247"/>
        <v>54696</v>
      </c>
      <c r="B392">
        <f t="shared" si="243"/>
        <v>394</v>
      </c>
      <c r="C392">
        <f t="shared" si="286"/>
        <v>32.75</v>
      </c>
      <c r="D392">
        <f t="shared" si="287"/>
        <v>0</v>
      </c>
      <c r="E392">
        <f t="shared" si="244"/>
        <v>88</v>
      </c>
      <c r="F392">
        <f>IF(C392&gt;=$T$2,0,VLOOKUP($E392,'Mortality Table'!$A$3:$C$128,2+AF$2,FALSE))</f>
        <v>0</v>
      </c>
      <c r="G392">
        <f>F392*Assumptions!$B$1</f>
        <v>0</v>
      </c>
      <c r="H392">
        <f t="shared" si="248"/>
        <v>0</v>
      </c>
      <c r="I392">
        <f t="shared" si="281"/>
        <v>0</v>
      </c>
      <c r="J392">
        <f>IF(B392&gt;$AJ$2,0,HLOOKUP(C392,Assumptions!$A$6:$J$7,2,TRUE))</f>
        <v>0</v>
      </c>
      <c r="K392" s="4">
        <f t="shared" si="282"/>
        <v>0</v>
      </c>
      <c r="L392" s="4">
        <f t="shared" si="249"/>
        <v>0</v>
      </c>
      <c r="M392" s="4">
        <f t="shared" si="283"/>
        <v>0</v>
      </c>
      <c r="N392">
        <f t="shared" si="250"/>
        <v>0</v>
      </c>
      <c r="O392" s="21">
        <f t="shared" si="284"/>
        <v>0</v>
      </c>
      <c r="P392">
        <f>IF(B392&gt;$AJ$2,0,HLOOKUP(C392,Assumptions!$A$12:$J$13,2,TRUE))</f>
        <v>0</v>
      </c>
      <c r="Q392">
        <f t="shared" si="285"/>
        <v>0</v>
      </c>
      <c r="R392">
        <f t="shared" si="251"/>
        <v>0</v>
      </c>
      <c r="S392">
        <f t="shared" si="279"/>
        <v>0</v>
      </c>
      <c r="T392">
        <f t="shared" si="280"/>
        <v>0</v>
      </c>
      <c r="U392">
        <f t="shared" si="252"/>
        <v>0</v>
      </c>
      <c r="V392">
        <f t="shared" si="253"/>
        <v>0</v>
      </c>
      <c r="W392">
        <f t="shared" si="254"/>
        <v>0</v>
      </c>
      <c r="X392">
        <f t="shared" si="245"/>
        <v>0</v>
      </c>
      <c r="Y392">
        <f t="shared" si="255"/>
        <v>0</v>
      </c>
      <c r="Z392">
        <f t="shared" si="256"/>
        <v>0</v>
      </c>
      <c r="AA392">
        <f t="shared" si="257"/>
        <v>0</v>
      </c>
      <c r="AB392">
        <f t="shared" si="258"/>
        <v>0</v>
      </c>
      <c r="AC392" s="23">
        <f>IF(B392&gt;$AJ$2,0,HLOOKUP(YEAR(A392),Assumptions!$A$25:$AL$29,4,TRUE)/100)</f>
        <v>0</v>
      </c>
      <c r="AD392">
        <f t="shared" si="259"/>
        <v>0</v>
      </c>
      <c r="AE392">
        <f t="shared" si="260"/>
        <v>0</v>
      </c>
      <c r="AF392">
        <f t="shared" si="261"/>
        <v>0</v>
      </c>
      <c r="AG392">
        <f t="shared" si="262"/>
        <v>0</v>
      </c>
      <c r="AH392">
        <f t="shared" si="263"/>
        <v>0</v>
      </c>
      <c r="AI392">
        <f t="shared" si="264"/>
        <v>0</v>
      </c>
      <c r="AJ392">
        <f t="shared" si="265"/>
        <v>0</v>
      </c>
      <c r="AK392">
        <f t="shared" si="266"/>
        <v>0</v>
      </c>
      <c r="AL392">
        <f t="shared" si="267"/>
        <v>0</v>
      </c>
      <c r="AM392">
        <f t="shared" si="246"/>
        <v>0</v>
      </c>
      <c r="AN392">
        <f>IF($S$2=0,0,(SUMPRODUCT($K$2:$R$2,Assumptions!$B$34:$I$34)/$U$2+$J$2/$U$2*Assumptions!$A$34*G392)*K392*O391)</f>
        <v>0</v>
      </c>
      <c r="AO392">
        <f t="shared" si="268"/>
        <v>0</v>
      </c>
      <c r="AP392">
        <f t="shared" si="269"/>
        <v>0</v>
      </c>
      <c r="AQ392">
        <f>IF(B392&gt;$AJ$2,0,AQ391*(1+Assumptions!$B$43)^(1/12))</f>
        <v>0</v>
      </c>
      <c r="AR392" s="27">
        <f>IF(B392&gt;$AJ$2,0,(O391+R391)*Assumptions!$B$39/12*AQ391+AV392*Assumptions!$B$41/12)</f>
        <v>0</v>
      </c>
      <c r="AS392">
        <f t="shared" si="270"/>
        <v>0</v>
      </c>
      <c r="AT392" s="28">
        <f t="shared" si="271"/>
        <v>0</v>
      </c>
      <c r="AU392">
        <f t="shared" si="272"/>
        <v>0</v>
      </c>
      <c r="AV392" s="28">
        <f t="shared" si="273"/>
        <v>0</v>
      </c>
      <c r="AW392" s="28">
        <f t="shared" si="274"/>
        <v>0</v>
      </c>
      <c r="AX392" s="23">
        <f>HLOOKUP(YEAR(A392),Assumptions!$A$25:$AL$29,2,TRUE)/100</f>
        <v>1.1332999999999999E-2</v>
      </c>
      <c r="AY392" s="29">
        <f>1/(1+HLOOKUP(YEAR(A392),Assumptions!$A$18:$AL$20,3,TRUE))^(1/12)</f>
        <v>0.99906043006125222</v>
      </c>
      <c r="AZ392" s="26">
        <f t="shared" si="275"/>
        <v>0</v>
      </c>
      <c r="BA392">
        <f t="shared" si="276"/>
        <v>0</v>
      </c>
      <c r="BB392">
        <f t="shared" si="277"/>
        <v>0</v>
      </c>
      <c r="BC392">
        <f t="shared" si="278"/>
        <v>0</v>
      </c>
    </row>
    <row r="393" spans="1:55" x14ac:dyDescent="0.2">
      <c r="A393" s="3">
        <f t="shared" si="247"/>
        <v>54727</v>
      </c>
      <c r="B393">
        <f t="shared" si="243"/>
        <v>395</v>
      </c>
      <c r="C393">
        <f t="shared" si="286"/>
        <v>32.833333333333336</v>
      </c>
      <c r="D393">
        <f t="shared" si="287"/>
        <v>0</v>
      </c>
      <c r="E393">
        <f t="shared" si="244"/>
        <v>88</v>
      </c>
      <c r="F393">
        <f>IF(C393&gt;=$T$2,0,VLOOKUP($E393,'Mortality Table'!$A$3:$C$128,2+AF$2,FALSE))</f>
        <v>0</v>
      </c>
      <c r="G393">
        <f>F393*Assumptions!$B$1</f>
        <v>0</v>
      </c>
      <c r="H393">
        <f t="shared" si="248"/>
        <v>0</v>
      </c>
      <c r="I393">
        <f t="shared" si="281"/>
        <v>0</v>
      </c>
      <c r="J393">
        <f>IF(B393&gt;$AJ$2,0,HLOOKUP(C393,Assumptions!$A$6:$J$7,2,TRUE))</f>
        <v>0</v>
      </c>
      <c r="K393" s="4">
        <f t="shared" si="282"/>
        <v>0</v>
      </c>
      <c r="L393" s="4">
        <f t="shared" si="249"/>
        <v>0</v>
      </c>
      <c r="M393" s="4">
        <f t="shared" si="283"/>
        <v>0</v>
      </c>
      <c r="N393">
        <f t="shared" si="250"/>
        <v>0</v>
      </c>
      <c r="O393" s="21">
        <f t="shared" si="284"/>
        <v>0</v>
      </c>
      <c r="P393">
        <f>IF(B393&gt;$AJ$2,0,HLOOKUP(C393,Assumptions!$A$12:$J$13,2,TRUE))</f>
        <v>0</v>
      </c>
      <c r="Q393">
        <f t="shared" si="285"/>
        <v>0</v>
      </c>
      <c r="R393">
        <f t="shared" si="251"/>
        <v>0</v>
      </c>
      <c r="S393">
        <f t="shared" si="279"/>
        <v>0</v>
      </c>
      <c r="T393">
        <f t="shared" si="280"/>
        <v>0</v>
      </c>
      <c r="U393">
        <f t="shared" si="252"/>
        <v>0</v>
      </c>
      <c r="V393">
        <f t="shared" si="253"/>
        <v>0</v>
      </c>
      <c r="W393">
        <f t="shared" si="254"/>
        <v>0</v>
      </c>
      <c r="X393">
        <f t="shared" si="245"/>
        <v>0</v>
      </c>
      <c r="Y393">
        <f t="shared" si="255"/>
        <v>0</v>
      </c>
      <c r="Z393">
        <f t="shared" si="256"/>
        <v>0</v>
      </c>
      <c r="AA393">
        <f t="shared" si="257"/>
        <v>0</v>
      </c>
      <c r="AB393">
        <f t="shared" si="258"/>
        <v>0</v>
      </c>
      <c r="AC393" s="23">
        <f>IF(B393&gt;$AJ$2,0,HLOOKUP(YEAR(A393),Assumptions!$A$25:$AL$29,4,TRUE)/100)</f>
        <v>0</v>
      </c>
      <c r="AD393">
        <f t="shared" si="259"/>
        <v>0</v>
      </c>
      <c r="AE393">
        <f t="shared" si="260"/>
        <v>0</v>
      </c>
      <c r="AF393">
        <f t="shared" si="261"/>
        <v>0</v>
      </c>
      <c r="AG393">
        <f t="shared" si="262"/>
        <v>0</v>
      </c>
      <c r="AH393">
        <f t="shared" si="263"/>
        <v>0</v>
      </c>
      <c r="AI393">
        <f t="shared" si="264"/>
        <v>0</v>
      </c>
      <c r="AJ393">
        <f t="shared" si="265"/>
        <v>0</v>
      </c>
      <c r="AK393">
        <f t="shared" si="266"/>
        <v>0</v>
      </c>
      <c r="AL393">
        <f t="shared" si="267"/>
        <v>0</v>
      </c>
      <c r="AM393">
        <f t="shared" si="246"/>
        <v>0</v>
      </c>
      <c r="AN393">
        <f>IF($S$2=0,0,(SUMPRODUCT($K$2:$R$2,Assumptions!$B$34:$I$34)/$U$2+$J$2/$U$2*Assumptions!$A$34*G393)*K393*O392)</f>
        <v>0</v>
      </c>
      <c r="AO393">
        <f t="shared" si="268"/>
        <v>0</v>
      </c>
      <c r="AP393">
        <f t="shared" si="269"/>
        <v>0</v>
      </c>
      <c r="AQ393">
        <f>IF(B393&gt;$AJ$2,0,AQ392*(1+Assumptions!$B$43)^(1/12))</f>
        <v>0</v>
      </c>
      <c r="AR393" s="27">
        <f>IF(B393&gt;$AJ$2,0,(O392+R392)*Assumptions!$B$39/12*AQ392+AV393*Assumptions!$B$41/12)</f>
        <v>0</v>
      </c>
      <c r="AS393">
        <f t="shared" si="270"/>
        <v>0</v>
      </c>
      <c r="AT393" s="28">
        <f t="shared" si="271"/>
        <v>0</v>
      </c>
      <c r="AU393">
        <f t="shared" si="272"/>
        <v>0</v>
      </c>
      <c r="AV393" s="28">
        <f t="shared" si="273"/>
        <v>0</v>
      </c>
      <c r="AW393" s="28">
        <f t="shared" si="274"/>
        <v>0</v>
      </c>
      <c r="AX393" s="23">
        <f>HLOOKUP(YEAR(A393),Assumptions!$A$25:$AL$29,2,TRUE)/100</f>
        <v>1.1332999999999999E-2</v>
      </c>
      <c r="AY393" s="29">
        <f>1/(1+HLOOKUP(YEAR(A393),Assumptions!$A$18:$AL$20,3,TRUE))^(1/12)</f>
        <v>0.99906043006125222</v>
      </c>
      <c r="AZ393" s="26">
        <f t="shared" si="275"/>
        <v>0</v>
      </c>
      <c r="BA393">
        <f t="shared" si="276"/>
        <v>0</v>
      </c>
      <c r="BB393">
        <f t="shared" si="277"/>
        <v>0</v>
      </c>
      <c r="BC393">
        <f t="shared" si="278"/>
        <v>0</v>
      </c>
    </row>
    <row r="394" spans="1:55" x14ac:dyDescent="0.2">
      <c r="A394" s="3">
        <f t="shared" si="247"/>
        <v>54757</v>
      </c>
      <c r="B394">
        <f t="shared" si="243"/>
        <v>396</v>
      </c>
      <c r="C394">
        <f t="shared" si="286"/>
        <v>32.916666666666664</v>
      </c>
      <c r="D394">
        <f t="shared" si="287"/>
        <v>0</v>
      </c>
      <c r="E394">
        <f t="shared" si="244"/>
        <v>88</v>
      </c>
      <c r="F394">
        <f>IF(C394&gt;=$T$2,0,VLOOKUP($E394,'Mortality Table'!$A$3:$C$128,2+AF$2,FALSE))</f>
        <v>0</v>
      </c>
      <c r="G394">
        <f>F394*Assumptions!$B$1</f>
        <v>0</v>
      </c>
      <c r="H394">
        <f t="shared" si="248"/>
        <v>0</v>
      </c>
      <c r="I394">
        <f t="shared" si="281"/>
        <v>0</v>
      </c>
      <c r="J394">
        <f>IF(B394&gt;$AJ$2,0,HLOOKUP(C394,Assumptions!$A$6:$J$7,2,TRUE))</f>
        <v>0</v>
      </c>
      <c r="K394" s="4">
        <f t="shared" si="282"/>
        <v>0</v>
      </c>
      <c r="L394" s="4">
        <f t="shared" si="249"/>
        <v>0</v>
      </c>
      <c r="M394" s="4">
        <f t="shared" si="283"/>
        <v>0</v>
      </c>
      <c r="N394">
        <f t="shared" si="250"/>
        <v>0</v>
      </c>
      <c r="O394" s="21">
        <f t="shared" si="284"/>
        <v>0</v>
      </c>
      <c r="P394">
        <f>IF(B394&gt;$AJ$2,0,HLOOKUP(C394,Assumptions!$A$12:$J$13,2,TRUE))</f>
        <v>0</v>
      </c>
      <c r="Q394">
        <f t="shared" si="285"/>
        <v>0</v>
      </c>
      <c r="R394">
        <f t="shared" si="251"/>
        <v>0</v>
      </c>
      <c r="S394">
        <f t="shared" si="279"/>
        <v>0</v>
      </c>
      <c r="T394">
        <f t="shared" si="280"/>
        <v>0</v>
      </c>
      <c r="U394">
        <f t="shared" si="252"/>
        <v>0</v>
      </c>
      <c r="V394">
        <f t="shared" si="253"/>
        <v>0</v>
      </c>
      <c r="W394">
        <f t="shared" si="254"/>
        <v>0</v>
      </c>
      <c r="X394">
        <f t="shared" si="245"/>
        <v>0</v>
      </c>
      <c r="Y394">
        <f t="shared" si="255"/>
        <v>0</v>
      </c>
      <c r="Z394">
        <f t="shared" si="256"/>
        <v>0</v>
      </c>
      <c r="AA394">
        <f t="shared" si="257"/>
        <v>0</v>
      </c>
      <c r="AB394">
        <f t="shared" si="258"/>
        <v>0</v>
      </c>
      <c r="AC394" s="23">
        <f>IF(B394&gt;$AJ$2,0,HLOOKUP(YEAR(A394),Assumptions!$A$25:$AL$29,4,TRUE)/100)</f>
        <v>0</v>
      </c>
      <c r="AD394">
        <f t="shared" si="259"/>
        <v>0</v>
      </c>
      <c r="AE394">
        <f t="shared" si="260"/>
        <v>0</v>
      </c>
      <c r="AF394">
        <f t="shared" si="261"/>
        <v>0</v>
      </c>
      <c r="AG394">
        <f t="shared" si="262"/>
        <v>0</v>
      </c>
      <c r="AH394">
        <f t="shared" si="263"/>
        <v>0</v>
      </c>
      <c r="AI394">
        <f t="shared" si="264"/>
        <v>0</v>
      </c>
      <c r="AJ394">
        <f t="shared" si="265"/>
        <v>0</v>
      </c>
      <c r="AK394">
        <f t="shared" si="266"/>
        <v>0</v>
      </c>
      <c r="AL394">
        <f t="shared" si="267"/>
        <v>0</v>
      </c>
      <c r="AM394">
        <f t="shared" si="246"/>
        <v>0</v>
      </c>
      <c r="AN394">
        <f>IF($S$2=0,0,(SUMPRODUCT($K$2:$R$2,Assumptions!$B$34:$I$34)/$U$2+$J$2/$U$2*Assumptions!$A$34*G394)*K394*O393)</f>
        <v>0</v>
      </c>
      <c r="AO394">
        <f t="shared" si="268"/>
        <v>0</v>
      </c>
      <c r="AP394">
        <f t="shared" si="269"/>
        <v>0</v>
      </c>
      <c r="AQ394">
        <f>IF(B394&gt;$AJ$2,0,AQ393*(1+Assumptions!$B$43)^(1/12))</f>
        <v>0</v>
      </c>
      <c r="AR394" s="27">
        <f>IF(B394&gt;$AJ$2,0,(O393+R393)*Assumptions!$B$39/12*AQ393+AV394*Assumptions!$B$41/12)</f>
        <v>0</v>
      </c>
      <c r="AS394">
        <f t="shared" si="270"/>
        <v>0</v>
      </c>
      <c r="AT394" s="28">
        <f t="shared" si="271"/>
        <v>0</v>
      </c>
      <c r="AU394">
        <f t="shared" si="272"/>
        <v>0</v>
      </c>
      <c r="AV394" s="28">
        <f t="shared" si="273"/>
        <v>0</v>
      </c>
      <c r="AW394" s="28">
        <f t="shared" si="274"/>
        <v>0</v>
      </c>
      <c r="AX394" s="23">
        <f>HLOOKUP(YEAR(A394),Assumptions!$A$25:$AL$29,2,TRUE)/100</f>
        <v>1.1332999999999999E-2</v>
      </c>
      <c r="AY394" s="29">
        <f>1/(1+HLOOKUP(YEAR(A394),Assumptions!$A$18:$AL$20,3,TRUE))^(1/12)</f>
        <v>0.99906043006125222</v>
      </c>
      <c r="AZ394" s="26">
        <f t="shared" si="275"/>
        <v>0</v>
      </c>
      <c r="BA394">
        <f t="shared" si="276"/>
        <v>0</v>
      </c>
      <c r="BB394">
        <f t="shared" si="277"/>
        <v>0</v>
      </c>
      <c r="BC394">
        <f t="shared" si="278"/>
        <v>0</v>
      </c>
    </row>
    <row r="395" spans="1:55" x14ac:dyDescent="0.2">
      <c r="A395" s="3">
        <f t="shared" si="247"/>
        <v>54788</v>
      </c>
      <c r="B395">
        <f t="shared" si="243"/>
        <v>397</v>
      </c>
      <c r="C395">
        <f t="shared" si="286"/>
        <v>33</v>
      </c>
      <c r="D395">
        <f t="shared" si="287"/>
        <v>1</v>
      </c>
      <c r="E395">
        <f t="shared" si="244"/>
        <v>89</v>
      </c>
      <c r="F395">
        <f>IF(C395&gt;=$T$2,0,VLOOKUP($E395,'Mortality Table'!$A$3:$C$128,2+AF$2,FALSE))</f>
        <v>0</v>
      </c>
      <c r="G395">
        <f>F395*Assumptions!$B$1</f>
        <v>0</v>
      </c>
      <c r="H395">
        <f t="shared" si="248"/>
        <v>0</v>
      </c>
      <c r="I395">
        <f t="shared" si="281"/>
        <v>0</v>
      </c>
      <c r="J395">
        <f>IF(B395&gt;$AJ$2,0,HLOOKUP(C395,Assumptions!$A$6:$J$7,2,TRUE))</f>
        <v>0</v>
      </c>
      <c r="K395" s="4">
        <f t="shared" si="282"/>
        <v>0</v>
      </c>
      <c r="L395" s="4">
        <f t="shared" si="249"/>
        <v>0</v>
      </c>
      <c r="M395" s="4">
        <f t="shared" si="283"/>
        <v>0</v>
      </c>
      <c r="N395">
        <f t="shared" si="250"/>
        <v>0</v>
      </c>
      <c r="O395" s="21">
        <f t="shared" si="284"/>
        <v>0</v>
      </c>
      <c r="P395">
        <f>IF(B395&gt;$AJ$2,0,HLOOKUP(C395,Assumptions!$A$12:$J$13,2,TRUE))</f>
        <v>0</v>
      </c>
      <c r="Q395">
        <f t="shared" si="285"/>
        <v>0</v>
      </c>
      <c r="R395">
        <f t="shared" si="251"/>
        <v>0</v>
      </c>
      <c r="S395">
        <f t="shared" si="279"/>
        <v>0</v>
      </c>
      <c r="T395">
        <f t="shared" si="280"/>
        <v>0</v>
      </c>
      <c r="U395">
        <f t="shared" si="252"/>
        <v>0</v>
      </c>
      <c r="V395">
        <f t="shared" si="253"/>
        <v>0</v>
      </c>
      <c r="W395">
        <f t="shared" si="254"/>
        <v>0</v>
      </c>
      <c r="X395">
        <f t="shared" si="245"/>
        <v>0</v>
      </c>
      <c r="Y395">
        <f t="shared" si="255"/>
        <v>0</v>
      </c>
      <c r="Z395">
        <f t="shared" si="256"/>
        <v>0</v>
      </c>
      <c r="AA395">
        <f t="shared" si="257"/>
        <v>0</v>
      </c>
      <c r="AB395">
        <f t="shared" si="258"/>
        <v>0</v>
      </c>
      <c r="AC395" s="23">
        <f>IF(B395&gt;$AJ$2,0,HLOOKUP(YEAR(A395),Assumptions!$A$25:$AL$29,4,TRUE)/100)</f>
        <v>0</v>
      </c>
      <c r="AD395">
        <f t="shared" si="259"/>
        <v>0</v>
      </c>
      <c r="AE395">
        <f t="shared" si="260"/>
        <v>0</v>
      </c>
      <c r="AF395">
        <f t="shared" si="261"/>
        <v>0</v>
      </c>
      <c r="AG395">
        <f t="shared" si="262"/>
        <v>0</v>
      </c>
      <c r="AH395">
        <f t="shared" si="263"/>
        <v>0</v>
      </c>
      <c r="AI395">
        <f t="shared" si="264"/>
        <v>0</v>
      </c>
      <c r="AJ395">
        <f t="shared" si="265"/>
        <v>0</v>
      </c>
      <c r="AK395">
        <f t="shared" si="266"/>
        <v>0</v>
      </c>
      <c r="AL395">
        <f t="shared" si="267"/>
        <v>0</v>
      </c>
      <c r="AM395">
        <f t="shared" si="246"/>
        <v>0</v>
      </c>
      <c r="AN395">
        <f>IF($S$2=0,0,(SUMPRODUCT($K$2:$R$2,Assumptions!$B$34:$I$34)/$U$2+$J$2/$U$2*Assumptions!$A$34*G395)*K395*O394)</f>
        <v>0</v>
      </c>
      <c r="AO395">
        <f t="shared" si="268"/>
        <v>0</v>
      </c>
      <c r="AP395">
        <f t="shared" si="269"/>
        <v>0</v>
      </c>
      <c r="AQ395">
        <f>IF(B395&gt;$AJ$2,0,AQ394*(1+Assumptions!$B$43)^(1/12))</f>
        <v>0</v>
      </c>
      <c r="AR395" s="27">
        <f>IF(B395&gt;$AJ$2,0,(O394+R394)*Assumptions!$B$39/12*AQ394+AV395*Assumptions!$B$41/12)</f>
        <v>0</v>
      </c>
      <c r="AS395">
        <f t="shared" si="270"/>
        <v>0</v>
      </c>
      <c r="AT395" s="28">
        <f t="shared" si="271"/>
        <v>0</v>
      </c>
      <c r="AU395">
        <f t="shared" si="272"/>
        <v>0</v>
      </c>
      <c r="AV395" s="28">
        <f t="shared" si="273"/>
        <v>0</v>
      </c>
      <c r="AW395" s="28">
        <f t="shared" si="274"/>
        <v>0</v>
      </c>
      <c r="AX395" s="23">
        <f>HLOOKUP(YEAR(A395),Assumptions!$A$25:$AL$29,2,TRUE)/100</f>
        <v>1.1332999999999999E-2</v>
      </c>
      <c r="AY395" s="29">
        <f>1/(1+HLOOKUP(YEAR(A395),Assumptions!$A$18:$AL$20,3,TRUE))^(1/12)</f>
        <v>0.99906043006125222</v>
      </c>
      <c r="AZ395" s="26">
        <f t="shared" si="275"/>
        <v>0</v>
      </c>
      <c r="BA395">
        <f t="shared" si="276"/>
        <v>0</v>
      </c>
      <c r="BB395">
        <f t="shared" si="277"/>
        <v>0</v>
      </c>
      <c r="BC395">
        <f t="shared" si="278"/>
        <v>0</v>
      </c>
    </row>
    <row r="396" spans="1:55" x14ac:dyDescent="0.2">
      <c r="A396" s="3">
        <f t="shared" si="247"/>
        <v>54819</v>
      </c>
      <c r="B396">
        <f t="shared" ref="B396:B459" si="288">B395+1</f>
        <v>398</v>
      </c>
      <c r="C396">
        <f t="shared" si="286"/>
        <v>33.083333333333336</v>
      </c>
      <c r="D396">
        <f t="shared" si="287"/>
        <v>0</v>
      </c>
      <c r="E396">
        <f t="shared" ref="E396:E459" si="289">$C$2+INT($C396)</f>
        <v>89</v>
      </c>
      <c r="F396">
        <f>IF(C396&gt;=$T$2,0,VLOOKUP($E396,'Mortality Table'!$A$3:$C$128,2+AF$2,FALSE))</f>
        <v>0</v>
      </c>
      <c r="G396">
        <f>F396*Assumptions!$B$1</f>
        <v>0</v>
      </c>
      <c r="H396">
        <f t="shared" si="248"/>
        <v>0</v>
      </c>
      <c r="I396">
        <f t="shared" si="281"/>
        <v>0</v>
      </c>
      <c r="J396">
        <f>IF(B396&gt;$AJ$2,0,HLOOKUP(C396,Assumptions!$A$6:$J$7,2,TRUE))</f>
        <v>0</v>
      </c>
      <c r="K396" s="4">
        <f t="shared" si="282"/>
        <v>0</v>
      </c>
      <c r="L396" s="4">
        <f t="shared" si="249"/>
        <v>0</v>
      </c>
      <c r="M396" s="4">
        <f t="shared" si="283"/>
        <v>0</v>
      </c>
      <c r="N396">
        <f t="shared" si="250"/>
        <v>0</v>
      </c>
      <c r="O396" s="21">
        <f t="shared" si="284"/>
        <v>0</v>
      </c>
      <c r="P396">
        <f>IF(B396&gt;$AJ$2,0,HLOOKUP(C396,Assumptions!$A$12:$J$13,2,TRUE))</f>
        <v>0</v>
      </c>
      <c r="Q396">
        <f t="shared" si="285"/>
        <v>0</v>
      </c>
      <c r="R396">
        <f t="shared" si="251"/>
        <v>0</v>
      </c>
      <c r="S396">
        <f t="shared" si="279"/>
        <v>0</v>
      </c>
      <c r="T396">
        <f t="shared" si="280"/>
        <v>0</v>
      </c>
      <c r="U396">
        <f t="shared" si="252"/>
        <v>0</v>
      </c>
      <c r="V396">
        <f t="shared" si="253"/>
        <v>0</v>
      </c>
      <c r="W396">
        <f t="shared" si="254"/>
        <v>0</v>
      </c>
      <c r="X396">
        <f t="shared" ref="X396:X420" si="290">U396/$U$2*K396*O395</f>
        <v>0</v>
      </c>
      <c r="Y396">
        <f t="shared" si="255"/>
        <v>0</v>
      </c>
      <c r="Z396">
        <f t="shared" si="256"/>
        <v>0</v>
      </c>
      <c r="AA396">
        <f t="shared" si="257"/>
        <v>0</v>
      </c>
      <c r="AB396">
        <f t="shared" si="258"/>
        <v>0</v>
      </c>
      <c r="AC396" s="23">
        <f>IF(B396&gt;$AJ$2,0,HLOOKUP(YEAR(A396),Assumptions!$A$25:$AL$29,4,TRUE)/100)</f>
        <v>0</v>
      </c>
      <c r="AD396">
        <f t="shared" si="259"/>
        <v>0</v>
      </c>
      <c r="AE396">
        <f t="shared" si="260"/>
        <v>0</v>
      </c>
      <c r="AF396">
        <f t="shared" si="261"/>
        <v>0</v>
      </c>
      <c r="AG396">
        <f t="shared" si="262"/>
        <v>0</v>
      </c>
      <c r="AH396">
        <f t="shared" si="263"/>
        <v>0</v>
      </c>
      <c r="AI396">
        <f t="shared" si="264"/>
        <v>0</v>
      </c>
      <c r="AJ396">
        <f t="shared" si="265"/>
        <v>0</v>
      </c>
      <c r="AK396">
        <f t="shared" si="266"/>
        <v>0</v>
      </c>
      <c r="AL396">
        <f t="shared" si="267"/>
        <v>0</v>
      </c>
      <c r="AM396">
        <f t="shared" ref="AM396:AM459" si="291">IF($AJ$2+1=B396,O395*(Z395+AD395+MAX(0,IF(MONTH(A396)=1,AB395-AD395-Z395,0)))+R395*(AF395+AH395),0)</f>
        <v>0</v>
      </c>
      <c r="AN396">
        <f>IF($S$2=0,0,(SUMPRODUCT($K$2:$R$2,Assumptions!$B$34:$I$34)/$U$2+$J$2/$U$2*Assumptions!$A$34*G396)*K396*O395)</f>
        <v>0</v>
      </c>
      <c r="AO396">
        <f t="shared" si="268"/>
        <v>0</v>
      </c>
      <c r="AP396">
        <f t="shared" si="269"/>
        <v>0</v>
      </c>
      <c r="AQ396">
        <f>IF(B396&gt;$AJ$2,0,AQ395*(1+Assumptions!$B$43)^(1/12))</f>
        <v>0</v>
      </c>
      <c r="AR396" s="27">
        <f>IF(B396&gt;$AJ$2,0,(O395+R395)*Assumptions!$B$39/12*AQ395+AV396*Assumptions!$B$41/12)</f>
        <v>0</v>
      </c>
      <c r="AS396">
        <f t="shared" si="270"/>
        <v>0</v>
      </c>
      <c r="AT396" s="28">
        <f t="shared" si="271"/>
        <v>0</v>
      </c>
      <c r="AU396">
        <f t="shared" si="272"/>
        <v>0</v>
      </c>
      <c r="AV396" s="28">
        <f t="shared" si="273"/>
        <v>0</v>
      </c>
      <c r="AW396" s="28">
        <f t="shared" si="274"/>
        <v>0</v>
      </c>
      <c r="AX396" s="23">
        <f>HLOOKUP(YEAR(A396),Assumptions!$A$25:$AL$29,2,TRUE)/100</f>
        <v>1.1332999999999999E-2</v>
      </c>
      <c r="AY396" s="29">
        <f>1/(1+HLOOKUP(YEAR(A396),Assumptions!$A$18:$AL$20,3,TRUE))^(1/12)</f>
        <v>0.99906100631170314</v>
      </c>
      <c r="AZ396" s="26">
        <f t="shared" si="275"/>
        <v>0</v>
      </c>
      <c r="BA396">
        <f t="shared" si="276"/>
        <v>0</v>
      </c>
      <c r="BB396">
        <f t="shared" si="277"/>
        <v>0</v>
      </c>
      <c r="BC396">
        <f t="shared" si="278"/>
        <v>0</v>
      </c>
    </row>
    <row r="397" spans="1:55" x14ac:dyDescent="0.2">
      <c r="A397" s="3">
        <f t="shared" ref="A397:A460" si="292">DATE(YEAR(A396),MONTH(A396)+2,1)-1</f>
        <v>54847</v>
      </c>
      <c r="B397">
        <f t="shared" si="288"/>
        <v>399</v>
      </c>
      <c r="C397">
        <f t="shared" si="286"/>
        <v>33.166666666666664</v>
      </c>
      <c r="D397">
        <f t="shared" si="287"/>
        <v>0</v>
      </c>
      <c r="E397">
        <f t="shared" si="289"/>
        <v>89</v>
      </c>
      <c r="F397">
        <f>IF(C397&gt;=$T$2,0,VLOOKUP($E397,'Mortality Table'!$A$3:$C$128,2+AF$2,FALSE))</f>
        <v>0</v>
      </c>
      <c r="G397">
        <f>F397*Assumptions!$B$1</f>
        <v>0</v>
      </c>
      <c r="H397">
        <f t="shared" ref="H397:H420" si="293">(1-(1-G397)^(1/12))</f>
        <v>0</v>
      </c>
      <c r="I397">
        <f t="shared" si="281"/>
        <v>0</v>
      </c>
      <c r="J397">
        <f>IF(B397&gt;$AJ$2,0,HLOOKUP(C397,Assumptions!$A$6:$J$7,2,TRUE))</f>
        <v>0</v>
      </c>
      <c r="K397" s="4">
        <f t="shared" si="282"/>
        <v>0</v>
      </c>
      <c r="L397" s="4">
        <f t="shared" ref="L397:L460" si="294">IF(B397&gt;$AJ$2,0,IF(B397=$AJ$2,1/$U$2,IF(K398=0,0,1/$U$2)))</f>
        <v>0</v>
      </c>
      <c r="M397" s="4">
        <f t="shared" si="283"/>
        <v>0</v>
      </c>
      <c r="N397">
        <f t="shared" ref="N397:N420" si="295">M397*O396*(1-H397/2)</f>
        <v>0</v>
      </c>
      <c r="O397" s="21">
        <f t="shared" si="284"/>
        <v>0</v>
      </c>
      <c r="P397">
        <f>IF(B397&gt;$AJ$2,0,HLOOKUP(C397,Assumptions!$A$12:$J$13,2,TRUE))</f>
        <v>0</v>
      </c>
      <c r="Q397">
        <f t="shared" si="285"/>
        <v>0</v>
      </c>
      <c r="R397">
        <f t="shared" ref="R397:R460" si="296">IF(B397&gt;$AJ$2,0,Q397+R396-S397-T397)</f>
        <v>0</v>
      </c>
      <c r="S397">
        <f t="shared" si="279"/>
        <v>0</v>
      </c>
      <c r="T397">
        <f t="shared" si="280"/>
        <v>0</v>
      </c>
      <c r="U397">
        <f t="shared" ref="U397:U460" si="297">IF(B397&gt;$AJ$2,0,U396*(1+$I$2/100)^D397)</f>
        <v>0</v>
      </c>
      <c r="V397">
        <f t="shared" ref="V397:V460" si="298">IF(B397&gt;$AJ$2,0,IF(E397&lt;=75,SUM($J$2:$R$2),0))</f>
        <v>0</v>
      </c>
      <c r="W397">
        <f t="shared" ref="W397:W460" si="299">IF(B397&gt;$AJ$2,0,($G$2+IF(B397&lt;13,$D$2,IF(B397&lt;25,$E$2,IF(B397&lt;37,$F$2,0))))/100)</f>
        <v>0</v>
      </c>
      <c r="X397">
        <f t="shared" si="290"/>
        <v>0</v>
      </c>
      <c r="Y397">
        <f t="shared" ref="Y397:Y460" si="300">IF($W$2=0,0,(U397-V397)*(1-W397)/$U$2*K397)</f>
        <v>0</v>
      </c>
      <c r="Z397">
        <f t="shared" ref="Z397:Z460" si="301">IF(B397&gt;$AJ$2,0,(Z396+Y397)*(1+$V$2/100)^(1/12))</f>
        <v>0</v>
      </c>
      <c r="AA397">
        <f t="shared" ref="AA397:AA460" si="302">IF(B397&gt;$AJ$2,0,MAX(0,IF(MONTH(A397)=1,AB396-AD396-Z396,0)))</f>
        <v>0</v>
      </c>
      <c r="AB397">
        <f t="shared" ref="AB397:AB460" si="303">IF(B397&gt;$AJ$2,0,(AB396+Y397)*(1+MAX(AC397,$V$2/100))^(1/12))</f>
        <v>0</v>
      </c>
      <c r="AC397" s="23">
        <f>IF(B397&gt;$AJ$2,0,HLOOKUP(YEAR(A397),Assumptions!$A$25:$AL$29,4,TRUE)/100)</f>
        <v>0</v>
      </c>
      <c r="AD397">
        <f t="shared" ref="AD397:AD460" si="304">IF(B397&gt;$AJ$2,0,AD396+AA397)*(1+$V$2/100)^(1/12)</f>
        <v>0</v>
      </c>
      <c r="AE397">
        <f t="shared" ref="AE397:AE460" si="305">IF(B397&gt;$AJ$2,0,IF(R397=0,0,(AF397*(R397-Q397)+Q397*Z397)/R397))</f>
        <v>0</v>
      </c>
      <c r="AF397">
        <f t="shared" ref="AF397:AF460" si="306">IF(B397&gt;$AJ$2,0,AE396*(1+$V$2/100)^(1/12))</f>
        <v>0</v>
      </c>
      <c r="AG397">
        <f t="shared" ref="AG397:AG460" si="307">IF(B397&gt;$AJ$2,0,IF(R397=0,0,(AG396*(R397-Q397)*(1+MAX(AC397,$V$2/100))^(1/12)+Q397*AB397)/R397))</f>
        <v>0</v>
      </c>
      <c r="AH397">
        <f t="shared" ref="AH397:AH460" si="308">IF(B397&gt;$AJ$2,0,IF(R397=0,0,(AI397*(R397-Q397)+Q397*AD397)/R397))</f>
        <v>0</v>
      </c>
      <c r="AI397">
        <f t="shared" ref="AI397:AI460" si="309">IF(B397&gt;$AJ$2,0,(AH396+AJ397)*(1+$V$2/100)^(1/12))</f>
        <v>0</v>
      </c>
      <c r="AJ397">
        <f t="shared" ref="AJ397:AJ460" si="310">IF(B397&gt;$AJ$2,0,MAX(0,IF(MONTH(A397)=1,AG396-AE396-AH396)))</f>
        <v>0</v>
      </c>
      <c r="AK397">
        <f t="shared" ref="AK397:AK420" si="311">I397*(Z397+AD397)+S397*(AF397+AI397)</f>
        <v>0</v>
      </c>
      <c r="AL397">
        <f t="shared" ref="AL397:AL460" si="312">N397*(Z397+AD397+BC397)+T397*(AE397+AH397)</f>
        <v>0</v>
      </c>
      <c r="AM397">
        <f t="shared" si="291"/>
        <v>0</v>
      </c>
      <c r="AN397">
        <f>IF($S$2=0,0,(SUMPRODUCT($K$2:$R$2,Assumptions!$B$34:$I$34)/$U$2+$J$2/$U$2*Assumptions!$A$34*G397)*K397*O396)</f>
        <v>0</v>
      </c>
      <c r="AO397">
        <f t="shared" ref="AO397:AO460" si="313">($P$2+$R$2)/$U$2*K397*O396</f>
        <v>0</v>
      </c>
      <c r="AP397">
        <f t="shared" ref="AP397:AP460" si="314">IF(B397&lt;=12,(X397-AO397)*$AB$2+AO397*0.06,IF(B397&lt;=24,(X397-AO397)*$AC$2+AO397*0.06,IF(B397&lt;=36,(X397-AO397)*$AD$2+AO397*0.06,0)))</f>
        <v>0</v>
      </c>
      <c r="AQ397">
        <f>IF(B397&gt;$AJ$2,0,AQ396*(1+Assumptions!$B$43)^(1/12))</f>
        <v>0</v>
      </c>
      <c r="AR397" s="27">
        <f>IF(B397&gt;$AJ$2,0,(O396+R396)*Assumptions!$B$39/12*AQ396+AV397*Assumptions!$B$41/12)</f>
        <v>0</v>
      </c>
      <c r="AS397">
        <f t="shared" ref="AS397:AS460" si="315">IF(B397&gt;$AJ$2,0,Y397*K397*O396)</f>
        <v>0</v>
      </c>
      <c r="AT397" s="28">
        <f t="shared" ref="AT397:AT460" si="316">IF(B397&gt;$AJ$2,0,O397*(Z397+AD397+AA398+BC397)+R397*(AE397+AH397+AJ398))</f>
        <v>0</v>
      </c>
      <c r="AU397">
        <f t="shared" ref="AU397:AU460" si="317">IF(B397&gt;$AJ$2,0,IF(MONTH(A397)=12,0,AU396+AW397*((1+AX397)^(1/12)-1)-BB397*((1+$V$2/100)^(1/12)-1)))</f>
        <v>0</v>
      </c>
      <c r="AV397" s="28">
        <f t="shared" ref="AV397:AV460" si="318">IF(B397&gt;$AJ$2,0,AT396+AS397-AN397+AU396)</f>
        <v>0</v>
      </c>
      <c r="AW397" s="28">
        <f t="shared" ref="AW397:AW460" si="319">IF(B397&gt;$AJ$2,0,AT396+X397+AU396-AN397-AP397-AR397)</f>
        <v>0</v>
      </c>
      <c r="AX397" s="23">
        <f>HLOOKUP(YEAR(A397),Assumptions!$A$25:$AL$29,2,TRUE)/100</f>
        <v>1.1332999999999999E-2</v>
      </c>
      <c r="AY397" s="29">
        <f>1/(1+HLOOKUP(YEAR(A397),Assumptions!$A$18:$AL$20,3,TRUE))^(1/12)</f>
        <v>0.99906100631170314</v>
      </c>
      <c r="AZ397" s="26">
        <f t="shared" ref="AZ397:AZ460" si="320">(AZ398+BA398+AR398+AP398-X398)*AY398</f>
        <v>0</v>
      </c>
      <c r="BA397">
        <f t="shared" ref="BA397:BA460" si="321">AK397+AL397+AM397+AN397</f>
        <v>0</v>
      </c>
      <c r="BB397">
        <f t="shared" ref="BB397:BB460" si="322">IF(B397&gt;$AJ$2,0,AT396-BC396*O396+AS397-AN397)</f>
        <v>0</v>
      </c>
      <c r="BC397">
        <f t="shared" ref="BC397:BC460" si="323">IF($W$2=0,0,IF(B397&gt;$AJ$2,0,BC396+V397/$U$2*K397-$U$2/12*V397/$U$2))</f>
        <v>0</v>
      </c>
    </row>
    <row r="398" spans="1:55" x14ac:dyDescent="0.2">
      <c r="A398" s="3">
        <f t="shared" si="292"/>
        <v>54878</v>
      </c>
      <c r="B398">
        <f t="shared" si="288"/>
        <v>400</v>
      </c>
      <c r="C398">
        <f t="shared" si="286"/>
        <v>33.25</v>
      </c>
      <c r="D398">
        <f t="shared" si="287"/>
        <v>0</v>
      </c>
      <c r="E398">
        <f t="shared" si="289"/>
        <v>89</v>
      </c>
      <c r="F398">
        <f>IF(C398&gt;=$T$2,0,VLOOKUP($E398,'Mortality Table'!$A$3:$C$128,2+AF$2,FALSE))</f>
        <v>0</v>
      </c>
      <c r="G398">
        <f>F398*Assumptions!$B$1</f>
        <v>0</v>
      </c>
      <c r="H398">
        <f t="shared" si="293"/>
        <v>0</v>
      </c>
      <c r="I398">
        <f t="shared" si="281"/>
        <v>0</v>
      </c>
      <c r="J398">
        <f>IF(B398&gt;$AJ$2,0,HLOOKUP(C398,Assumptions!$A$6:$J$7,2,TRUE))</f>
        <v>0</v>
      </c>
      <c r="K398" s="4">
        <f t="shared" si="282"/>
        <v>0</v>
      </c>
      <c r="L398" s="4">
        <f t="shared" si="294"/>
        <v>0</v>
      </c>
      <c r="M398" s="4">
        <f t="shared" si="283"/>
        <v>0</v>
      </c>
      <c r="N398">
        <f t="shared" si="295"/>
        <v>0</v>
      </c>
      <c r="O398" s="21">
        <f t="shared" si="284"/>
        <v>0</v>
      </c>
      <c r="P398">
        <f>IF(B398&gt;$AJ$2,0,HLOOKUP(C398,Assumptions!$A$12:$J$13,2,TRUE))</f>
        <v>0</v>
      </c>
      <c r="Q398">
        <f t="shared" si="285"/>
        <v>0</v>
      </c>
      <c r="R398">
        <f t="shared" si="296"/>
        <v>0</v>
      </c>
      <c r="S398">
        <f t="shared" ref="S398:S420" si="324">H398*R397*(1-M398/2)</f>
        <v>0</v>
      </c>
      <c r="T398">
        <f t="shared" ref="T398:T420" si="325">M398*R397*(1-H398/2)</f>
        <v>0</v>
      </c>
      <c r="U398">
        <f t="shared" si="297"/>
        <v>0</v>
      </c>
      <c r="V398">
        <f t="shared" si="298"/>
        <v>0</v>
      </c>
      <c r="W398">
        <f t="shared" si="299"/>
        <v>0</v>
      </c>
      <c r="X398">
        <f t="shared" si="290"/>
        <v>0</v>
      </c>
      <c r="Y398">
        <f t="shared" si="300"/>
        <v>0</v>
      </c>
      <c r="Z398">
        <f t="shared" si="301"/>
        <v>0</v>
      </c>
      <c r="AA398">
        <f t="shared" si="302"/>
        <v>0</v>
      </c>
      <c r="AB398">
        <f t="shared" si="303"/>
        <v>0</v>
      </c>
      <c r="AC398" s="23">
        <f>IF(B398&gt;$AJ$2,0,HLOOKUP(YEAR(A398),Assumptions!$A$25:$AL$29,4,TRUE)/100)</f>
        <v>0</v>
      </c>
      <c r="AD398">
        <f t="shared" si="304"/>
        <v>0</v>
      </c>
      <c r="AE398">
        <f t="shared" si="305"/>
        <v>0</v>
      </c>
      <c r="AF398">
        <f t="shared" si="306"/>
        <v>0</v>
      </c>
      <c r="AG398">
        <f t="shared" si="307"/>
        <v>0</v>
      </c>
      <c r="AH398">
        <f t="shared" si="308"/>
        <v>0</v>
      </c>
      <c r="AI398">
        <f t="shared" si="309"/>
        <v>0</v>
      </c>
      <c r="AJ398">
        <f t="shared" si="310"/>
        <v>0</v>
      </c>
      <c r="AK398">
        <f t="shared" si="311"/>
        <v>0</v>
      </c>
      <c r="AL398">
        <f t="shared" si="312"/>
        <v>0</v>
      </c>
      <c r="AM398">
        <f t="shared" si="291"/>
        <v>0</v>
      </c>
      <c r="AN398">
        <f>IF($S$2=0,0,(SUMPRODUCT($K$2:$R$2,Assumptions!$B$34:$I$34)/$U$2+$J$2/$U$2*Assumptions!$A$34*G398)*K398*O397)</f>
        <v>0</v>
      </c>
      <c r="AO398">
        <f t="shared" si="313"/>
        <v>0</v>
      </c>
      <c r="AP398">
        <f t="shared" si="314"/>
        <v>0</v>
      </c>
      <c r="AQ398">
        <f>IF(B398&gt;$AJ$2,0,AQ397*(1+Assumptions!$B$43)^(1/12))</f>
        <v>0</v>
      </c>
      <c r="AR398" s="27">
        <f>IF(B398&gt;$AJ$2,0,(O397+R397)*Assumptions!$B$39/12*AQ397+AV398*Assumptions!$B$41/12)</f>
        <v>0</v>
      </c>
      <c r="AS398">
        <f t="shared" si="315"/>
        <v>0</v>
      </c>
      <c r="AT398" s="28">
        <f t="shared" si="316"/>
        <v>0</v>
      </c>
      <c r="AU398">
        <f t="shared" si="317"/>
        <v>0</v>
      </c>
      <c r="AV398" s="28">
        <f t="shared" si="318"/>
        <v>0</v>
      </c>
      <c r="AW398" s="28">
        <f t="shared" si="319"/>
        <v>0</v>
      </c>
      <c r="AX398" s="23">
        <f>HLOOKUP(YEAR(A398),Assumptions!$A$25:$AL$29,2,TRUE)/100</f>
        <v>1.1332999999999999E-2</v>
      </c>
      <c r="AY398" s="29">
        <f>1/(1+HLOOKUP(YEAR(A398),Assumptions!$A$18:$AL$20,3,TRUE))^(1/12)</f>
        <v>0.99906100631170314</v>
      </c>
      <c r="AZ398" s="26">
        <f t="shared" si="320"/>
        <v>0</v>
      </c>
      <c r="BA398">
        <f t="shared" si="321"/>
        <v>0</v>
      </c>
      <c r="BB398">
        <f t="shared" si="322"/>
        <v>0</v>
      </c>
      <c r="BC398">
        <f t="shared" si="323"/>
        <v>0</v>
      </c>
    </row>
    <row r="399" spans="1:55" x14ac:dyDescent="0.2">
      <c r="A399" s="3">
        <f t="shared" si="292"/>
        <v>54908</v>
      </c>
      <c r="B399">
        <f t="shared" si="288"/>
        <v>401</v>
      </c>
      <c r="C399">
        <f t="shared" si="286"/>
        <v>33.333333333333336</v>
      </c>
      <c r="D399">
        <f t="shared" si="287"/>
        <v>0</v>
      </c>
      <c r="E399">
        <f t="shared" si="289"/>
        <v>89</v>
      </c>
      <c r="F399">
        <f>IF(C399&gt;=$T$2,0,VLOOKUP($E399,'Mortality Table'!$A$3:$C$128,2+AF$2,FALSE))</f>
        <v>0</v>
      </c>
      <c r="G399">
        <f>F399*Assumptions!$B$1</f>
        <v>0</v>
      </c>
      <c r="H399">
        <f t="shared" si="293"/>
        <v>0</v>
      </c>
      <c r="I399">
        <f t="shared" si="281"/>
        <v>0</v>
      </c>
      <c r="J399">
        <f>IF(B399&gt;$AJ$2,0,HLOOKUP(C399,Assumptions!$A$6:$J$7,2,TRUE))</f>
        <v>0</v>
      </c>
      <c r="K399" s="4">
        <f t="shared" si="282"/>
        <v>0</v>
      </c>
      <c r="L399" s="4">
        <f t="shared" si="294"/>
        <v>0</v>
      </c>
      <c r="M399" s="4">
        <f t="shared" si="283"/>
        <v>0</v>
      </c>
      <c r="N399">
        <f t="shared" si="295"/>
        <v>0</v>
      </c>
      <c r="O399" s="21">
        <f t="shared" si="284"/>
        <v>0</v>
      </c>
      <c r="P399">
        <f>IF(B399&gt;$AJ$2,0,HLOOKUP(C399,Assumptions!$A$12:$J$13,2,TRUE))</f>
        <v>0</v>
      </c>
      <c r="Q399">
        <f t="shared" si="285"/>
        <v>0</v>
      </c>
      <c r="R399">
        <f t="shared" si="296"/>
        <v>0</v>
      </c>
      <c r="S399">
        <f t="shared" si="324"/>
        <v>0</v>
      </c>
      <c r="T399">
        <f t="shared" si="325"/>
        <v>0</v>
      </c>
      <c r="U399">
        <f t="shared" si="297"/>
        <v>0</v>
      </c>
      <c r="V399">
        <f t="shared" si="298"/>
        <v>0</v>
      </c>
      <c r="W399">
        <f t="shared" si="299"/>
        <v>0</v>
      </c>
      <c r="X399">
        <f t="shared" si="290"/>
        <v>0</v>
      </c>
      <c r="Y399">
        <f t="shared" si="300"/>
        <v>0</v>
      </c>
      <c r="Z399">
        <f t="shared" si="301"/>
        <v>0</v>
      </c>
      <c r="AA399">
        <f t="shared" si="302"/>
        <v>0</v>
      </c>
      <c r="AB399">
        <f t="shared" si="303"/>
        <v>0</v>
      </c>
      <c r="AC399" s="23">
        <f>IF(B399&gt;$AJ$2,0,HLOOKUP(YEAR(A399),Assumptions!$A$25:$AL$29,4,TRUE)/100)</f>
        <v>0</v>
      </c>
      <c r="AD399">
        <f t="shared" si="304"/>
        <v>0</v>
      </c>
      <c r="AE399">
        <f t="shared" si="305"/>
        <v>0</v>
      </c>
      <c r="AF399">
        <f t="shared" si="306"/>
        <v>0</v>
      </c>
      <c r="AG399">
        <f t="shared" si="307"/>
        <v>0</v>
      </c>
      <c r="AH399">
        <f t="shared" si="308"/>
        <v>0</v>
      </c>
      <c r="AI399">
        <f t="shared" si="309"/>
        <v>0</v>
      </c>
      <c r="AJ399">
        <f t="shared" si="310"/>
        <v>0</v>
      </c>
      <c r="AK399">
        <f t="shared" si="311"/>
        <v>0</v>
      </c>
      <c r="AL399">
        <f t="shared" si="312"/>
        <v>0</v>
      </c>
      <c r="AM399">
        <f t="shared" si="291"/>
        <v>0</v>
      </c>
      <c r="AN399">
        <f>IF($S$2=0,0,(SUMPRODUCT($K$2:$R$2,Assumptions!$B$34:$I$34)/$U$2+$J$2/$U$2*Assumptions!$A$34*G399)*K399*O398)</f>
        <v>0</v>
      </c>
      <c r="AO399">
        <f t="shared" si="313"/>
        <v>0</v>
      </c>
      <c r="AP399">
        <f t="shared" si="314"/>
        <v>0</v>
      </c>
      <c r="AQ399">
        <f>IF(B399&gt;$AJ$2,0,AQ398*(1+Assumptions!$B$43)^(1/12))</f>
        <v>0</v>
      </c>
      <c r="AR399" s="27">
        <f>IF(B399&gt;$AJ$2,0,(O398+R398)*Assumptions!$B$39/12*AQ398+AV399*Assumptions!$B$41/12)</f>
        <v>0</v>
      </c>
      <c r="AS399">
        <f t="shared" si="315"/>
        <v>0</v>
      </c>
      <c r="AT399" s="28">
        <f t="shared" si="316"/>
        <v>0</v>
      </c>
      <c r="AU399">
        <f t="shared" si="317"/>
        <v>0</v>
      </c>
      <c r="AV399" s="28">
        <f t="shared" si="318"/>
        <v>0</v>
      </c>
      <c r="AW399" s="28">
        <f t="shared" si="319"/>
        <v>0</v>
      </c>
      <c r="AX399" s="23">
        <f>HLOOKUP(YEAR(A399),Assumptions!$A$25:$AL$29,2,TRUE)/100</f>
        <v>1.1332999999999999E-2</v>
      </c>
      <c r="AY399" s="29">
        <f>1/(1+HLOOKUP(YEAR(A399),Assumptions!$A$18:$AL$20,3,TRUE))^(1/12)</f>
        <v>0.99906100631170314</v>
      </c>
      <c r="AZ399" s="26">
        <f t="shared" si="320"/>
        <v>0</v>
      </c>
      <c r="BA399">
        <f t="shared" si="321"/>
        <v>0</v>
      </c>
      <c r="BB399">
        <f t="shared" si="322"/>
        <v>0</v>
      </c>
      <c r="BC399">
        <f t="shared" si="323"/>
        <v>0</v>
      </c>
    </row>
    <row r="400" spans="1:55" x14ac:dyDescent="0.2">
      <c r="A400" s="3">
        <f t="shared" si="292"/>
        <v>54939</v>
      </c>
      <c r="B400">
        <f t="shared" si="288"/>
        <v>402</v>
      </c>
      <c r="C400">
        <f t="shared" si="286"/>
        <v>33.416666666666664</v>
      </c>
      <c r="D400">
        <f t="shared" si="287"/>
        <v>0</v>
      </c>
      <c r="E400">
        <f t="shared" si="289"/>
        <v>89</v>
      </c>
      <c r="F400">
        <f>IF(C400&gt;=$T$2,0,VLOOKUP($E400,'Mortality Table'!$A$3:$C$128,2+AF$2,FALSE))</f>
        <v>0</v>
      </c>
      <c r="G400">
        <f>F400*Assumptions!$B$1</f>
        <v>0</v>
      </c>
      <c r="H400">
        <f t="shared" si="293"/>
        <v>0</v>
      </c>
      <c r="I400">
        <f t="shared" si="281"/>
        <v>0</v>
      </c>
      <c r="J400">
        <f>IF(B400&gt;$AJ$2,0,HLOOKUP(C400,Assumptions!$A$6:$J$7,2,TRUE))</f>
        <v>0</v>
      </c>
      <c r="K400" s="4">
        <f t="shared" si="282"/>
        <v>0</v>
      </c>
      <c r="L400" s="4">
        <f t="shared" si="294"/>
        <v>0</v>
      </c>
      <c r="M400" s="4">
        <f t="shared" si="283"/>
        <v>0</v>
      </c>
      <c r="N400">
        <f t="shared" si="295"/>
        <v>0</v>
      </c>
      <c r="O400" s="21">
        <f t="shared" si="284"/>
        <v>0</v>
      </c>
      <c r="P400">
        <f>IF(B400&gt;$AJ$2,0,HLOOKUP(C400,Assumptions!$A$12:$J$13,2,TRUE))</f>
        <v>0</v>
      </c>
      <c r="Q400">
        <f t="shared" si="285"/>
        <v>0</v>
      </c>
      <c r="R400">
        <f t="shared" si="296"/>
        <v>0</v>
      </c>
      <c r="S400">
        <f t="shared" si="324"/>
        <v>0</v>
      </c>
      <c r="T400">
        <f t="shared" si="325"/>
        <v>0</v>
      </c>
      <c r="U400">
        <f t="shared" si="297"/>
        <v>0</v>
      </c>
      <c r="V400">
        <f t="shared" si="298"/>
        <v>0</v>
      </c>
      <c r="W400">
        <f t="shared" si="299"/>
        <v>0</v>
      </c>
      <c r="X400">
        <f t="shared" si="290"/>
        <v>0</v>
      </c>
      <c r="Y400">
        <f t="shared" si="300"/>
        <v>0</v>
      </c>
      <c r="Z400">
        <f t="shared" si="301"/>
        <v>0</v>
      </c>
      <c r="AA400">
        <f t="shared" si="302"/>
        <v>0</v>
      </c>
      <c r="AB400">
        <f t="shared" si="303"/>
        <v>0</v>
      </c>
      <c r="AC400" s="23">
        <f>IF(B400&gt;$AJ$2,0,HLOOKUP(YEAR(A400),Assumptions!$A$25:$AL$29,4,TRUE)/100)</f>
        <v>0</v>
      </c>
      <c r="AD400">
        <f t="shared" si="304"/>
        <v>0</v>
      </c>
      <c r="AE400">
        <f t="shared" si="305"/>
        <v>0</v>
      </c>
      <c r="AF400">
        <f t="shared" si="306"/>
        <v>0</v>
      </c>
      <c r="AG400">
        <f t="shared" si="307"/>
        <v>0</v>
      </c>
      <c r="AH400">
        <f t="shared" si="308"/>
        <v>0</v>
      </c>
      <c r="AI400">
        <f t="shared" si="309"/>
        <v>0</v>
      </c>
      <c r="AJ400">
        <f t="shared" si="310"/>
        <v>0</v>
      </c>
      <c r="AK400">
        <f t="shared" si="311"/>
        <v>0</v>
      </c>
      <c r="AL400">
        <f t="shared" si="312"/>
        <v>0</v>
      </c>
      <c r="AM400">
        <f t="shared" si="291"/>
        <v>0</v>
      </c>
      <c r="AN400">
        <f>IF($S$2=0,0,(SUMPRODUCT($K$2:$R$2,Assumptions!$B$34:$I$34)/$U$2+$J$2/$U$2*Assumptions!$A$34*G400)*K400*O399)</f>
        <v>0</v>
      </c>
      <c r="AO400">
        <f t="shared" si="313"/>
        <v>0</v>
      </c>
      <c r="AP400">
        <f t="shared" si="314"/>
        <v>0</v>
      </c>
      <c r="AQ400">
        <f>IF(B400&gt;$AJ$2,0,AQ399*(1+Assumptions!$B$43)^(1/12))</f>
        <v>0</v>
      </c>
      <c r="AR400" s="27">
        <f>IF(B400&gt;$AJ$2,0,(O399+R399)*Assumptions!$B$39/12*AQ399+AV400*Assumptions!$B$41/12)</f>
        <v>0</v>
      </c>
      <c r="AS400">
        <f t="shared" si="315"/>
        <v>0</v>
      </c>
      <c r="AT400" s="28">
        <f t="shared" si="316"/>
        <v>0</v>
      </c>
      <c r="AU400">
        <f t="shared" si="317"/>
        <v>0</v>
      </c>
      <c r="AV400" s="28">
        <f t="shared" si="318"/>
        <v>0</v>
      </c>
      <c r="AW400" s="28">
        <f t="shared" si="319"/>
        <v>0</v>
      </c>
      <c r="AX400" s="23">
        <f>HLOOKUP(YEAR(A400),Assumptions!$A$25:$AL$29,2,TRUE)/100</f>
        <v>1.1332999999999999E-2</v>
      </c>
      <c r="AY400" s="29">
        <f>1/(1+HLOOKUP(YEAR(A400),Assumptions!$A$18:$AL$20,3,TRUE))^(1/12)</f>
        <v>0.99906100631170314</v>
      </c>
      <c r="AZ400" s="26">
        <f t="shared" si="320"/>
        <v>0</v>
      </c>
      <c r="BA400">
        <f t="shared" si="321"/>
        <v>0</v>
      </c>
      <c r="BB400">
        <f t="shared" si="322"/>
        <v>0</v>
      </c>
      <c r="BC400">
        <f t="shared" si="323"/>
        <v>0</v>
      </c>
    </row>
    <row r="401" spans="1:55" x14ac:dyDescent="0.2">
      <c r="A401" s="3">
        <f t="shared" si="292"/>
        <v>54969</v>
      </c>
      <c r="B401">
        <f t="shared" si="288"/>
        <v>403</v>
      </c>
      <c r="C401">
        <f t="shared" si="286"/>
        <v>33.5</v>
      </c>
      <c r="D401">
        <f t="shared" si="287"/>
        <v>0</v>
      </c>
      <c r="E401">
        <f t="shared" si="289"/>
        <v>89</v>
      </c>
      <c r="F401">
        <f>IF(C401&gt;=$T$2,0,VLOOKUP($E401,'Mortality Table'!$A$3:$C$128,2+AF$2,FALSE))</f>
        <v>0</v>
      </c>
      <c r="G401">
        <f>F401*Assumptions!$B$1</f>
        <v>0</v>
      </c>
      <c r="H401">
        <f t="shared" si="293"/>
        <v>0</v>
      </c>
      <c r="I401">
        <f t="shared" si="281"/>
        <v>0</v>
      </c>
      <c r="J401">
        <f>IF(B401&gt;$AJ$2,0,HLOOKUP(C401,Assumptions!$A$6:$J$7,2,TRUE))</f>
        <v>0</v>
      </c>
      <c r="K401" s="4">
        <f t="shared" si="282"/>
        <v>0</v>
      </c>
      <c r="L401" s="4">
        <f t="shared" si="294"/>
        <v>0</v>
      </c>
      <c r="M401" s="4">
        <f t="shared" si="283"/>
        <v>0</v>
      </c>
      <c r="N401">
        <f t="shared" si="295"/>
        <v>0</v>
      </c>
      <c r="O401" s="21">
        <f t="shared" si="284"/>
        <v>0</v>
      </c>
      <c r="P401">
        <f>IF(B401&gt;$AJ$2,0,HLOOKUP(C401,Assumptions!$A$12:$J$13,2,TRUE))</f>
        <v>0</v>
      </c>
      <c r="Q401">
        <f t="shared" si="285"/>
        <v>0</v>
      </c>
      <c r="R401">
        <f t="shared" si="296"/>
        <v>0</v>
      </c>
      <c r="S401">
        <f t="shared" si="324"/>
        <v>0</v>
      </c>
      <c r="T401">
        <f t="shared" si="325"/>
        <v>0</v>
      </c>
      <c r="U401">
        <f t="shared" si="297"/>
        <v>0</v>
      </c>
      <c r="V401">
        <f t="shared" si="298"/>
        <v>0</v>
      </c>
      <c r="W401">
        <f t="shared" si="299"/>
        <v>0</v>
      </c>
      <c r="X401">
        <f t="shared" si="290"/>
        <v>0</v>
      </c>
      <c r="Y401">
        <f t="shared" si="300"/>
        <v>0</v>
      </c>
      <c r="Z401">
        <f t="shared" si="301"/>
        <v>0</v>
      </c>
      <c r="AA401">
        <f t="shared" si="302"/>
        <v>0</v>
      </c>
      <c r="AB401">
        <f t="shared" si="303"/>
        <v>0</v>
      </c>
      <c r="AC401" s="23">
        <f>IF(B401&gt;$AJ$2,0,HLOOKUP(YEAR(A401),Assumptions!$A$25:$AL$29,4,TRUE)/100)</f>
        <v>0</v>
      </c>
      <c r="AD401">
        <f t="shared" si="304"/>
        <v>0</v>
      </c>
      <c r="AE401">
        <f t="shared" si="305"/>
        <v>0</v>
      </c>
      <c r="AF401">
        <f t="shared" si="306"/>
        <v>0</v>
      </c>
      <c r="AG401">
        <f t="shared" si="307"/>
        <v>0</v>
      </c>
      <c r="AH401">
        <f t="shared" si="308"/>
        <v>0</v>
      </c>
      <c r="AI401">
        <f t="shared" si="309"/>
        <v>0</v>
      </c>
      <c r="AJ401">
        <f t="shared" si="310"/>
        <v>0</v>
      </c>
      <c r="AK401">
        <f t="shared" si="311"/>
        <v>0</v>
      </c>
      <c r="AL401">
        <f t="shared" si="312"/>
        <v>0</v>
      </c>
      <c r="AM401">
        <f t="shared" si="291"/>
        <v>0</v>
      </c>
      <c r="AN401">
        <f>IF($S$2=0,0,(SUMPRODUCT($K$2:$R$2,Assumptions!$B$34:$I$34)/$U$2+$J$2/$U$2*Assumptions!$A$34*G401)*K401*O400)</f>
        <v>0</v>
      </c>
      <c r="AO401">
        <f t="shared" si="313"/>
        <v>0</v>
      </c>
      <c r="AP401">
        <f t="shared" si="314"/>
        <v>0</v>
      </c>
      <c r="AQ401">
        <f>IF(B401&gt;$AJ$2,0,AQ400*(1+Assumptions!$B$43)^(1/12))</f>
        <v>0</v>
      </c>
      <c r="AR401" s="27">
        <f>IF(B401&gt;$AJ$2,0,(O400+R400)*Assumptions!$B$39/12*AQ400+AV401*Assumptions!$B$41/12)</f>
        <v>0</v>
      </c>
      <c r="AS401">
        <f t="shared" si="315"/>
        <v>0</v>
      </c>
      <c r="AT401" s="28">
        <f t="shared" si="316"/>
        <v>0</v>
      </c>
      <c r="AU401">
        <f t="shared" si="317"/>
        <v>0</v>
      </c>
      <c r="AV401" s="28">
        <f t="shared" si="318"/>
        <v>0</v>
      </c>
      <c r="AW401" s="28">
        <f t="shared" si="319"/>
        <v>0</v>
      </c>
      <c r="AX401" s="23">
        <f>HLOOKUP(YEAR(A401),Assumptions!$A$25:$AL$29,2,TRUE)/100</f>
        <v>1.1332999999999999E-2</v>
      </c>
      <c r="AY401" s="29">
        <f>1/(1+HLOOKUP(YEAR(A401),Assumptions!$A$18:$AL$20,3,TRUE))^(1/12)</f>
        <v>0.99906100631170314</v>
      </c>
      <c r="AZ401" s="26">
        <f t="shared" si="320"/>
        <v>0</v>
      </c>
      <c r="BA401">
        <f t="shared" si="321"/>
        <v>0</v>
      </c>
      <c r="BB401">
        <f t="shared" si="322"/>
        <v>0</v>
      </c>
      <c r="BC401">
        <f t="shared" si="323"/>
        <v>0</v>
      </c>
    </row>
    <row r="402" spans="1:55" x14ac:dyDescent="0.2">
      <c r="A402" s="3">
        <f t="shared" si="292"/>
        <v>55000</v>
      </c>
      <c r="B402">
        <f t="shared" si="288"/>
        <v>404</v>
      </c>
      <c r="C402">
        <f t="shared" si="286"/>
        <v>33.583333333333336</v>
      </c>
      <c r="D402">
        <f t="shared" si="287"/>
        <v>0</v>
      </c>
      <c r="E402">
        <f t="shared" si="289"/>
        <v>89</v>
      </c>
      <c r="F402">
        <f>IF(C402&gt;=$T$2,0,VLOOKUP($E402,'Mortality Table'!$A$3:$C$128,2+AF$2,FALSE))</f>
        <v>0</v>
      </c>
      <c r="G402">
        <f>F402*Assumptions!$B$1</f>
        <v>0</v>
      </c>
      <c r="H402">
        <f t="shared" si="293"/>
        <v>0</v>
      </c>
      <c r="I402">
        <f t="shared" si="281"/>
        <v>0</v>
      </c>
      <c r="J402">
        <f>IF(B402&gt;$AJ$2,0,HLOOKUP(C402,Assumptions!$A$6:$J$7,2,TRUE))</f>
        <v>0</v>
      </c>
      <c r="K402" s="4">
        <f t="shared" si="282"/>
        <v>0</v>
      </c>
      <c r="L402" s="4">
        <f t="shared" si="294"/>
        <v>0</v>
      </c>
      <c r="M402" s="4">
        <f t="shared" si="283"/>
        <v>0</v>
      </c>
      <c r="N402">
        <f t="shared" si="295"/>
        <v>0</v>
      </c>
      <c r="O402" s="21">
        <f t="shared" si="284"/>
        <v>0</v>
      </c>
      <c r="P402">
        <f>IF(B402&gt;$AJ$2,0,HLOOKUP(C402,Assumptions!$A$12:$J$13,2,TRUE))</f>
        <v>0</v>
      </c>
      <c r="Q402">
        <f t="shared" si="285"/>
        <v>0</v>
      </c>
      <c r="R402">
        <f t="shared" si="296"/>
        <v>0</v>
      </c>
      <c r="S402">
        <f t="shared" si="324"/>
        <v>0</v>
      </c>
      <c r="T402">
        <f t="shared" si="325"/>
        <v>0</v>
      </c>
      <c r="U402">
        <f t="shared" si="297"/>
        <v>0</v>
      </c>
      <c r="V402">
        <f t="shared" si="298"/>
        <v>0</v>
      </c>
      <c r="W402">
        <f t="shared" si="299"/>
        <v>0</v>
      </c>
      <c r="X402">
        <f t="shared" si="290"/>
        <v>0</v>
      </c>
      <c r="Y402">
        <f t="shared" si="300"/>
        <v>0</v>
      </c>
      <c r="Z402">
        <f t="shared" si="301"/>
        <v>0</v>
      </c>
      <c r="AA402">
        <f t="shared" si="302"/>
        <v>0</v>
      </c>
      <c r="AB402">
        <f t="shared" si="303"/>
        <v>0</v>
      </c>
      <c r="AC402" s="23">
        <f>IF(B402&gt;$AJ$2,0,HLOOKUP(YEAR(A402),Assumptions!$A$25:$AL$29,4,TRUE)/100)</f>
        <v>0</v>
      </c>
      <c r="AD402">
        <f t="shared" si="304"/>
        <v>0</v>
      </c>
      <c r="AE402">
        <f t="shared" si="305"/>
        <v>0</v>
      </c>
      <c r="AF402">
        <f t="shared" si="306"/>
        <v>0</v>
      </c>
      <c r="AG402">
        <f t="shared" si="307"/>
        <v>0</v>
      </c>
      <c r="AH402">
        <f t="shared" si="308"/>
        <v>0</v>
      </c>
      <c r="AI402">
        <f t="shared" si="309"/>
        <v>0</v>
      </c>
      <c r="AJ402">
        <f t="shared" si="310"/>
        <v>0</v>
      </c>
      <c r="AK402">
        <f t="shared" si="311"/>
        <v>0</v>
      </c>
      <c r="AL402">
        <f t="shared" si="312"/>
        <v>0</v>
      </c>
      <c r="AM402">
        <f t="shared" si="291"/>
        <v>0</v>
      </c>
      <c r="AN402">
        <f>IF($S$2=0,0,(SUMPRODUCT($K$2:$R$2,Assumptions!$B$34:$I$34)/$U$2+$J$2/$U$2*Assumptions!$A$34*G402)*K402*O401)</f>
        <v>0</v>
      </c>
      <c r="AO402">
        <f t="shared" si="313"/>
        <v>0</v>
      </c>
      <c r="AP402">
        <f t="shared" si="314"/>
        <v>0</v>
      </c>
      <c r="AQ402">
        <f>IF(B402&gt;$AJ$2,0,AQ401*(1+Assumptions!$B$43)^(1/12))</f>
        <v>0</v>
      </c>
      <c r="AR402" s="27">
        <f>IF(B402&gt;$AJ$2,0,(O401+R401)*Assumptions!$B$39/12*AQ401+AV402*Assumptions!$B$41/12)</f>
        <v>0</v>
      </c>
      <c r="AS402">
        <f t="shared" si="315"/>
        <v>0</v>
      </c>
      <c r="AT402" s="28">
        <f t="shared" si="316"/>
        <v>0</v>
      </c>
      <c r="AU402">
        <f t="shared" si="317"/>
        <v>0</v>
      </c>
      <c r="AV402" s="28">
        <f t="shared" si="318"/>
        <v>0</v>
      </c>
      <c r="AW402" s="28">
        <f t="shared" si="319"/>
        <v>0</v>
      </c>
      <c r="AX402" s="23">
        <f>HLOOKUP(YEAR(A402),Assumptions!$A$25:$AL$29,2,TRUE)/100</f>
        <v>1.1332999999999999E-2</v>
      </c>
      <c r="AY402" s="29">
        <f>1/(1+HLOOKUP(YEAR(A402),Assumptions!$A$18:$AL$20,3,TRUE))^(1/12)</f>
        <v>0.99906100631170314</v>
      </c>
      <c r="AZ402" s="26">
        <f t="shared" si="320"/>
        <v>0</v>
      </c>
      <c r="BA402">
        <f t="shared" si="321"/>
        <v>0</v>
      </c>
      <c r="BB402">
        <f t="shared" si="322"/>
        <v>0</v>
      </c>
      <c r="BC402">
        <f t="shared" si="323"/>
        <v>0</v>
      </c>
    </row>
    <row r="403" spans="1:55" x14ac:dyDescent="0.2">
      <c r="A403" s="3">
        <f t="shared" si="292"/>
        <v>55031</v>
      </c>
      <c r="B403">
        <f t="shared" si="288"/>
        <v>405</v>
      </c>
      <c r="C403">
        <f t="shared" si="286"/>
        <v>33.666666666666664</v>
      </c>
      <c r="D403">
        <f t="shared" si="287"/>
        <v>0</v>
      </c>
      <c r="E403">
        <f t="shared" si="289"/>
        <v>89</v>
      </c>
      <c r="F403">
        <f>IF(C403&gt;=$T$2,0,VLOOKUP($E403,'Mortality Table'!$A$3:$C$128,2+AF$2,FALSE))</f>
        <v>0</v>
      </c>
      <c r="G403">
        <f>F403*Assumptions!$B$1</f>
        <v>0</v>
      </c>
      <c r="H403">
        <f t="shared" si="293"/>
        <v>0</v>
      </c>
      <c r="I403">
        <f t="shared" si="281"/>
        <v>0</v>
      </c>
      <c r="J403">
        <f>IF(B403&gt;$AJ$2,0,HLOOKUP(C403,Assumptions!$A$6:$J$7,2,TRUE))</f>
        <v>0</v>
      </c>
      <c r="K403" s="4">
        <f t="shared" si="282"/>
        <v>0</v>
      </c>
      <c r="L403" s="4">
        <f t="shared" si="294"/>
        <v>0</v>
      </c>
      <c r="M403" s="4">
        <f t="shared" si="283"/>
        <v>0</v>
      </c>
      <c r="N403">
        <f t="shared" si="295"/>
        <v>0</v>
      </c>
      <c r="O403" s="21">
        <f t="shared" si="284"/>
        <v>0</v>
      </c>
      <c r="P403">
        <f>IF(B403&gt;$AJ$2,0,HLOOKUP(C403,Assumptions!$A$12:$J$13,2,TRUE))</f>
        <v>0</v>
      </c>
      <c r="Q403">
        <f t="shared" si="285"/>
        <v>0</v>
      </c>
      <c r="R403">
        <f t="shared" si="296"/>
        <v>0</v>
      </c>
      <c r="S403">
        <f t="shared" si="324"/>
        <v>0</v>
      </c>
      <c r="T403">
        <f t="shared" si="325"/>
        <v>0</v>
      </c>
      <c r="U403">
        <f t="shared" si="297"/>
        <v>0</v>
      </c>
      <c r="V403">
        <f t="shared" si="298"/>
        <v>0</v>
      </c>
      <c r="W403">
        <f t="shared" si="299"/>
        <v>0</v>
      </c>
      <c r="X403">
        <f t="shared" si="290"/>
        <v>0</v>
      </c>
      <c r="Y403">
        <f t="shared" si="300"/>
        <v>0</v>
      </c>
      <c r="Z403">
        <f t="shared" si="301"/>
        <v>0</v>
      </c>
      <c r="AA403">
        <f t="shared" si="302"/>
        <v>0</v>
      </c>
      <c r="AB403">
        <f t="shared" si="303"/>
        <v>0</v>
      </c>
      <c r="AC403" s="23">
        <f>IF(B403&gt;$AJ$2,0,HLOOKUP(YEAR(A403),Assumptions!$A$25:$AL$29,4,TRUE)/100)</f>
        <v>0</v>
      </c>
      <c r="AD403">
        <f t="shared" si="304"/>
        <v>0</v>
      </c>
      <c r="AE403">
        <f t="shared" si="305"/>
        <v>0</v>
      </c>
      <c r="AF403">
        <f t="shared" si="306"/>
        <v>0</v>
      </c>
      <c r="AG403">
        <f t="shared" si="307"/>
        <v>0</v>
      </c>
      <c r="AH403">
        <f t="shared" si="308"/>
        <v>0</v>
      </c>
      <c r="AI403">
        <f t="shared" si="309"/>
        <v>0</v>
      </c>
      <c r="AJ403">
        <f t="shared" si="310"/>
        <v>0</v>
      </c>
      <c r="AK403">
        <f t="shared" si="311"/>
        <v>0</v>
      </c>
      <c r="AL403">
        <f t="shared" si="312"/>
        <v>0</v>
      </c>
      <c r="AM403">
        <f t="shared" si="291"/>
        <v>0</v>
      </c>
      <c r="AN403">
        <f>IF($S$2=0,0,(SUMPRODUCT($K$2:$R$2,Assumptions!$B$34:$I$34)/$U$2+$J$2/$U$2*Assumptions!$A$34*G403)*K403*O402)</f>
        <v>0</v>
      </c>
      <c r="AO403">
        <f t="shared" si="313"/>
        <v>0</v>
      </c>
      <c r="AP403">
        <f t="shared" si="314"/>
        <v>0</v>
      </c>
      <c r="AQ403">
        <f>IF(B403&gt;$AJ$2,0,AQ402*(1+Assumptions!$B$43)^(1/12))</f>
        <v>0</v>
      </c>
      <c r="AR403" s="27">
        <f>IF(B403&gt;$AJ$2,0,(O402+R402)*Assumptions!$B$39/12*AQ402+AV403*Assumptions!$B$41/12)</f>
        <v>0</v>
      </c>
      <c r="AS403">
        <f t="shared" si="315"/>
        <v>0</v>
      </c>
      <c r="AT403" s="28">
        <f t="shared" si="316"/>
        <v>0</v>
      </c>
      <c r="AU403">
        <f t="shared" si="317"/>
        <v>0</v>
      </c>
      <c r="AV403" s="28">
        <f t="shared" si="318"/>
        <v>0</v>
      </c>
      <c r="AW403" s="28">
        <f t="shared" si="319"/>
        <v>0</v>
      </c>
      <c r="AX403" s="23">
        <f>HLOOKUP(YEAR(A403),Assumptions!$A$25:$AL$29,2,TRUE)/100</f>
        <v>1.1332999999999999E-2</v>
      </c>
      <c r="AY403" s="29">
        <f>1/(1+HLOOKUP(YEAR(A403),Assumptions!$A$18:$AL$20,3,TRUE))^(1/12)</f>
        <v>0.99906100631170314</v>
      </c>
      <c r="AZ403" s="26">
        <f t="shared" si="320"/>
        <v>0</v>
      </c>
      <c r="BA403">
        <f t="shared" si="321"/>
        <v>0</v>
      </c>
      <c r="BB403">
        <f t="shared" si="322"/>
        <v>0</v>
      </c>
      <c r="BC403">
        <f t="shared" si="323"/>
        <v>0</v>
      </c>
    </row>
    <row r="404" spans="1:55" x14ac:dyDescent="0.2">
      <c r="A404" s="3">
        <f t="shared" si="292"/>
        <v>55061</v>
      </c>
      <c r="B404">
        <f t="shared" si="288"/>
        <v>406</v>
      </c>
      <c r="C404">
        <f t="shared" si="286"/>
        <v>33.75</v>
      </c>
      <c r="D404">
        <f t="shared" si="287"/>
        <v>0</v>
      </c>
      <c r="E404">
        <f t="shared" si="289"/>
        <v>89</v>
      </c>
      <c r="F404">
        <f>IF(C404&gt;=$T$2,0,VLOOKUP($E404,'Mortality Table'!$A$3:$C$128,2+AF$2,FALSE))</f>
        <v>0</v>
      </c>
      <c r="G404">
        <f>F404*Assumptions!$B$1</f>
        <v>0</v>
      </c>
      <c r="H404">
        <f t="shared" si="293"/>
        <v>0</v>
      </c>
      <c r="I404">
        <f t="shared" si="281"/>
        <v>0</v>
      </c>
      <c r="J404">
        <f>IF(B404&gt;$AJ$2,0,HLOOKUP(C404,Assumptions!$A$6:$J$7,2,TRUE))</f>
        <v>0</v>
      </c>
      <c r="K404" s="4">
        <f t="shared" si="282"/>
        <v>0</v>
      </c>
      <c r="L404" s="4">
        <f t="shared" si="294"/>
        <v>0</v>
      </c>
      <c r="M404" s="4">
        <f t="shared" si="283"/>
        <v>0</v>
      </c>
      <c r="N404">
        <f t="shared" si="295"/>
        <v>0</v>
      </c>
      <c r="O404" s="21">
        <f t="shared" si="284"/>
        <v>0</v>
      </c>
      <c r="P404">
        <f>IF(B404&gt;$AJ$2,0,HLOOKUP(C404,Assumptions!$A$12:$J$13,2,TRUE))</f>
        <v>0</v>
      </c>
      <c r="Q404">
        <f t="shared" si="285"/>
        <v>0</v>
      </c>
      <c r="R404">
        <f t="shared" si="296"/>
        <v>0</v>
      </c>
      <c r="S404">
        <f t="shared" si="324"/>
        <v>0</v>
      </c>
      <c r="T404">
        <f t="shared" si="325"/>
        <v>0</v>
      </c>
      <c r="U404">
        <f t="shared" si="297"/>
        <v>0</v>
      </c>
      <c r="V404">
        <f t="shared" si="298"/>
        <v>0</v>
      </c>
      <c r="W404">
        <f t="shared" si="299"/>
        <v>0</v>
      </c>
      <c r="X404">
        <f t="shared" si="290"/>
        <v>0</v>
      </c>
      <c r="Y404">
        <f t="shared" si="300"/>
        <v>0</v>
      </c>
      <c r="Z404">
        <f t="shared" si="301"/>
        <v>0</v>
      </c>
      <c r="AA404">
        <f t="shared" si="302"/>
        <v>0</v>
      </c>
      <c r="AB404">
        <f t="shared" si="303"/>
        <v>0</v>
      </c>
      <c r="AC404" s="23">
        <f>IF(B404&gt;$AJ$2,0,HLOOKUP(YEAR(A404),Assumptions!$A$25:$AL$29,4,TRUE)/100)</f>
        <v>0</v>
      </c>
      <c r="AD404">
        <f t="shared" si="304"/>
        <v>0</v>
      </c>
      <c r="AE404">
        <f t="shared" si="305"/>
        <v>0</v>
      </c>
      <c r="AF404">
        <f t="shared" si="306"/>
        <v>0</v>
      </c>
      <c r="AG404">
        <f t="shared" si="307"/>
        <v>0</v>
      </c>
      <c r="AH404">
        <f t="shared" si="308"/>
        <v>0</v>
      </c>
      <c r="AI404">
        <f t="shared" si="309"/>
        <v>0</v>
      </c>
      <c r="AJ404">
        <f t="shared" si="310"/>
        <v>0</v>
      </c>
      <c r="AK404">
        <f t="shared" si="311"/>
        <v>0</v>
      </c>
      <c r="AL404">
        <f t="shared" si="312"/>
        <v>0</v>
      </c>
      <c r="AM404">
        <f t="shared" si="291"/>
        <v>0</v>
      </c>
      <c r="AN404">
        <f>IF($S$2=0,0,(SUMPRODUCT($K$2:$R$2,Assumptions!$B$34:$I$34)/$U$2+$J$2/$U$2*Assumptions!$A$34*G404)*K404*O403)</f>
        <v>0</v>
      </c>
      <c r="AO404">
        <f t="shared" si="313"/>
        <v>0</v>
      </c>
      <c r="AP404">
        <f t="shared" si="314"/>
        <v>0</v>
      </c>
      <c r="AQ404">
        <f>IF(B404&gt;$AJ$2,0,AQ403*(1+Assumptions!$B$43)^(1/12))</f>
        <v>0</v>
      </c>
      <c r="AR404" s="27">
        <f>IF(B404&gt;$AJ$2,0,(O403+R403)*Assumptions!$B$39/12*AQ403+AV404*Assumptions!$B$41/12)</f>
        <v>0</v>
      </c>
      <c r="AS404">
        <f t="shared" si="315"/>
        <v>0</v>
      </c>
      <c r="AT404" s="28">
        <f t="shared" si="316"/>
        <v>0</v>
      </c>
      <c r="AU404">
        <f t="shared" si="317"/>
        <v>0</v>
      </c>
      <c r="AV404" s="28">
        <f t="shared" si="318"/>
        <v>0</v>
      </c>
      <c r="AW404" s="28">
        <f t="shared" si="319"/>
        <v>0</v>
      </c>
      <c r="AX404" s="23">
        <f>HLOOKUP(YEAR(A404),Assumptions!$A$25:$AL$29,2,TRUE)/100</f>
        <v>1.1332999999999999E-2</v>
      </c>
      <c r="AY404" s="29">
        <f>1/(1+HLOOKUP(YEAR(A404),Assumptions!$A$18:$AL$20,3,TRUE))^(1/12)</f>
        <v>0.99906100631170314</v>
      </c>
      <c r="AZ404" s="26">
        <f t="shared" si="320"/>
        <v>0</v>
      </c>
      <c r="BA404">
        <f t="shared" si="321"/>
        <v>0</v>
      </c>
      <c r="BB404">
        <f t="shared" si="322"/>
        <v>0</v>
      </c>
      <c r="BC404">
        <f t="shared" si="323"/>
        <v>0</v>
      </c>
    </row>
    <row r="405" spans="1:55" x14ac:dyDescent="0.2">
      <c r="A405" s="3">
        <f t="shared" si="292"/>
        <v>55092</v>
      </c>
      <c r="B405">
        <f t="shared" si="288"/>
        <v>407</v>
      </c>
      <c r="C405">
        <f t="shared" si="286"/>
        <v>33.833333333333336</v>
      </c>
      <c r="D405">
        <f t="shared" si="287"/>
        <v>0</v>
      </c>
      <c r="E405">
        <f t="shared" si="289"/>
        <v>89</v>
      </c>
      <c r="F405">
        <f>IF(C405&gt;=$T$2,0,VLOOKUP($E405,'Mortality Table'!$A$3:$C$128,2+AF$2,FALSE))</f>
        <v>0</v>
      </c>
      <c r="G405">
        <f>F405*Assumptions!$B$1</f>
        <v>0</v>
      </c>
      <c r="H405">
        <f t="shared" si="293"/>
        <v>0</v>
      </c>
      <c r="I405">
        <f t="shared" si="281"/>
        <v>0</v>
      </c>
      <c r="J405">
        <f>IF(B405&gt;$AJ$2,0,HLOOKUP(C405,Assumptions!$A$6:$J$7,2,TRUE))</f>
        <v>0</v>
      </c>
      <c r="K405" s="4">
        <f t="shared" si="282"/>
        <v>0</v>
      </c>
      <c r="L405" s="4">
        <f t="shared" si="294"/>
        <v>0</v>
      </c>
      <c r="M405" s="4">
        <f t="shared" si="283"/>
        <v>0</v>
      </c>
      <c r="N405">
        <f t="shared" si="295"/>
        <v>0</v>
      </c>
      <c r="O405" s="21">
        <f t="shared" si="284"/>
        <v>0</v>
      </c>
      <c r="P405">
        <f>IF(B405&gt;$AJ$2,0,HLOOKUP(C405,Assumptions!$A$12:$J$13,2,TRUE))</f>
        <v>0</v>
      </c>
      <c r="Q405">
        <f t="shared" si="285"/>
        <v>0</v>
      </c>
      <c r="R405">
        <f t="shared" si="296"/>
        <v>0</v>
      </c>
      <c r="S405">
        <f t="shared" si="324"/>
        <v>0</v>
      </c>
      <c r="T405">
        <f t="shared" si="325"/>
        <v>0</v>
      </c>
      <c r="U405">
        <f t="shared" si="297"/>
        <v>0</v>
      </c>
      <c r="V405">
        <f t="shared" si="298"/>
        <v>0</v>
      </c>
      <c r="W405">
        <f t="shared" si="299"/>
        <v>0</v>
      </c>
      <c r="X405">
        <f t="shared" si="290"/>
        <v>0</v>
      </c>
      <c r="Y405">
        <f t="shared" si="300"/>
        <v>0</v>
      </c>
      <c r="Z405">
        <f t="shared" si="301"/>
        <v>0</v>
      </c>
      <c r="AA405">
        <f t="shared" si="302"/>
        <v>0</v>
      </c>
      <c r="AB405">
        <f t="shared" si="303"/>
        <v>0</v>
      </c>
      <c r="AC405" s="23">
        <f>IF(B405&gt;$AJ$2,0,HLOOKUP(YEAR(A405),Assumptions!$A$25:$AL$29,4,TRUE)/100)</f>
        <v>0</v>
      </c>
      <c r="AD405">
        <f t="shared" si="304"/>
        <v>0</v>
      </c>
      <c r="AE405">
        <f t="shared" si="305"/>
        <v>0</v>
      </c>
      <c r="AF405">
        <f t="shared" si="306"/>
        <v>0</v>
      </c>
      <c r="AG405">
        <f t="shared" si="307"/>
        <v>0</v>
      </c>
      <c r="AH405">
        <f t="shared" si="308"/>
        <v>0</v>
      </c>
      <c r="AI405">
        <f t="shared" si="309"/>
        <v>0</v>
      </c>
      <c r="AJ405">
        <f t="shared" si="310"/>
        <v>0</v>
      </c>
      <c r="AK405">
        <f t="shared" si="311"/>
        <v>0</v>
      </c>
      <c r="AL405">
        <f t="shared" si="312"/>
        <v>0</v>
      </c>
      <c r="AM405">
        <f t="shared" si="291"/>
        <v>0</v>
      </c>
      <c r="AN405">
        <f>IF($S$2=0,0,(SUMPRODUCT($K$2:$R$2,Assumptions!$B$34:$I$34)/$U$2+$J$2/$U$2*Assumptions!$A$34*G405)*K405*O404)</f>
        <v>0</v>
      </c>
      <c r="AO405">
        <f t="shared" si="313"/>
        <v>0</v>
      </c>
      <c r="AP405">
        <f t="shared" si="314"/>
        <v>0</v>
      </c>
      <c r="AQ405">
        <f>IF(B405&gt;$AJ$2,0,AQ404*(1+Assumptions!$B$43)^(1/12))</f>
        <v>0</v>
      </c>
      <c r="AR405" s="27">
        <f>IF(B405&gt;$AJ$2,0,(O404+R404)*Assumptions!$B$39/12*AQ404+AV405*Assumptions!$B$41/12)</f>
        <v>0</v>
      </c>
      <c r="AS405">
        <f t="shared" si="315"/>
        <v>0</v>
      </c>
      <c r="AT405" s="28">
        <f t="shared" si="316"/>
        <v>0</v>
      </c>
      <c r="AU405">
        <f t="shared" si="317"/>
        <v>0</v>
      </c>
      <c r="AV405" s="28">
        <f t="shared" si="318"/>
        <v>0</v>
      </c>
      <c r="AW405" s="28">
        <f t="shared" si="319"/>
        <v>0</v>
      </c>
      <c r="AX405" s="23">
        <f>HLOOKUP(YEAR(A405),Assumptions!$A$25:$AL$29,2,TRUE)/100</f>
        <v>1.1332999999999999E-2</v>
      </c>
      <c r="AY405" s="29">
        <f>1/(1+HLOOKUP(YEAR(A405),Assumptions!$A$18:$AL$20,3,TRUE))^(1/12)</f>
        <v>0.99906100631170314</v>
      </c>
      <c r="AZ405" s="26">
        <f t="shared" si="320"/>
        <v>0</v>
      </c>
      <c r="BA405">
        <f t="shared" si="321"/>
        <v>0</v>
      </c>
      <c r="BB405">
        <f t="shared" si="322"/>
        <v>0</v>
      </c>
      <c r="BC405">
        <f t="shared" si="323"/>
        <v>0</v>
      </c>
    </row>
    <row r="406" spans="1:55" x14ac:dyDescent="0.2">
      <c r="A406" s="3">
        <f t="shared" si="292"/>
        <v>55122</v>
      </c>
      <c r="B406">
        <f t="shared" si="288"/>
        <v>408</v>
      </c>
      <c r="C406">
        <f t="shared" si="286"/>
        <v>33.916666666666664</v>
      </c>
      <c r="D406">
        <f t="shared" si="287"/>
        <v>0</v>
      </c>
      <c r="E406">
        <f t="shared" si="289"/>
        <v>89</v>
      </c>
      <c r="F406">
        <f>IF(C406&gt;=$T$2,0,VLOOKUP($E406,'Mortality Table'!$A$3:$C$128,2+AF$2,FALSE))</f>
        <v>0</v>
      </c>
      <c r="G406">
        <f>F406*Assumptions!$B$1</f>
        <v>0</v>
      </c>
      <c r="H406">
        <f t="shared" si="293"/>
        <v>0</v>
      </c>
      <c r="I406">
        <f t="shared" si="281"/>
        <v>0</v>
      </c>
      <c r="J406">
        <f>IF(B406&gt;$AJ$2,0,HLOOKUP(C406,Assumptions!$A$6:$J$7,2,TRUE))</f>
        <v>0</v>
      </c>
      <c r="K406" s="4">
        <f t="shared" si="282"/>
        <v>0</v>
      </c>
      <c r="L406" s="4">
        <f t="shared" si="294"/>
        <v>0</v>
      </c>
      <c r="M406" s="4">
        <f t="shared" si="283"/>
        <v>0</v>
      </c>
      <c r="N406">
        <f t="shared" si="295"/>
        <v>0</v>
      </c>
      <c r="O406" s="21">
        <f t="shared" si="284"/>
        <v>0</v>
      </c>
      <c r="P406">
        <f>IF(B406&gt;$AJ$2,0,HLOOKUP(C406,Assumptions!$A$12:$J$13,2,TRUE))</f>
        <v>0</v>
      </c>
      <c r="Q406">
        <f t="shared" si="285"/>
        <v>0</v>
      </c>
      <c r="R406">
        <f t="shared" si="296"/>
        <v>0</v>
      </c>
      <c r="S406">
        <f t="shared" si="324"/>
        <v>0</v>
      </c>
      <c r="T406">
        <f t="shared" si="325"/>
        <v>0</v>
      </c>
      <c r="U406">
        <f t="shared" si="297"/>
        <v>0</v>
      </c>
      <c r="V406">
        <f t="shared" si="298"/>
        <v>0</v>
      </c>
      <c r="W406">
        <f t="shared" si="299"/>
        <v>0</v>
      </c>
      <c r="X406">
        <f t="shared" si="290"/>
        <v>0</v>
      </c>
      <c r="Y406">
        <f t="shared" si="300"/>
        <v>0</v>
      </c>
      <c r="Z406">
        <f t="shared" si="301"/>
        <v>0</v>
      </c>
      <c r="AA406">
        <f t="shared" si="302"/>
        <v>0</v>
      </c>
      <c r="AB406">
        <f t="shared" si="303"/>
        <v>0</v>
      </c>
      <c r="AC406" s="23">
        <f>IF(B406&gt;$AJ$2,0,HLOOKUP(YEAR(A406),Assumptions!$A$25:$AL$29,4,TRUE)/100)</f>
        <v>0</v>
      </c>
      <c r="AD406">
        <f t="shared" si="304"/>
        <v>0</v>
      </c>
      <c r="AE406">
        <f t="shared" si="305"/>
        <v>0</v>
      </c>
      <c r="AF406">
        <f t="shared" si="306"/>
        <v>0</v>
      </c>
      <c r="AG406">
        <f t="shared" si="307"/>
        <v>0</v>
      </c>
      <c r="AH406">
        <f t="shared" si="308"/>
        <v>0</v>
      </c>
      <c r="AI406">
        <f t="shared" si="309"/>
        <v>0</v>
      </c>
      <c r="AJ406">
        <f t="shared" si="310"/>
        <v>0</v>
      </c>
      <c r="AK406">
        <f t="shared" si="311"/>
        <v>0</v>
      </c>
      <c r="AL406">
        <f t="shared" si="312"/>
        <v>0</v>
      </c>
      <c r="AM406">
        <f t="shared" si="291"/>
        <v>0</v>
      </c>
      <c r="AN406">
        <f>IF($S$2=0,0,(SUMPRODUCT($K$2:$R$2,Assumptions!$B$34:$I$34)/$U$2+$J$2/$U$2*Assumptions!$A$34*G406)*K406*O405)</f>
        <v>0</v>
      </c>
      <c r="AO406">
        <f t="shared" si="313"/>
        <v>0</v>
      </c>
      <c r="AP406">
        <f t="shared" si="314"/>
        <v>0</v>
      </c>
      <c r="AQ406">
        <f>IF(B406&gt;$AJ$2,0,AQ405*(1+Assumptions!$B$43)^(1/12))</f>
        <v>0</v>
      </c>
      <c r="AR406" s="27">
        <f>IF(B406&gt;$AJ$2,0,(O405+R405)*Assumptions!$B$39/12*AQ405+AV406*Assumptions!$B$41/12)</f>
        <v>0</v>
      </c>
      <c r="AS406">
        <f t="shared" si="315"/>
        <v>0</v>
      </c>
      <c r="AT406" s="28">
        <f t="shared" si="316"/>
        <v>0</v>
      </c>
      <c r="AU406">
        <f t="shared" si="317"/>
        <v>0</v>
      </c>
      <c r="AV406" s="28">
        <f t="shared" si="318"/>
        <v>0</v>
      </c>
      <c r="AW406" s="28">
        <f t="shared" si="319"/>
        <v>0</v>
      </c>
      <c r="AX406" s="23">
        <f>HLOOKUP(YEAR(A406),Assumptions!$A$25:$AL$29,2,TRUE)/100</f>
        <v>1.1332999999999999E-2</v>
      </c>
      <c r="AY406" s="29">
        <f>1/(1+HLOOKUP(YEAR(A406),Assumptions!$A$18:$AL$20,3,TRUE))^(1/12)</f>
        <v>0.99906100631170314</v>
      </c>
      <c r="AZ406" s="26">
        <f t="shared" si="320"/>
        <v>0</v>
      </c>
      <c r="BA406">
        <f t="shared" si="321"/>
        <v>0</v>
      </c>
      <c r="BB406">
        <f t="shared" si="322"/>
        <v>0</v>
      </c>
      <c r="BC406">
        <f t="shared" si="323"/>
        <v>0</v>
      </c>
    </row>
    <row r="407" spans="1:55" x14ac:dyDescent="0.2">
      <c r="A407" s="3">
        <f t="shared" si="292"/>
        <v>55153</v>
      </c>
      <c r="B407">
        <f t="shared" si="288"/>
        <v>409</v>
      </c>
      <c r="C407">
        <f t="shared" si="286"/>
        <v>34</v>
      </c>
      <c r="D407">
        <f t="shared" si="287"/>
        <v>1</v>
      </c>
      <c r="E407">
        <f t="shared" si="289"/>
        <v>90</v>
      </c>
      <c r="F407">
        <f>IF(C407&gt;=$T$2,0,VLOOKUP($E407,'Mortality Table'!$A$3:$C$128,2+AF$2,FALSE))</f>
        <v>0</v>
      </c>
      <c r="G407">
        <f>F407*Assumptions!$B$1</f>
        <v>0</v>
      </c>
      <c r="H407">
        <f t="shared" si="293"/>
        <v>0</v>
      </c>
      <c r="I407">
        <f t="shared" si="281"/>
        <v>0</v>
      </c>
      <c r="J407">
        <f>IF(B407&gt;$AJ$2,0,HLOOKUP(C407,Assumptions!$A$6:$J$7,2,TRUE))</f>
        <v>0</v>
      </c>
      <c r="K407" s="4">
        <f t="shared" si="282"/>
        <v>0</v>
      </c>
      <c r="L407" s="4">
        <f t="shared" si="294"/>
        <v>0</v>
      </c>
      <c r="M407" s="4">
        <f t="shared" si="283"/>
        <v>0</v>
      </c>
      <c r="N407">
        <f t="shared" si="295"/>
        <v>0</v>
      </c>
      <c r="O407" s="21">
        <f t="shared" si="284"/>
        <v>0</v>
      </c>
      <c r="P407">
        <f>IF(B407&gt;$AJ$2,0,HLOOKUP(C407,Assumptions!$A$12:$J$13,2,TRUE))</f>
        <v>0</v>
      </c>
      <c r="Q407">
        <f t="shared" si="285"/>
        <v>0</v>
      </c>
      <c r="R407">
        <f t="shared" si="296"/>
        <v>0</v>
      </c>
      <c r="S407">
        <f t="shared" si="324"/>
        <v>0</v>
      </c>
      <c r="T407">
        <f t="shared" si="325"/>
        <v>0</v>
      </c>
      <c r="U407">
        <f t="shared" si="297"/>
        <v>0</v>
      </c>
      <c r="V407">
        <f t="shared" si="298"/>
        <v>0</v>
      </c>
      <c r="W407">
        <f t="shared" si="299"/>
        <v>0</v>
      </c>
      <c r="X407">
        <f t="shared" si="290"/>
        <v>0</v>
      </c>
      <c r="Y407">
        <f t="shared" si="300"/>
        <v>0</v>
      </c>
      <c r="Z407">
        <f t="shared" si="301"/>
        <v>0</v>
      </c>
      <c r="AA407">
        <f t="shared" si="302"/>
        <v>0</v>
      </c>
      <c r="AB407">
        <f t="shared" si="303"/>
        <v>0</v>
      </c>
      <c r="AC407" s="23">
        <f>IF(B407&gt;$AJ$2,0,HLOOKUP(YEAR(A407),Assumptions!$A$25:$AL$29,4,TRUE)/100)</f>
        <v>0</v>
      </c>
      <c r="AD407">
        <f t="shared" si="304"/>
        <v>0</v>
      </c>
      <c r="AE407">
        <f t="shared" si="305"/>
        <v>0</v>
      </c>
      <c r="AF407">
        <f t="shared" si="306"/>
        <v>0</v>
      </c>
      <c r="AG407">
        <f t="shared" si="307"/>
        <v>0</v>
      </c>
      <c r="AH407">
        <f t="shared" si="308"/>
        <v>0</v>
      </c>
      <c r="AI407">
        <f t="shared" si="309"/>
        <v>0</v>
      </c>
      <c r="AJ407">
        <f t="shared" si="310"/>
        <v>0</v>
      </c>
      <c r="AK407">
        <f t="shared" si="311"/>
        <v>0</v>
      </c>
      <c r="AL407">
        <f t="shared" si="312"/>
        <v>0</v>
      </c>
      <c r="AM407">
        <f t="shared" si="291"/>
        <v>0</v>
      </c>
      <c r="AN407">
        <f>IF($S$2=0,0,(SUMPRODUCT($K$2:$R$2,Assumptions!$B$34:$I$34)/$U$2+$J$2/$U$2*Assumptions!$A$34*G407)*K407*O406)</f>
        <v>0</v>
      </c>
      <c r="AO407">
        <f t="shared" si="313"/>
        <v>0</v>
      </c>
      <c r="AP407">
        <f t="shared" si="314"/>
        <v>0</v>
      </c>
      <c r="AQ407">
        <f>IF(B407&gt;$AJ$2,0,AQ406*(1+Assumptions!$B$43)^(1/12))</f>
        <v>0</v>
      </c>
      <c r="AR407" s="27">
        <f>IF(B407&gt;$AJ$2,0,(O406+R406)*Assumptions!$B$39/12*AQ406+AV407*Assumptions!$B$41/12)</f>
        <v>0</v>
      </c>
      <c r="AS407">
        <f t="shared" si="315"/>
        <v>0</v>
      </c>
      <c r="AT407" s="28">
        <f t="shared" si="316"/>
        <v>0</v>
      </c>
      <c r="AU407">
        <f t="shared" si="317"/>
        <v>0</v>
      </c>
      <c r="AV407" s="28">
        <f t="shared" si="318"/>
        <v>0</v>
      </c>
      <c r="AW407" s="28">
        <f t="shared" si="319"/>
        <v>0</v>
      </c>
      <c r="AX407" s="23">
        <f>HLOOKUP(YEAR(A407),Assumptions!$A$25:$AL$29,2,TRUE)/100</f>
        <v>1.1332999999999999E-2</v>
      </c>
      <c r="AY407" s="29">
        <f>1/(1+HLOOKUP(YEAR(A407),Assumptions!$A$18:$AL$20,3,TRUE))^(1/12)</f>
        <v>0.99906100631170314</v>
      </c>
      <c r="AZ407" s="26">
        <f t="shared" si="320"/>
        <v>0</v>
      </c>
      <c r="BA407">
        <f t="shared" si="321"/>
        <v>0</v>
      </c>
      <c r="BB407">
        <f t="shared" si="322"/>
        <v>0</v>
      </c>
      <c r="BC407">
        <f t="shared" si="323"/>
        <v>0</v>
      </c>
    </row>
    <row r="408" spans="1:55" x14ac:dyDescent="0.2">
      <c r="A408" s="3">
        <f t="shared" si="292"/>
        <v>55184</v>
      </c>
      <c r="B408">
        <f t="shared" si="288"/>
        <v>410</v>
      </c>
      <c r="C408">
        <f t="shared" si="286"/>
        <v>34.083333333333336</v>
      </c>
      <c r="D408">
        <f t="shared" si="287"/>
        <v>0</v>
      </c>
      <c r="E408">
        <f t="shared" si="289"/>
        <v>90</v>
      </c>
      <c r="F408">
        <f>IF(C408&gt;=$T$2,0,VLOOKUP($E408,'Mortality Table'!$A$3:$C$128,2+AF$2,FALSE))</f>
        <v>0</v>
      </c>
      <c r="G408">
        <f>F408*Assumptions!$B$1</f>
        <v>0</v>
      </c>
      <c r="H408">
        <f t="shared" si="293"/>
        <v>0</v>
      </c>
      <c r="I408">
        <f t="shared" si="281"/>
        <v>0</v>
      </c>
      <c r="J408">
        <f>IF(B408&gt;$AJ$2,0,HLOOKUP(C408,Assumptions!$A$6:$J$7,2,TRUE))</f>
        <v>0</v>
      </c>
      <c r="K408" s="4">
        <f t="shared" si="282"/>
        <v>0</v>
      </c>
      <c r="L408" s="4">
        <f t="shared" si="294"/>
        <v>0</v>
      </c>
      <c r="M408" s="4">
        <f t="shared" si="283"/>
        <v>0</v>
      </c>
      <c r="N408">
        <f t="shared" si="295"/>
        <v>0</v>
      </c>
      <c r="O408" s="21">
        <f t="shared" si="284"/>
        <v>0</v>
      </c>
      <c r="P408">
        <f>IF(B408&gt;$AJ$2,0,HLOOKUP(C408,Assumptions!$A$12:$J$13,2,TRUE))</f>
        <v>0</v>
      </c>
      <c r="Q408">
        <f t="shared" si="285"/>
        <v>0</v>
      </c>
      <c r="R408">
        <f t="shared" si="296"/>
        <v>0</v>
      </c>
      <c r="S408">
        <f t="shared" si="324"/>
        <v>0</v>
      </c>
      <c r="T408">
        <f t="shared" si="325"/>
        <v>0</v>
      </c>
      <c r="U408">
        <f t="shared" si="297"/>
        <v>0</v>
      </c>
      <c r="V408">
        <f t="shared" si="298"/>
        <v>0</v>
      </c>
      <c r="W408">
        <f t="shared" si="299"/>
        <v>0</v>
      </c>
      <c r="X408">
        <f t="shared" si="290"/>
        <v>0</v>
      </c>
      <c r="Y408">
        <f t="shared" si="300"/>
        <v>0</v>
      </c>
      <c r="Z408">
        <f t="shared" si="301"/>
        <v>0</v>
      </c>
      <c r="AA408">
        <f t="shared" si="302"/>
        <v>0</v>
      </c>
      <c r="AB408">
        <f t="shared" si="303"/>
        <v>0</v>
      </c>
      <c r="AC408" s="23">
        <f>IF(B408&gt;$AJ$2,0,HLOOKUP(YEAR(A408),Assumptions!$A$25:$AL$29,4,TRUE)/100)</f>
        <v>0</v>
      </c>
      <c r="AD408">
        <f t="shared" si="304"/>
        <v>0</v>
      </c>
      <c r="AE408">
        <f t="shared" si="305"/>
        <v>0</v>
      </c>
      <c r="AF408">
        <f t="shared" si="306"/>
        <v>0</v>
      </c>
      <c r="AG408">
        <f t="shared" si="307"/>
        <v>0</v>
      </c>
      <c r="AH408">
        <f t="shared" si="308"/>
        <v>0</v>
      </c>
      <c r="AI408">
        <f t="shared" si="309"/>
        <v>0</v>
      </c>
      <c r="AJ408">
        <f t="shared" si="310"/>
        <v>0</v>
      </c>
      <c r="AK408">
        <f t="shared" si="311"/>
        <v>0</v>
      </c>
      <c r="AL408">
        <f t="shared" si="312"/>
        <v>0</v>
      </c>
      <c r="AM408">
        <f t="shared" si="291"/>
        <v>0</v>
      </c>
      <c r="AN408">
        <f>IF($S$2=0,0,(SUMPRODUCT($K$2:$R$2,Assumptions!$B$34:$I$34)/$U$2+$J$2/$U$2*Assumptions!$A$34*G408)*K408*O407)</f>
        <v>0</v>
      </c>
      <c r="AO408">
        <f t="shared" si="313"/>
        <v>0</v>
      </c>
      <c r="AP408">
        <f t="shared" si="314"/>
        <v>0</v>
      </c>
      <c r="AQ408">
        <f>IF(B408&gt;$AJ$2,0,AQ407*(1+Assumptions!$B$43)^(1/12))</f>
        <v>0</v>
      </c>
      <c r="AR408" s="27">
        <f>IF(B408&gt;$AJ$2,0,(O407+R407)*Assumptions!$B$39/12*AQ407+AV408*Assumptions!$B$41/12)</f>
        <v>0</v>
      </c>
      <c r="AS408">
        <f t="shared" si="315"/>
        <v>0</v>
      </c>
      <c r="AT408" s="28">
        <f t="shared" si="316"/>
        <v>0</v>
      </c>
      <c r="AU408">
        <f t="shared" si="317"/>
        <v>0</v>
      </c>
      <c r="AV408" s="28">
        <f t="shared" si="318"/>
        <v>0</v>
      </c>
      <c r="AW408" s="28">
        <f t="shared" si="319"/>
        <v>0</v>
      </c>
      <c r="AX408" s="23">
        <f>HLOOKUP(YEAR(A408),Assumptions!$A$25:$AL$29,2,TRUE)/100</f>
        <v>1.1332999999999999E-2</v>
      </c>
      <c r="AY408" s="29">
        <f>1/(1+HLOOKUP(YEAR(A408),Assumptions!$A$18:$AL$20,3,TRUE))^(1/12)</f>
        <v>0.99906100631170314</v>
      </c>
      <c r="AZ408" s="26">
        <f t="shared" si="320"/>
        <v>0</v>
      </c>
      <c r="BA408">
        <f t="shared" si="321"/>
        <v>0</v>
      </c>
      <c r="BB408">
        <f t="shared" si="322"/>
        <v>0</v>
      </c>
      <c r="BC408">
        <f t="shared" si="323"/>
        <v>0</v>
      </c>
    </row>
    <row r="409" spans="1:55" x14ac:dyDescent="0.2">
      <c r="A409" s="3">
        <f t="shared" si="292"/>
        <v>55212</v>
      </c>
      <c r="B409">
        <f t="shared" si="288"/>
        <v>411</v>
      </c>
      <c r="C409">
        <f t="shared" si="286"/>
        <v>34.166666666666664</v>
      </c>
      <c r="D409">
        <f t="shared" si="287"/>
        <v>0</v>
      </c>
      <c r="E409">
        <f t="shared" si="289"/>
        <v>90</v>
      </c>
      <c r="F409">
        <f>IF(C409&gt;=$T$2,0,VLOOKUP($E409,'Mortality Table'!$A$3:$C$128,2+AF$2,FALSE))</f>
        <v>0</v>
      </c>
      <c r="G409">
        <f>F409*Assumptions!$B$1</f>
        <v>0</v>
      </c>
      <c r="H409">
        <f t="shared" si="293"/>
        <v>0</v>
      </c>
      <c r="I409">
        <f t="shared" si="281"/>
        <v>0</v>
      </c>
      <c r="J409">
        <f>IF(B409&gt;$AJ$2,0,HLOOKUP(C409,Assumptions!$A$6:$J$7,2,TRUE))</f>
        <v>0</v>
      </c>
      <c r="K409" s="4">
        <f t="shared" si="282"/>
        <v>0</v>
      </c>
      <c r="L409" s="4">
        <f t="shared" si="294"/>
        <v>0</v>
      </c>
      <c r="M409" s="4">
        <f t="shared" si="283"/>
        <v>0</v>
      </c>
      <c r="N409">
        <f t="shared" si="295"/>
        <v>0</v>
      </c>
      <c r="O409" s="21">
        <f t="shared" si="284"/>
        <v>0</v>
      </c>
      <c r="P409">
        <f>IF(B409&gt;$AJ$2,0,HLOOKUP(C409,Assumptions!$A$12:$J$13,2,TRUE))</f>
        <v>0</v>
      </c>
      <c r="Q409">
        <f t="shared" si="285"/>
        <v>0</v>
      </c>
      <c r="R409">
        <f t="shared" si="296"/>
        <v>0</v>
      </c>
      <c r="S409">
        <f t="shared" si="324"/>
        <v>0</v>
      </c>
      <c r="T409">
        <f t="shared" si="325"/>
        <v>0</v>
      </c>
      <c r="U409">
        <f t="shared" si="297"/>
        <v>0</v>
      </c>
      <c r="V409">
        <f t="shared" si="298"/>
        <v>0</v>
      </c>
      <c r="W409">
        <f t="shared" si="299"/>
        <v>0</v>
      </c>
      <c r="X409">
        <f t="shared" si="290"/>
        <v>0</v>
      </c>
      <c r="Y409">
        <f t="shared" si="300"/>
        <v>0</v>
      </c>
      <c r="Z409">
        <f t="shared" si="301"/>
        <v>0</v>
      </c>
      <c r="AA409">
        <f t="shared" si="302"/>
        <v>0</v>
      </c>
      <c r="AB409">
        <f t="shared" si="303"/>
        <v>0</v>
      </c>
      <c r="AC409" s="23">
        <f>IF(B409&gt;$AJ$2,0,HLOOKUP(YEAR(A409),Assumptions!$A$25:$AL$29,4,TRUE)/100)</f>
        <v>0</v>
      </c>
      <c r="AD409">
        <f t="shared" si="304"/>
        <v>0</v>
      </c>
      <c r="AE409">
        <f t="shared" si="305"/>
        <v>0</v>
      </c>
      <c r="AF409">
        <f t="shared" si="306"/>
        <v>0</v>
      </c>
      <c r="AG409">
        <f t="shared" si="307"/>
        <v>0</v>
      </c>
      <c r="AH409">
        <f t="shared" si="308"/>
        <v>0</v>
      </c>
      <c r="AI409">
        <f t="shared" si="309"/>
        <v>0</v>
      </c>
      <c r="AJ409">
        <f t="shared" si="310"/>
        <v>0</v>
      </c>
      <c r="AK409">
        <f t="shared" si="311"/>
        <v>0</v>
      </c>
      <c r="AL409">
        <f t="shared" si="312"/>
        <v>0</v>
      </c>
      <c r="AM409">
        <f t="shared" si="291"/>
        <v>0</v>
      </c>
      <c r="AN409">
        <f>IF($S$2=0,0,(SUMPRODUCT($K$2:$R$2,Assumptions!$B$34:$I$34)/$U$2+$J$2/$U$2*Assumptions!$A$34*G409)*K409*O408)</f>
        <v>0</v>
      </c>
      <c r="AO409">
        <f t="shared" si="313"/>
        <v>0</v>
      </c>
      <c r="AP409">
        <f t="shared" si="314"/>
        <v>0</v>
      </c>
      <c r="AQ409">
        <f>IF(B409&gt;$AJ$2,0,AQ408*(1+Assumptions!$B$43)^(1/12))</f>
        <v>0</v>
      </c>
      <c r="AR409" s="27">
        <f>IF(B409&gt;$AJ$2,0,(O408+R408)*Assumptions!$B$39/12*AQ408+AV409*Assumptions!$B$41/12)</f>
        <v>0</v>
      </c>
      <c r="AS409">
        <f t="shared" si="315"/>
        <v>0</v>
      </c>
      <c r="AT409" s="28">
        <f t="shared" si="316"/>
        <v>0</v>
      </c>
      <c r="AU409">
        <f t="shared" si="317"/>
        <v>0</v>
      </c>
      <c r="AV409" s="28">
        <f t="shared" si="318"/>
        <v>0</v>
      </c>
      <c r="AW409" s="28">
        <f t="shared" si="319"/>
        <v>0</v>
      </c>
      <c r="AX409" s="23">
        <f>HLOOKUP(YEAR(A409),Assumptions!$A$25:$AL$29,2,TRUE)/100</f>
        <v>1.1332999999999999E-2</v>
      </c>
      <c r="AY409" s="29">
        <f>1/(1+HLOOKUP(YEAR(A409),Assumptions!$A$18:$AL$20,3,TRUE))^(1/12)</f>
        <v>0.99906100631170314</v>
      </c>
      <c r="AZ409" s="26">
        <f t="shared" si="320"/>
        <v>0</v>
      </c>
      <c r="BA409">
        <f t="shared" si="321"/>
        <v>0</v>
      </c>
      <c r="BB409">
        <f t="shared" si="322"/>
        <v>0</v>
      </c>
      <c r="BC409">
        <f t="shared" si="323"/>
        <v>0</v>
      </c>
    </row>
    <row r="410" spans="1:55" x14ac:dyDescent="0.2">
      <c r="A410" s="3">
        <f t="shared" si="292"/>
        <v>55243</v>
      </c>
      <c r="B410">
        <f t="shared" si="288"/>
        <v>412</v>
      </c>
      <c r="C410">
        <f t="shared" si="286"/>
        <v>34.25</v>
      </c>
      <c r="D410">
        <f t="shared" si="287"/>
        <v>0</v>
      </c>
      <c r="E410">
        <f t="shared" si="289"/>
        <v>90</v>
      </c>
      <c r="F410">
        <f>IF(C410&gt;=$T$2,0,VLOOKUP($E410,'Mortality Table'!$A$3:$C$128,2+AF$2,FALSE))</f>
        <v>0</v>
      </c>
      <c r="G410">
        <f>F410*Assumptions!$B$1</f>
        <v>0</v>
      </c>
      <c r="H410">
        <f t="shared" si="293"/>
        <v>0</v>
      </c>
      <c r="I410">
        <f t="shared" si="281"/>
        <v>0</v>
      </c>
      <c r="J410">
        <f>IF(B410&gt;$AJ$2,0,HLOOKUP(C410,Assumptions!$A$6:$J$7,2,TRUE))</f>
        <v>0</v>
      </c>
      <c r="K410" s="4">
        <f t="shared" si="282"/>
        <v>0</v>
      </c>
      <c r="L410" s="4">
        <f t="shared" si="294"/>
        <v>0</v>
      </c>
      <c r="M410" s="4">
        <f t="shared" si="283"/>
        <v>0</v>
      </c>
      <c r="N410">
        <f t="shared" si="295"/>
        <v>0</v>
      </c>
      <c r="O410" s="21">
        <f t="shared" si="284"/>
        <v>0</v>
      </c>
      <c r="P410">
        <f>IF(B410&gt;$AJ$2,0,HLOOKUP(C410,Assumptions!$A$12:$J$13,2,TRUE))</f>
        <v>0</v>
      </c>
      <c r="Q410">
        <f t="shared" si="285"/>
        <v>0</v>
      </c>
      <c r="R410">
        <f t="shared" si="296"/>
        <v>0</v>
      </c>
      <c r="S410">
        <f t="shared" si="324"/>
        <v>0</v>
      </c>
      <c r="T410">
        <f t="shared" si="325"/>
        <v>0</v>
      </c>
      <c r="U410">
        <f t="shared" si="297"/>
        <v>0</v>
      </c>
      <c r="V410">
        <f t="shared" si="298"/>
        <v>0</v>
      </c>
      <c r="W410">
        <f t="shared" si="299"/>
        <v>0</v>
      </c>
      <c r="X410">
        <f t="shared" si="290"/>
        <v>0</v>
      </c>
      <c r="Y410">
        <f t="shared" si="300"/>
        <v>0</v>
      </c>
      <c r="Z410">
        <f t="shared" si="301"/>
        <v>0</v>
      </c>
      <c r="AA410">
        <f t="shared" si="302"/>
        <v>0</v>
      </c>
      <c r="AB410">
        <f t="shared" si="303"/>
        <v>0</v>
      </c>
      <c r="AC410" s="23">
        <f>IF(B410&gt;$AJ$2,0,HLOOKUP(YEAR(A410),Assumptions!$A$25:$AL$29,4,TRUE)/100)</f>
        <v>0</v>
      </c>
      <c r="AD410">
        <f t="shared" si="304"/>
        <v>0</v>
      </c>
      <c r="AE410">
        <f t="shared" si="305"/>
        <v>0</v>
      </c>
      <c r="AF410">
        <f t="shared" si="306"/>
        <v>0</v>
      </c>
      <c r="AG410">
        <f t="shared" si="307"/>
        <v>0</v>
      </c>
      <c r="AH410">
        <f t="shared" si="308"/>
        <v>0</v>
      </c>
      <c r="AI410">
        <f t="shared" si="309"/>
        <v>0</v>
      </c>
      <c r="AJ410">
        <f t="shared" si="310"/>
        <v>0</v>
      </c>
      <c r="AK410">
        <f t="shared" si="311"/>
        <v>0</v>
      </c>
      <c r="AL410">
        <f t="shared" si="312"/>
        <v>0</v>
      </c>
      <c r="AM410">
        <f t="shared" si="291"/>
        <v>0</v>
      </c>
      <c r="AN410">
        <f>IF($S$2=0,0,(SUMPRODUCT($K$2:$R$2,Assumptions!$B$34:$I$34)/$U$2+$J$2/$U$2*Assumptions!$A$34*G410)*K410*O409)</f>
        <v>0</v>
      </c>
      <c r="AO410">
        <f t="shared" si="313"/>
        <v>0</v>
      </c>
      <c r="AP410">
        <f t="shared" si="314"/>
        <v>0</v>
      </c>
      <c r="AQ410">
        <f>IF(B410&gt;$AJ$2,0,AQ409*(1+Assumptions!$B$43)^(1/12))</f>
        <v>0</v>
      </c>
      <c r="AR410" s="27">
        <f>IF(B410&gt;$AJ$2,0,(O409+R409)*Assumptions!$B$39/12*AQ409+AV410*Assumptions!$B$41/12)</f>
        <v>0</v>
      </c>
      <c r="AS410">
        <f t="shared" si="315"/>
        <v>0</v>
      </c>
      <c r="AT410" s="28">
        <f t="shared" si="316"/>
        <v>0</v>
      </c>
      <c r="AU410">
        <f t="shared" si="317"/>
        <v>0</v>
      </c>
      <c r="AV410" s="28">
        <f t="shared" si="318"/>
        <v>0</v>
      </c>
      <c r="AW410" s="28">
        <f t="shared" si="319"/>
        <v>0</v>
      </c>
      <c r="AX410" s="23">
        <f>HLOOKUP(YEAR(A410),Assumptions!$A$25:$AL$29,2,TRUE)/100</f>
        <v>1.1332999999999999E-2</v>
      </c>
      <c r="AY410" s="29">
        <f>1/(1+HLOOKUP(YEAR(A410),Assumptions!$A$18:$AL$20,3,TRUE))^(1/12)</f>
        <v>0.99906100631170314</v>
      </c>
      <c r="AZ410" s="26">
        <f t="shared" si="320"/>
        <v>0</v>
      </c>
      <c r="BA410">
        <f t="shared" si="321"/>
        <v>0</v>
      </c>
      <c r="BB410">
        <f t="shared" si="322"/>
        <v>0</v>
      </c>
      <c r="BC410">
        <f t="shared" si="323"/>
        <v>0</v>
      </c>
    </row>
    <row r="411" spans="1:55" x14ac:dyDescent="0.2">
      <c r="A411" s="3">
        <f t="shared" si="292"/>
        <v>55273</v>
      </c>
      <c r="B411">
        <f t="shared" si="288"/>
        <v>413</v>
      </c>
      <c r="C411">
        <f t="shared" si="286"/>
        <v>34.333333333333336</v>
      </c>
      <c r="D411">
        <f t="shared" si="287"/>
        <v>0</v>
      </c>
      <c r="E411">
        <f t="shared" si="289"/>
        <v>90</v>
      </c>
      <c r="F411">
        <f>IF(C411&gt;=$T$2,0,VLOOKUP($E411,'Mortality Table'!$A$3:$C$128,2+AF$2,FALSE))</f>
        <v>0</v>
      </c>
      <c r="G411">
        <f>F411*Assumptions!$B$1</f>
        <v>0</v>
      </c>
      <c r="H411">
        <f t="shared" si="293"/>
        <v>0</v>
      </c>
      <c r="I411">
        <f t="shared" si="281"/>
        <v>0</v>
      </c>
      <c r="J411">
        <f>IF(B411&gt;$AJ$2,0,HLOOKUP(C411,Assumptions!$A$6:$J$7,2,TRUE))</f>
        <v>0</v>
      </c>
      <c r="K411" s="4">
        <f t="shared" si="282"/>
        <v>0</v>
      </c>
      <c r="L411" s="4">
        <f t="shared" si="294"/>
        <v>0</v>
      </c>
      <c r="M411" s="4">
        <f t="shared" si="283"/>
        <v>0</v>
      </c>
      <c r="N411">
        <f t="shared" si="295"/>
        <v>0</v>
      </c>
      <c r="O411" s="21">
        <f t="shared" si="284"/>
        <v>0</v>
      </c>
      <c r="P411">
        <f>IF(B411&gt;$AJ$2,0,HLOOKUP(C411,Assumptions!$A$12:$J$13,2,TRUE))</f>
        <v>0</v>
      </c>
      <c r="Q411">
        <f t="shared" si="285"/>
        <v>0</v>
      </c>
      <c r="R411">
        <f t="shared" si="296"/>
        <v>0</v>
      </c>
      <c r="S411">
        <f t="shared" si="324"/>
        <v>0</v>
      </c>
      <c r="T411">
        <f t="shared" si="325"/>
        <v>0</v>
      </c>
      <c r="U411">
        <f t="shared" si="297"/>
        <v>0</v>
      </c>
      <c r="V411">
        <f t="shared" si="298"/>
        <v>0</v>
      </c>
      <c r="W411">
        <f t="shared" si="299"/>
        <v>0</v>
      </c>
      <c r="X411">
        <f t="shared" si="290"/>
        <v>0</v>
      </c>
      <c r="Y411">
        <f t="shared" si="300"/>
        <v>0</v>
      </c>
      <c r="Z411">
        <f t="shared" si="301"/>
        <v>0</v>
      </c>
      <c r="AA411">
        <f t="shared" si="302"/>
        <v>0</v>
      </c>
      <c r="AB411">
        <f t="shared" si="303"/>
        <v>0</v>
      </c>
      <c r="AC411" s="23">
        <f>IF(B411&gt;$AJ$2,0,HLOOKUP(YEAR(A411),Assumptions!$A$25:$AL$29,4,TRUE)/100)</f>
        <v>0</v>
      </c>
      <c r="AD411">
        <f t="shared" si="304"/>
        <v>0</v>
      </c>
      <c r="AE411">
        <f t="shared" si="305"/>
        <v>0</v>
      </c>
      <c r="AF411">
        <f t="shared" si="306"/>
        <v>0</v>
      </c>
      <c r="AG411">
        <f t="shared" si="307"/>
        <v>0</v>
      </c>
      <c r="AH411">
        <f t="shared" si="308"/>
        <v>0</v>
      </c>
      <c r="AI411">
        <f t="shared" si="309"/>
        <v>0</v>
      </c>
      <c r="AJ411">
        <f t="shared" si="310"/>
        <v>0</v>
      </c>
      <c r="AK411">
        <f t="shared" si="311"/>
        <v>0</v>
      </c>
      <c r="AL411">
        <f t="shared" si="312"/>
        <v>0</v>
      </c>
      <c r="AM411">
        <f t="shared" si="291"/>
        <v>0</v>
      </c>
      <c r="AN411">
        <f>IF($S$2=0,0,(SUMPRODUCT($K$2:$R$2,Assumptions!$B$34:$I$34)/$U$2+$J$2/$U$2*Assumptions!$A$34*G411)*K411*O410)</f>
        <v>0</v>
      </c>
      <c r="AO411">
        <f t="shared" si="313"/>
        <v>0</v>
      </c>
      <c r="AP411">
        <f t="shared" si="314"/>
        <v>0</v>
      </c>
      <c r="AQ411">
        <f>IF(B411&gt;$AJ$2,0,AQ410*(1+Assumptions!$B$43)^(1/12))</f>
        <v>0</v>
      </c>
      <c r="AR411" s="27">
        <f>IF(B411&gt;$AJ$2,0,(O410+R410)*Assumptions!$B$39/12*AQ410+AV411*Assumptions!$B$41/12)</f>
        <v>0</v>
      </c>
      <c r="AS411">
        <f t="shared" si="315"/>
        <v>0</v>
      </c>
      <c r="AT411" s="28">
        <f t="shared" si="316"/>
        <v>0</v>
      </c>
      <c r="AU411">
        <f t="shared" si="317"/>
        <v>0</v>
      </c>
      <c r="AV411" s="28">
        <f t="shared" si="318"/>
        <v>0</v>
      </c>
      <c r="AW411" s="28">
        <f t="shared" si="319"/>
        <v>0</v>
      </c>
      <c r="AX411" s="23">
        <f>HLOOKUP(YEAR(A411),Assumptions!$A$25:$AL$29,2,TRUE)/100</f>
        <v>1.1332999999999999E-2</v>
      </c>
      <c r="AY411" s="29">
        <f>1/(1+HLOOKUP(YEAR(A411),Assumptions!$A$18:$AL$20,3,TRUE))^(1/12)</f>
        <v>0.99906100631170314</v>
      </c>
      <c r="AZ411" s="26">
        <f t="shared" si="320"/>
        <v>0</v>
      </c>
      <c r="BA411">
        <f t="shared" si="321"/>
        <v>0</v>
      </c>
      <c r="BB411">
        <f t="shared" si="322"/>
        <v>0</v>
      </c>
      <c r="BC411">
        <f t="shared" si="323"/>
        <v>0</v>
      </c>
    </row>
    <row r="412" spans="1:55" x14ac:dyDescent="0.2">
      <c r="A412" s="3">
        <f t="shared" si="292"/>
        <v>55304</v>
      </c>
      <c r="B412">
        <f t="shared" si="288"/>
        <v>414</v>
      </c>
      <c r="C412">
        <f t="shared" si="286"/>
        <v>34.416666666666664</v>
      </c>
      <c r="D412">
        <f t="shared" si="287"/>
        <v>0</v>
      </c>
      <c r="E412">
        <f t="shared" si="289"/>
        <v>90</v>
      </c>
      <c r="F412">
        <f>IF(C412&gt;=$T$2,0,VLOOKUP($E412,'Mortality Table'!$A$3:$C$128,2+AF$2,FALSE))</f>
        <v>0</v>
      </c>
      <c r="G412">
        <f>F412*Assumptions!$B$1</f>
        <v>0</v>
      </c>
      <c r="H412">
        <f t="shared" si="293"/>
        <v>0</v>
      </c>
      <c r="I412">
        <f t="shared" si="281"/>
        <v>0</v>
      </c>
      <c r="J412">
        <f>IF(B412&gt;$AJ$2,0,HLOOKUP(C412,Assumptions!$A$6:$J$7,2,TRUE))</f>
        <v>0</v>
      </c>
      <c r="K412" s="4">
        <f t="shared" si="282"/>
        <v>0</v>
      </c>
      <c r="L412" s="4">
        <f t="shared" si="294"/>
        <v>0</v>
      </c>
      <c r="M412" s="4">
        <f t="shared" si="283"/>
        <v>0</v>
      </c>
      <c r="N412">
        <f t="shared" si="295"/>
        <v>0</v>
      </c>
      <c r="O412" s="21">
        <f t="shared" si="284"/>
        <v>0</v>
      </c>
      <c r="P412">
        <f>IF(B412&gt;$AJ$2,0,HLOOKUP(C412,Assumptions!$A$12:$J$13,2,TRUE))</f>
        <v>0</v>
      </c>
      <c r="Q412">
        <f t="shared" si="285"/>
        <v>0</v>
      </c>
      <c r="R412">
        <f t="shared" si="296"/>
        <v>0</v>
      </c>
      <c r="S412">
        <f t="shared" si="324"/>
        <v>0</v>
      </c>
      <c r="T412">
        <f t="shared" si="325"/>
        <v>0</v>
      </c>
      <c r="U412">
        <f t="shared" si="297"/>
        <v>0</v>
      </c>
      <c r="V412">
        <f t="shared" si="298"/>
        <v>0</v>
      </c>
      <c r="W412">
        <f t="shared" si="299"/>
        <v>0</v>
      </c>
      <c r="X412">
        <f t="shared" si="290"/>
        <v>0</v>
      </c>
      <c r="Y412">
        <f t="shared" si="300"/>
        <v>0</v>
      </c>
      <c r="Z412">
        <f t="shared" si="301"/>
        <v>0</v>
      </c>
      <c r="AA412">
        <f t="shared" si="302"/>
        <v>0</v>
      </c>
      <c r="AB412">
        <f t="shared" si="303"/>
        <v>0</v>
      </c>
      <c r="AC412" s="23">
        <f>IF(B412&gt;$AJ$2,0,HLOOKUP(YEAR(A412),Assumptions!$A$25:$AL$29,4,TRUE)/100)</f>
        <v>0</v>
      </c>
      <c r="AD412">
        <f t="shared" si="304"/>
        <v>0</v>
      </c>
      <c r="AE412">
        <f t="shared" si="305"/>
        <v>0</v>
      </c>
      <c r="AF412">
        <f t="shared" si="306"/>
        <v>0</v>
      </c>
      <c r="AG412">
        <f t="shared" si="307"/>
        <v>0</v>
      </c>
      <c r="AH412">
        <f t="shared" si="308"/>
        <v>0</v>
      </c>
      <c r="AI412">
        <f t="shared" si="309"/>
        <v>0</v>
      </c>
      <c r="AJ412">
        <f t="shared" si="310"/>
        <v>0</v>
      </c>
      <c r="AK412">
        <f t="shared" si="311"/>
        <v>0</v>
      </c>
      <c r="AL412">
        <f t="shared" si="312"/>
        <v>0</v>
      </c>
      <c r="AM412">
        <f t="shared" si="291"/>
        <v>0</v>
      </c>
      <c r="AN412">
        <f>IF($S$2=0,0,(SUMPRODUCT($K$2:$R$2,Assumptions!$B$34:$I$34)/$U$2+$J$2/$U$2*Assumptions!$A$34*G412)*K412*O411)</f>
        <v>0</v>
      </c>
      <c r="AO412">
        <f t="shared" si="313"/>
        <v>0</v>
      </c>
      <c r="AP412">
        <f t="shared" si="314"/>
        <v>0</v>
      </c>
      <c r="AQ412">
        <f>IF(B412&gt;$AJ$2,0,AQ411*(1+Assumptions!$B$43)^(1/12))</f>
        <v>0</v>
      </c>
      <c r="AR412" s="27">
        <f>IF(B412&gt;$AJ$2,0,(O411+R411)*Assumptions!$B$39/12*AQ411+AV412*Assumptions!$B$41/12)</f>
        <v>0</v>
      </c>
      <c r="AS412">
        <f t="shared" si="315"/>
        <v>0</v>
      </c>
      <c r="AT412" s="28">
        <f t="shared" si="316"/>
        <v>0</v>
      </c>
      <c r="AU412">
        <f t="shared" si="317"/>
        <v>0</v>
      </c>
      <c r="AV412" s="28">
        <f t="shared" si="318"/>
        <v>0</v>
      </c>
      <c r="AW412" s="28">
        <f t="shared" si="319"/>
        <v>0</v>
      </c>
      <c r="AX412" s="23">
        <f>HLOOKUP(YEAR(A412),Assumptions!$A$25:$AL$29,2,TRUE)/100</f>
        <v>1.1332999999999999E-2</v>
      </c>
      <c r="AY412" s="29">
        <f>1/(1+HLOOKUP(YEAR(A412),Assumptions!$A$18:$AL$20,3,TRUE))^(1/12)</f>
        <v>0.99906100631170314</v>
      </c>
      <c r="AZ412" s="26">
        <f t="shared" si="320"/>
        <v>0</v>
      </c>
      <c r="BA412">
        <f t="shared" si="321"/>
        <v>0</v>
      </c>
      <c r="BB412">
        <f t="shared" si="322"/>
        <v>0</v>
      </c>
      <c r="BC412">
        <f t="shared" si="323"/>
        <v>0</v>
      </c>
    </row>
    <row r="413" spans="1:55" x14ac:dyDescent="0.2">
      <c r="A413" s="3">
        <f t="shared" si="292"/>
        <v>55334</v>
      </c>
      <c r="B413">
        <f t="shared" si="288"/>
        <v>415</v>
      </c>
      <c r="C413">
        <f t="shared" si="286"/>
        <v>34.5</v>
      </c>
      <c r="D413">
        <f t="shared" si="287"/>
        <v>0</v>
      </c>
      <c r="E413">
        <f t="shared" si="289"/>
        <v>90</v>
      </c>
      <c r="F413">
        <f>IF(C413&gt;=$T$2,0,VLOOKUP($E413,'Mortality Table'!$A$3:$C$128,2+AF$2,FALSE))</f>
        <v>0</v>
      </c>
      <c r="G413">
        <f>F413*Assumptions!$B$1</f>
        <v>0</v>
      </c>
      <c r="H413">
        <f t="shared" si="293"/>
        <v>0</v>
      </c>
      <c r="I413">
        <f t="shared" si="281"/>
        <v>0</v>
      </c>
      <c r="J413">
        <f>IF(B413&gt;$AJ$2,0,HLOOKUP(C413,Assumptions!$A$6:$J$7,2,TRUE))</f>
        <v>0</v>
      </c>
      <c r="K413" s="4">
        <f t="shared" si="282"/>
        <v>0</v>
      </c>
      <c r="L413" s="4">
        <f t="shared" si="294"/>
        <v>0</v>
      </c>
      <c r="M413" s="4">
        <f t="shared" si="283"/>
        <v>0</v>
      </c>
      <c r="N413">
        <f t="shared" si="295"/>
        <v>0</v>
      </c>
      <c r="O413" s="21">
        <f t="shared" si="284"/>
        <v>0</v>
      </c>
      <c r="P413">
        <f>IF(B413&gt;$AJ$2,0,HLOOKUP(C413,Assumptions!$A$12:$J$13,2,TRUE))</f>
        <v>0</v>
      </c>
      <c r="Q413">
        <f t="shared" si="285"/>
        <v>0</v>
      </c>
      <c r="R413">
        <f t="shared" si="296"/>
        <v>0</v>
      </c>
      <c r="S413">
        <f t="shared" si="324"/>
        <v>0</v>
      </c>
      <c r="T413">
        <f t="shared" si="325"/>
        <v>0</v>
      </c>
      <c r="U413">
        <f t="shared" si="297"/>
        <v>0</v>
      </c>
      <c r="V413">
        <f t="shared" si="298"/>
        <v>0</v>
      </c>
      <c r="W413">
        <f t="shared" si="299"/>
        <v>0</v>
      </c>
      <c r="X413">
        <f t="shared" si="290"/>
        <v>0</v>
      </c>
      <c r="Y413">
        <f t="shared" si="300"/>
        <v>0</v>
      </c>
      <c r="Z413">
        <f t="shared" si="301"/>
        <v>0</v>
      </c>
      <c r="AA413">
        <f t="shared" si="302"/>
        <v>0</v>
      </c>
      <c r="AB413">
        <f t="shared" si="303"/>
        <v>0</v>
      </c>
      <c r="AC413" s="23">
        <f>IF(B413&gt;$AJ$2,0,HLOOKUP(YEAR(A413),Assumptions!$A$25:$AL$29,4,TRUE)/100)</f>
        <v>0</v>
      </c>
      <c r="AD413">
        <f t="shared" si="304"/>
        <v>0</v>
      </c>
      <c r="AE413">
        <f t="shared" si="305"/>
        <v>0</v>
      </c>
      <c r="AF413">
        <f t="shared" si="306"/>
        <v>0</v>
      </c>
      <c r="AG413">
        <f t="shared" si="307"/>
        <v>0</v>
      </c>
      <c r="AH413">
        <f t="shared" si="308"/>
        <v>0</v>
      </c>
      <c r="AI413">
        <f t="shared" si="309"/>
        <v>0</v>
      </c>
      <c r="AJ413">
        <f t="shared" si="310"/>
        <v>0</v>
      </c>
      <c r="AK413">
        <f t="shared" si="311"/>
        <v>0</v>
      </c>
      <c r="AL413">
        <f t="shared" si="312"/>
        <v>0</v>
      </c>
      <c r="AM413">
        <f t="shared" si="291"/>
        <v>0</v>
      </c>
      <c r="AN413">
        <f>IF($S$2=0,0,(SUMPRODUCT($K$2:$R$2,Assumptions!$B$34:$I$34)/$U$2+$J$2/$U$2*Assumptions!$A$34*G413)*K413*O412)</f>
        <v>0</v>
      </c>
      <c r="AO413">
        <f t="shared" si="313"/>
        <v>0</v>
      </c>
      <c r="AP413">
        <f t="shared" si="314"/>
        <v>0</v>
      </c>
      <c r="AQ413">
        <f>IF(B413&gt;$AJ$2,0,AQ412*(1+Assumptions!$B$43)^(1/12))</f>
        <v>0</v>
      </c>
      <c r="AR413" s="27">
        <f>IF(B413&gt;$AJ$2,0,(O412+R412)*Assumptions!$B$39/12*AQ412+AV413*Assumptions!$B$41/12)</f>
        <v>0</v>
      </c>
      <c r="AS413">
        <f t="shared" si="315"/>
        <v>0</v>
      </c>
      <c r="AT413" s="28">
        <f t="shared" si="316"/>
        <v>0</v>
      </c>
      <c r="AU413">
        <f t="shared" si="317"/>
        <v>0</v>
      </c>
      <c r="AV413" s="28">
        <f t="shared" si="318"/>
        <v>0</v>
      </c>
      <c r="AW413" s="28">
        <f t="shared" si="319"/>
        <v>0</v>
      </c>
      <c r="AX413" s="23">
        <f>HLOOKUP(YEAR(A413),Assumptions!$A$25:$AL$29,2,TRUE)/100</f>
        <v>1.1332999999999999E-2</v>
      </c>
      <c r="AY413" s="29">
        <f>1/(1+HLOOKUP(YEAR(A413),Assumptions!$A$18:$AL$20,3,TRUE))^(1/12)</f>
        <v>0.99906100631170314</v>
      </c>
      <c r="AZ413" s="26">
        <f t="shared" si="320"/>
        <v>0</v>
      </c>
      <c r="BA413">
        <f t="shared" si="321"/>
        <v>0</v>
      </c>
      <c r="BB413">
        <f t="shared" si="322"/>
        <v>0</v>
      </c>
      <c r="BC413">
        <f t="shared" si="323"/>
        <v>0</v>
      </c>
    </row>
    <row r="414" spans="1:55" x14ac:dyDescent="0.2">
      <c r="A414" s="3">
        <f t="shared" si="292"/>
        <v>55365</v>
      </c>
      <c r="B414">
        <f t="shared" si="288"/>
        <v>416</v>
      </c>
      <c r="C414">
        <f t="shared" si="286"/>
        <v>34.583333333333336</v>
      </c>
      <c r="D414">
        <f t="shared" si="287"/>
        <v>0</v>
      </c>
      <c r="E414">
        <f t="shared" si="289"/>
        <v>90</v>
      </c>
      <c r="F414">
        <f>IF(C414&gt;=$T$2,0,VLOOKUP($E414,'Mortality Table'!$A$3:$C$128,2+AF$2,FALSE))</f>
        <v>0</v>
      </c>
      <c r="G414">
        <f>F414*Assumptions!$B$1</f>
        <v>0</v>
      </c>
      <c r="H414">
        <f t="shared" si="293"/>
        <v>0</v>
      </c>
      <c r="I414">
        <f t="shared" si="281"/>
        <v>0</v>
      </c>
      <c r="J414">
        <f>IF(B414&gt;$AJ$2,0,HLOOKUP(C414,Assumptions!$A$6:$J$7,2,TRUE))</f>
        <v>0</v>
      </c>
      <c r="K414" s="4">
        <f t="shared" si="282"/>
        <v>0</v>
      </c>
      <c r="L414" s="4">
        <f t="shared" si="294"/>
        <v>0</v>
      </c>
      <c r="M414" s="4">
        <f t="shared" si="283"/>
        <v>0</v>
      </c>
      <c r="N414">
        <f t="shared" si="295"/>
        <v>0</v>
      </c>
      <c r="O414" s="21">
        <f t="shared" si="284"/>
        <v>0</v>
      </c>
      <c r="P414">
        <f>IF(B414&gt;$AJ$2,0,HLOOKUP(C414,Assumptions!$A$12:$J$13,2,TRUE))</f>
        <v>0</v>
      </c>
      <c r="Q414">
        <f t="shared" si="285"/>
        <v>0</v>
      </c>
      <c r="R414">
        <f t="shared" si="296"/>
        <v>0</v>
      </c>
      <c r="S414">
        <f t="shared" si="324"/>
        <v>0</v>
      </c>
      <c r="T414">
        <f t="shared" si="325"/>
        <v>0</v>
      </c>
      <c r="U414">
        <f t="shared" si="297"/>
        <v>0</v>
      </c>
      <c r="V414">
        <f t="shared" si="298"/>
        <v>0</v>
      </c>
      <c r="W414">
        <f t="shared" si="299"/>
        <v>0</v>
      </c>
      <c r="X414">
        <f t="shared" si="290"/>
        <v>0</v>
      </c>
      <c r="Y414">
        <f t="shared" si="300"/>
        <v>0</v>
      </c>
      <c r="Z414">
        <f t="shared" si="301"/>
        <v>0</v>
      </c>
      <c r="AA414">
        <f t="shared" si="302"/>
        <v>0</v>
      </c>
      <c r="AB414">
        <f t="shared" si="303"/>
        <v>0</v>
      </c>
      <c r="AC414" s="23">
        <f>IF(B414&gt;$AJ$2,0,HLOOKUP(YEAR(A414),Assumptions!$A$25:$AL$29,4,TRUE)/100)</f>
        <v>0</v>
      </c>
      <c r="AD414">
        <f t="shared" si="304"/>
        <v>0</v>
      </c>
      <c r="AE414">
        <f t="shared" si="305"/>
        <v>0</v>
      </c>
      <c r="AF414">
        <f t="shared" si="306"/>
        <v>0</v>
      </c>
      <c r="AG414">
        <f t="shared" si="307"/>
        <v>0</v>
      </c>
      <c r="AH414">
        <f t="shared" si="308"/>
        <v>0</v>
      </c>
      <c r="AI414">
        <f t="shared" si="309"/>
        <v>0</v>
      </c>
      <c r="AJ414">
        <f t="shared" si="310"/>
        <v>0</v>
      </c>
      <c r="AK414">
        <f t="shared" si="311"/>
        <v>0</v>
      </c>
      <c r="AL414">
        <f t="shared" si="312"/>
        <v>0</v>
      </c>
      <c r="AM414">
        <f t="shared" si="291"/>
        <v>0</v>
      </c>
      <c r="AN414">
        <f>IF($S$2=0,0,(SUMPRODUCT($K$2:$R$2,Assumptions!$B$34:$I$34)/$U$2+$J$2/$U$2*Assumptions!$A$34*G414)*K414*O413)</f>
        <v>0</v>
      </c>
      <c r="AO414">
        <f t="shared" si="313"/>
        <v>0</v>
      </c>
      <c r="AP414">
        <f t="shared" si="314"/>
        <v>0</v>
      </c>
      <c r="AQ414">
        <f>IF(B414&gt;$AJ$2,0,AQ413*(1+Assumptions!$B$43)^(1/12))</f>
        <v>0</v>
      </c>
      <c r="AR414" s="27">
        <f>IF(B414&gt;$AJ$2,0,(O413+R413)*Assumptions!$B$39/12*AQ413+AV414*Assumptions!$B$41/12)</f>
        <v>0</v>
      </c>
      <c r="AS414">
        <f t="shared" si="315"/>
        <v>0</v>
      </c>
      <c r="AT414" s="28">
        <f t="shared" si="316"/>
        <v>0</v>
      </c>
      <c r="AU414">
        <f t="shared" si="317"/>
        <v>0</v>
      </c>
      <c r="AV414" s="28">
        <f t="shared" si="318"/>
        <v>0</v>
      </c>
      <c r="AW414" s="28">
        <f t="shared" si="319"/>
        <v>0</v>
      </c>
      <c r="AX414" s="23">
        <f>HLOOKUP(YEAR(A414),Assumptions!$A$25:$AL$29,2,TRUE)/100</f>
        <v>1.1332999999999999E-2</v>
      </c>
      <c r="AY414" s="29">
        <f>1/(1+HLOOKUP(YEAR(A414),Assumptions!$A$18:$AL$20,3,TRUE))^(1/12)</f>
        <v>0.99906100631170314</v>
      </c>
      <c r="AZ414" s="26">
        <f t="shared" si="320"/>
        <v>0</v>
      </c>
      <c r="BA414">
        <f t="shared" si="321"/>
        <v>0</v>
      </c>
      <c r="BB414">
        <f t="shared" si="322"/>
        <v>0</v>
      </c>
      <c r="BC414">
        <f t="shared" si="323"/>
        <v>0</v>
      </c>
    </row>
    <row r="415" spans="1:55" x14ac:dyDescent="0.2">
      <c r="A415" s="3">
        <f t="shared" si="292"/>
        <v>55396</v>
      </c>
      <c r="B415">
        <f t="shared" si="288"/>
        <v>417</v>
      </c>
      <c r="C415">
        <f t="shared" si="286"/>
        <v>34.666666666666664</v>
      </c>
      <c r="D415">
        <f t="shared" si="287"/>
        <v>0</v>
      </c>
      <c r="E415">
        <f t="shared" si="289"/>
        <v>90</v>
      </c>
      <c r="F415">
        <f>IF(C415&gt;=$T$2,0,VLOOKUP($E415,'Mortality Table'!$A$3:$C$128,2+AF$2,FALSE))</f>
        <v>0</v>
      </c>
      <c r="G415">
        <f>F415*Assumptions!$B$1</f>
        <v>0</v>
      </c>
      <c r="H415">
        <f t="shared" si="293"/>
        <v>0</v>
      </c>
      <c r="I415">
        <f t="shared" si="281"/>
        <v>0</v>
      </c>
      <c r="J415">
        <f>IF(B415&gt;$AJ$2,0,HLOOKUP(C415,Assumptions!$A$6:$J$7,2,TRUE))</f>
        <v>0</v>
      </c>
      <c r="K415" s="4">
        <f t="shared" si="282"/>
        <v>0</v>
      </c>
      <c r="L415" s="4">
        <f t="shared" si="294"/>
        <v>0</v>
      </c>
      <c r="M415" s="4">
        <f t="shared" si="283"/>
        <v>0</v>
      </c>
      <c r="N415">
        <f t="shared" si="295"/>
        <v>0</v>
      </c>
      <c r="O415" s="21">
        <f t="shared" si="284"/>
        <v>0</v>
      </c>
      <c r="P415">
        <f>IF(B415&gt;$AJ$2,0,HLOOKUP(C415,Assumptions!$A$12:$J$13,2,TRUE))</f>
        <v>0</v>
      </c>
      <c r="Q415">
        <f t="shared" si="285"/>
        <v>0</v>
      </c>
      <c r="R415">
        <f t="shared" si="296"/>
        <v>0</v>
      </c>
      <c r="S415">
        <f t="shared" si="324"/>
        <v>0</v>
      </c>
      <c r="T415">
        <f t="shared" si="325"/>
        <v>0</v>
      </c>
      <c r="U415">
        <f t="shared" si="297"/>
        <v>0</v>
      </c>
      <c r="V415">
        <f t="shared" si="298"/>
        <v>0</v>
      </c>
      <c r="W415">
        <f t="shared" si="299"/>
        <v>0</v>
      </c>
      <c r="X415">
        <f t="shared" si="290"/>
        <v>0</v>
      </c>
      <c r="Y415">
        <f t="shared" si="300"/>
        <v>0</v>
      </c>
      <c r="Z415">
        <f t="shared" si="301"/>
        <v>0</v>
      </c>
      <c r="AA415">
        <f t="shared" si="302"/>
        <v>0</v>
      </c>
      <c r="AB415">
        <f t="shared" si="303"/>
        <v>0</v>
      </c>
      <c r="AC415" s="23">
        <f>IF(B415&gt;$AJ$2,0,HLOOKUP(YEAR(A415),Assumptions!$A$25:$AL$29,4,TRUE)/100)</f>
        <v>0</v>
      </c>
      <c r="AD415">
        <f t="shared" si="304"/>
        <v>0</v>
      </c>
      <c r="AE415">
        <f t="shared" si="305"/>
        <v>0</v>
      </c>
      <c r="AF415">
        <f t="shared" si="306"/>
        <v>0</v>
      </c>
      <c r="AG415">
        <f t="shared" si="307"/>
        <v>0</v>
      </c>
      <c r="AH415">
        <f t="shared" si="308"/>
        <v>0</v>
      </c>
      <c r="AI415">
        <f t="shared" si="309"/>
        <v>0</v>
      </c>
      <c r="AJ415">
        <f t="shared" si="310"/>
        <v>0</v>
      </c>
      <c r="AK415">
        <f t="shared" si="311"/>
        <v>0</v>
      </c>
      <c r="AL415">
        <f t="shared" si="312"/>
        <v>0</v>
      </c>
      <c r="AM415">
        <f t="shared" si="291"/>
        <v>0</v>
      </c>
      <c r="AN415">
        <f>IF($S$2=0,0,(SUMPRODUCT($K$2:$R$2,Assumptions!$B$34:$I$34)/$U$2+$J$2/$U$2*Assumptions!$A$34*G415)*K415*O414)</f>
        <v>0</v>
      </c>
      <c r="AO415">
        <f t="shared" si="313"/>
        <v>0</v>
      </c>
      <c r="AP415">
        <f t="shared" si="314"/>
        <v>0</v>
      </c>
      <c r="AQ415">
        <f>IF(B415&gt;$AJ$2,0,AQ414*(1+Assumptions!$B$43)^(1/12))</f>
        <v>0</v>
      </c>
      <c r="AR415" s="27">
        <f>IF(B415&gt;$AJ$2,0,(O414+R414)*Assumptions!$B$39/12*AQ414+AV415*Assumptions!$B$41/12)</f>
        <v>0</v>
      </c>
      <c r="AS415">
        <f t="shared" si="315"/>
        <v>0</v>
      </c>
      <c r="AT415" s="28">
        <f t="shared" si="316"/>
        <v>0</v>
      </c>
      <c r="AU415">
        <f t="shared" si="317"/>
        <v>0</v>
      </c>
      <c r="AV415" s="28">
        <f t="shared" si="318"/>
        <v>0</v>
      </c>
      <c r="AW415" s="28">
        <f t="shared" si="319"/>
        <v>0</v>
      </c>
      <c r="AX415" s="23">
        <f>HLOOKUP(YEAR(A415),Assumptions!$A$25:$AL$29,2,TRUE)/100</f>
        <v>1.1332999999999999E-2</v>
      </c>
      <c r="AY415" s="29">
        <f>1/(1+HLOOKUP(YEAR(A415),Assumptions!$A$18:$AL$20,3,TRUE))^(1/12)</f>
        <v>0.99906100631170314</v>
      </c>
      <c r="AZ415" s="26">
        <f t="shared" si="320"/>
        <v>0</v>
      </c>
      <c r="BA415">
        <f t="shared" si="321"/>
        <v>0</v>
      </c>
      <c r="BB415">
        <f t="shared" si="322"/>
        <v>0</v>
      </c>
      <c r="BC415">
        <f t="shared" si="323"/>
        <v>0</v>
      </c>
    </row>
    <row r="416" spans="1:55" x14ac:dyDescent="0.2">
      <c r="A416" s="3">
        <f t="shared" si="292"/>
        <v>55426</v>
      </c>
      <c r="B416">
        <f t="shared" si="288"/>
        <v>418</v>
      </c>
      <c r="C416">
        <f t="shared" si="286"/>
        <v>34.75</v>
      </c>
      <c r="D416">
        <f t="shared" si="287"/>
        <v>0</v>
      </c>
      <c r="E416">
        <f t="shared" si="289"/>
        <v>90</v>
      </c>
      <c r="F416">
        <f>IF(C416&gt;=$T$2,0,VLOOKUP($E416,'Mortality Table'!$A$3:$C$128,2+AF$2,FALSE))</f>
        <v>0</v>
      </c>
      <c r="G416">
        <f>F416*Assumptions!$B$1</f>
        <v>0</v>
      </c>
      <c r="H416">
        <f t="shared" si="293"/>
        <v>0</v>
      </c>
      <c r="I416">
        <f t="shared" si="281"/>
        <v>0</v>
      </c>
      <c r="J416">
        <f>IF(B416&gt;$AJ$2,0,HLOOKUP(C416,Assumptions!$A$6:$J$7,2,TRUE))</f>
        <v>0</v>
      </c>
      <c r="K416" s="4">
        <f t="shared" si="282"/>
        <v>0</v>
      </c>
      <c r="L416" s="4">
        <f t="shared" si="294"/>
        <v>0</v>
      </c>
      <c r="M416" s="4">
        <f t="shared" si="283"/>
        <v>0</v>
      </c>
      <c r="N416">
        <f t="shared" si="295"/>
        <v>0</v>
      </c>
      <c r="O416" s="21">
        <f t="shared" si="284"/>
        <v>0</v>
      </c>
      <c r="P416">
        <f>IF(B416&gt;$AJ$2,0,HLOOKUP(C416,Assumptions!$A$12:$J$13,2,TRUE))</f>
        <v>0</v>
      </c>
      <c r="Q416">
        <f t="shared" si="285"/>
        <v>0</v>
      </c>
      <c r="R416">
        <f t="shared" si="296"/>
        <v>0</v>
      </c>
      <c r="S416">
        <f t="shared" si="324"/>
        <v>0</v>
      </c>
      <c r="T416">
        <f t="shared" si="325"/>
        <v>0</v>
      </c>
      <c r="U416">
        <f t="shared" si="297"/>
        <v>0</v>
      </c>
      <c r="V416">
        <f t="shared" si="298"/>
        <v>0</v>
      </c>
      <c r="W416">
        <f t="shared" si="299"/>
        <v>0</v>
      </c>
      <c r="X416">
        <f t="shared" si="290"/>
        <v>0</v>
      </c>
      <c r="Y416">
        <f t="shared" si="300"/>
        <v>0</v>
      </c>
      <c r="Z416">
        <f t="shared" si="301"/>
        <v>0</v>
      </c>
      <c r="AA416">
        <f t="shared" si="302"/>
        <v>0</v>
      </c>
      <c r="AB416">
        <f t="shared" si="303"/>
        <v>0</v>
      </c>
      <c r="AC416" s="23">
        <f>IF(B416&gt;$AJ$2,0,HLOOKUP(YEAR(A416),Assumptions!$A$25:$AL$29,4,TRUE)/100)</f>
        <v>0</v>
      </c>
      <c r="AD416">
        <f t="shared" si="304"/>
        <v>0</v>
      </c>
      <c r="AE416">
        <f t="shared" si="305"/>
        <v>0</v>
      </c>
      <c r="AF416">
        <f t="shared" si="306"/>
        <v>0</v>
      </c>
      <c r="AG416">
        <f t="shared" si="307"/>
        <v>0</v>
      </c>
      <c r="AH416">
        <f t="shared" si="308"/>
        <v>0</v>
      </c>
      <c r="AI416">
        <f t="shared" si="309"/>
        <v>0</v>
      </c>
      <c r="AJ416">
        <f t="shared" si="310"/>
        <v>0</v>
      </c>
      <c r="AK416">
        <f t="shared" si="311"/>
        <v>0</v>
      </c>
      <c r="AL416">
        <f t="shared" si="312"/>
        <v>0</v>
      </c>
      <c r="AM416">
        <f t="shared" si="291"/>
        <v>0</v>
      </c>
      <c r="AN416">
        <f>IF($S$2=0,0,(SUMPRODUCT($K$2:$R$2,Assumptions!$B$34:$I$34)/$U$2+$J$2/$U$2*Assumptions!$A$34*G416)*K416*O415)</f>
        <v>0</v>
      </c>
      <c r="AO416">
        <f t="shared" si="313"/>
        <v>0</v>
      </c>
      <c r="AP416">
        <f t="shared" si="314"/>
        <v>0</v>
      </c>
      <c r="AQ416">
        <f>IF(B416&gt;$AJ$2,0,AQ415*(1+Assumptions!$B$43)^(1/12))</f>
        <v>0</v>
      </c>
      <c r="AR416" s="27">
        <f>IF(B416&gt;$AJ$2,0,(O415+R415)*Assumptions!$B$39/12*AQ415+AV416*Assumptions!$B$41/12)</f>
        <v>0</v>
      </c>
      <c r="AS416">
        <f t="shared" si="315"/>
        <v>0</v>
      </c>
      <c r="AT416" s="28">
        <f t="shared" si="316"/>
        <v>0</v>
      </c>
      <c r="AU416">
        <f t="shared" si="317"/>
        <v>0</v>
      </c>
      <c r="AV416" s="28">
        <f t="shared" si="318"/>
        <v>0</v>
      </c>
      <c r="AW416" s="28">
        <f t="shared" si="319"/>
        <v>0</v>
      </c>
      <c r="AX416" s="23">
        <f>HLOOKUP(YEAR(A416),Assumptions!$A$25:$AL$29,2,TRUE)/100</f>
        <v>1.1332999999999999E-2</v>
      </c>
      <c r="AY416" s="29">
        <f>1/(1+HLOOKUP(YEAR(A416),Assumptions!$A$18:$AL$20,3,TRUE))^(1/12)</f>
        <v>0.99906100631170314</v>
      </c>
      <c r="AZ416" s="26">
        <f t="shared" si="320"/>
        <v>0</v>
      </c>
      <c r="BA416">
        <f t="shared" si="321"/>
        <v>0</v>
      </c>
      <c r="BB416">
        <f t="shared" si="322"/>
        <v>0</v>
      </c>
      <c r="BC416">
        <f t="shared" si="323"/>
        <v>0</v>
      </c>
    </row>
    <row r="417" spans="1:55" x14ac:dyDescent="0.2">
      <c r="A417" s="3">
        <f t="shared" si="292"/>
        <v>55457</v>
      </c>
      <c r="B417">
        <f t="shared" si="288"/>
        <v>419</v>
      </c>
      <c r="C417">
        <f t="shared" si="286"/>
        <v>34.833333333333336</v>
      </c>
      <c r="D417">
        <f t="shared" si="287"/>
        <v>0</v>
      </c>
      <c r="E417">
        <f t="shared" si="289"/>
        <v>90</v>
      </c>
      <c r="F417">
        <f>IF(C417&gt;=$T$2,0,VLOOKUP($E417,'Mortality Table'!$A$3:$C$128,2+AF$2,FALSE))</f>
        <v>0</v>
      </c>
      <c r="G417">
        <f>F417*Assumptions!$B$1</f>
        <v>0</v>
      </c>
      <c r="H417">
        <f t="shared" si="293"/>
        <v>0</v>
      </c>
      <c r="I417">
        <f t="shared" ref="I417:I420" si="326">H417*O416*(1-M417/2)</f>
        <v>0</v>
      </c>
      <c r="J417">
        <f>IF(B417&gt;$AJ$2,0,HLOOKUP(C417,Assumptions!$A$6:$J$7,2,TRUE))</f>
        <v>0</v>
      </c>
      <c r="K417" s="4">
        <f t="shared" ref="K417:K420" si="327">IF(B417&gt;$AJ$2,0,IF(($U$2*(B417+11))/12-INT(($U$2*(B417+11))/12)=0,1,0))</f>
        <v>0</v>
      </c>
      <c r="L417" s="4">
        <f t="shared" si="294"/>
        <v>0</v>
      </c>
      <c r="M417" s="4">
        <f t="shared" ref="M417:M420" si="328">(1-(1-J417)^L417)</f>
        <v>0</v>
      </c>
      <c r="N417">
        <f t="shared" si="295"/>
        <v>0</v>
      </c>
      <c r="O417" s="21">
        <f t="shared" ref="O417:O420" si="329">IF(B417&gt;$AJ$2,0,O416-I417-N417-Q417)</f>
        <v>0</v>
      </c>
      <c r="P417">
        <f>IF(B417&gt;$AJ$2,0,HLOOKUP(C417,Assumptions!$A$12:$J$13,2,TRUE))</f>
        <v>0</v>
      </c>
      <c r="Q417">
        <f t="shared" ref="Q417:Q420" si="330">(1-(1-P417)^L417)*(O416-I417-N417)</f>
        <v>0</v>
      </c>
      <c r="R417">
        <f t="shared" si="296"/>
        <v>0</v>
      </c>
      <c r="S417">
        <f t="shared" si="324"/>
        <v>0</v>
      </c>
      <c r="T417">
        <f t="shared" si="325"/>
        <v>0</v>
      </c>
      <c r="U417">
        <f t="shared" si="297"/>
        <v>0</v>
      </c>
      <c r="V417">
        <f t="shared" si="298"/>
        <v>0</v>
      </c>
      <c r="W417">
        <f t="shared" si="299"/>
        <v>0</v>
      </c>
      <c r="X417">
        <f t="shared" si="290"/>
        <v>0</v>
      </c>
      <c r="Y417">
        <f t="shared" si="300"/>
        <v>0</v>
      </c>
      <c r="Z417">
        <f t="shared" si="301"/>
        <v>0</v>
      </c>
      <c r="AA417">
        <f t="shared" si="302"/>
        <v>0</v>
      </c>
      <c r="AB417">
        <f t="shared" si="303"/>
        <v>0</v>
      </c>
      <c r="AC417" s="23">
        <f>IF(B417&gt;$AJ$2,0,HLOOKUP(YEAR(A417),Assumptions!$A$25:$AL$29,4,TRUE)/100)</f>
        <v>0</v>
      </c>
      <c r="AD417">
        <f t="shared" si="304"/>
        <v>0</v>
      </c>
      <c r="AE417">
        <f t="shared" si="305"/>
        <v>0</v>
      </c>
      <c r="AF417">
        <f t="shared" si="306"/>
        <v>0</v>
      </c>
      <c r="AG417">
        <f t="shared" si="307"/>
        <v>0</v>
      </c>
      <c r="AH417">
        <f t="shared" si="308"/>
        <v>0</v>
      </c>
      <c r="AI417">
        <f t="shared" si="309"/>
        <v>0</v>
      </c>
      <c r="AJ417">
        <f t="shared" si="310"/>
        <v>0</v>
      </c>
      <c r="AK417">
        <f t="shared" si="311"/>
        <v>0</v>
      </c>
      <c r="AL417">
        <f t="shared" si="312"/>
        <v>0</v>
      </c>
      <c r="AM417">
        <f t="shared" si="291"/>
        <v>0</v>
      </c>
      <c r="AN417">
        <f>IF($S$2=0,0,(SUMPRODUCT($K$2:$R$2,Assumptions!$B$34:$I$34)/$U$2+$J$2/$U$2*Assumptions!$A$34*G417)*K417*O416)</f>
        <v>0</v>
      </c>
      <c r="AO417">
        <f t="shared" si="313"/>
        <v>0</v>
      </c>
      <c r="AP417">
        <f t="shared" si="314"/>
        <v>0</v>
      </c>
      <c r="AQ417">
        <f>IF(B417&gt;$AJ$2,0,AQ416*(1+Assumptions!$B$43)^(1/12))</f>
        <v>0</v>
      </c>
      <c r="AR417" s="27">
        <f>IF(B417&gt;$AJ$2,0,(O416+R416)*Assumptions!$B$39/12*AQ416+AV417*Assumptions!$B$41/12)</f>
        <v>0</v>
      </c>
      <c r="AS417">
        <f t="shared" si="315"/>
        <v>0</v>
      </c>
      <c r="AT417" s="28">
        <f t="shared" si="316"/>
        <v>0</v>
      </c>
      <c r="AU417">
        <f t="shared" si="317"/>
        <v>0</v>
      </c>
      <c r="AV417" s="28">
        <f t="shared" si="318"/>
        <v>0</v>
      </c>
      <c r="AW417" s="28">
        <f t="shared" si="319"/>
        <v>0</v>
      </c>
      <c r="AX417" s="23">
        <f>HLOOKUP(YEAR(A417),Assumptions!$A$25:$AL$29,2,TRUE)/100</f>
        <v>1.1332999999999999E-2</v>
      </c>
      <c r="AY417" s="29">
        <f>1/(1+HLOOKUP(YEAR(A417),Assumptions!$A$18:$AL$20,3,TRUE))^(1/12)</f>
        <v>0.99906100631170314</v>
      </c>
      <c r="AZ417" s="26">
        <f t="shared" si="320"/>
        <v>0</v>
      </c>
      <c r="BA417">
        <f t="shared" si="321"/>
        <v>0</v>
      </c>
      <c r="BB417">
        <f t="shared" si="322"/>
        <v>0</v>
      </c>
      <c r="BC417">
        <f t="shared" si="323"/>
        <v>0</v>
      </c>
    </row>
    <row r="418" spans="1:55" x14ac:dyDescent="0.2">
      <c r="A418" s="3">
        <f t="shared" si="292"/>
        <v>55487</v>
      </c>
      <c r="B418">
        <f t="shared" si="288"/>
        <v>420</v>
      </c>
      <c r="C418">
        <f t="shared" ref="C418:C420" si="331">(B418+11)/12-1</f>
        <v>34.916666666666664</v>
      </c>
      <c r="D418">
        <f t="shared" ref="D418:D420" si="332">IF(C418-INT(C418)=0,1,0)</f>
        <v>0</v>
      </c>
      <c r="E418">
        <f t="shared" si="289"/>
        <v>90</v>
      </c>
      <c r="F418">
        <f>IF(C418&gt;=$T$2,0,VLOOKUP($E418,'Mortality Table'!$A$3:$C$128,2+AF$2,FALSE))</f>
        <v>0</v>
      </c>
      <c r="G418">
        <f>F418*Assumptions!$B$1</f>
        <v>0</v>
      </c>
      <c r="H418">
        <f t="shared" si="293"/>
        <v>0</v>
      </c>
      <c r="I418">
        <f t="shared" si="326"/>
        <v>0</v>
      </c>
      <c r="J418">
        <f>IF(B418&gt;$AJ$2,0,HLOOKUP(C418,Assumptions!$A$6:$J$7,2,TRUE))</f>
        <v>0</v>
      </c>
      <c r="K418" s="4">
        <f t="shared" si="327"/>
        <v>0</v>
      </c>
      <c r="L418" s="4">
        <f t="shared" si="294"/>
        <v>0</v>
      </c>
      <c r="M418" s="4">
        <f t="shared" si="328"/>
        <v>0</v>
      </c>
      <c r="N418">
        <f t="shared" si="295"/>
        <v>0</v>
      </c>
      <c r="O418" s="21">
        <f t="shared" si="329"/>
        <v>0</v>
      </c>
      <c r="P418">
        <f>IF(B418&gt;$AJ$2,0,HLOOKUP(C418,Assumptions!$A$12:$J$13,2,TRUE))</f>
        <v>0</v>
      </c>
      <c r="Q418">
        <f t="shared" si="330"/>
        <v>0</v>
      </c>
      <c r="R418">
        <f t="shared" si="296"/>
        <v>0</v>
      </c>
      <c r="S418">
        <f t="shared" si="324"/>
        <v>0</v>
      </c>
      <c r="T418">
        <f t="shared" si="325"/>
        <v>0</v>
      </c>
      <c r="U418">
        <f t="shared" si="297"/>
        <v>0</v>
      </c>
      <c r="V418">
        <f t="shared" si="298"/>
        <v>0</v>
      </c>
      <c r="W418">
        <f t="shared" si="299"/>
        <v>0</v>
      </c>
      <c r="X418">
        <f t="shared" si="290"/>
        <v>0</v>
      </c>
      <c r="Y418">
        <f t="shared" si="300"/>
        <v>0</v>
      </c>
      <c r="Z418">
        <f t="shared" si="301"/>
        <v>0</v>
      </c>
      <c r="AA418">
        <f t="shared" si="302"/>
        <v>0</v>
      </c>
      <c r="AB418">
        <f t="shared" si="303"/>
        <v>0</v>
      </c>
      <c r="AC418" s="23">
        <f>IF(B418&gt;$AJ$2,0,HLOOKUP(YEAR(A418),Assumptions!$A$25:$AL$29,4,TRUE)/100)</f>
        <v>0</v>
      </c>
      <c r="AD418">
        <f t="shared" si="304"/>
        <v>0</v>
      </c>
      <c r="AE418">
        <f t="shared" si="305"/>
        <v>0</v>
      </c>
      <c r="AF418">
        <f t="shared" si="306"/>
        <v>0</v>
      </c>
      <c r="AG418">
        <f t="shared" si="307"/>
        <v>0</v>
      </c>
      <c r="AH418">
        <f t="shared" si="308"/>
        <v>0</v>
      </c>
      <c r="AI418">
        <f t="shared" si="309"/>
        <v>0</v>
      </c>
      <c r="AJ418">
        <f t="shared" si="310"/>
        <v>0</v>
      </c>
      <c r="AK418">
        <f t="shared" si="311"/>
        <v>0</v>
      </c>
      <c r="AL418">
        <f t="shared" si="312"/>
        <v>0</v>
      </c>
      <c r="AM418">
        <f t="shared" si="291"/>
        <v>0</v>
      </c>
      <c r="AN418">
        <f>IF($S$2=0,0,(SUMPRODUCT($K$2:$R$2,Assumptions!$B$34:$I$34)/$U$2+$J$2/$U$2*Assumptions!$A$34*G418)*K418*O417)</f>
        <v>0</v>
      </c>
      <c r="AO418">
        <f t="shared" si="313"/>
        <v>0</v>
      </c>
      <c r="AP418">
        <f t="shared" si="314"/>
        <v>0</v>
      </c>
      <c r="AQ418">
        <f>IF(B418&gt;$AJ$2,0,AQ417*(1+Assumptions!$B$43)^(1/12))</f>
        <v>0</v>
      </c>
      <c r="AR418" s="27">
        <f>IF(B418&gt;$AJ$2,0,(O417+R417)*Assumptions!$B$39/12*AQ417+AV418*Assumptions!$B$41/12)</f>
        <v>0</v>
      </c>
      <c r="AS418">
        <f t="shared" si="315"/>
        <v>0</v>
      </c>
      <c r="AT418" s="28">
        <f t="shared" si="316"/>
        <v>0</v>
      </c>
      <c r="AU418">
        <f t="shared" si="317"/>
        <v>0</v>
      </c>
      <c r="AV418" s="28">
        <f t="shared" si="318"/>
        <v>0</v>
      </c>
      <c r="AW418" s="28">
        <f t="shared" si="319"/>
        <v>0</v>
      </c>
      <c r="AX418" s="23">
        <f>HLOOKUP(YEAR(A418),Assumptions!$A$25:$AL$29,2,TRUE)/100</f>
        <v>1.1332999999999999E-2</v>
      </c>
      <c r="AY418" s="29">
        <f>1/(1+HLOOKUP(YEAR(A418),Assumptions!$A$18:$AL$20,3,TRUE))^(1/12)</f>
        <v>0.99906100631170314</v>
      </c>
      <c r="AZ418" s="26">
        <f t="shared" si="320"/>
        <v>0</v>
      </c>
      <c r="BA418">
        <f t="shared" si="321"/>
        <v>0</v>
      </c>
      <c r="BB418">
        <f t="shared" si="322"/>
        <v>0</v>
      </c>
      <c r="BC418">
        <f t="shared" si="323"/>
        <v>0</v>
      </c>
    </row>
    <row r="419" spans="1:55" x14ac:dyDescent="0.2">
      <c r="A419" s="3">
        <f t="shared" si="292"/>
        <v>55518</v>
      </c>
      <c r="B419">
        <f t="shared" si="288"/>
        <v>421</v>
      </c>
      <c r="C419">
        <f t="shared" si="331"/>
        <v>35</v>
      </c>
      <c r="D419">
        <f t="shared" si="332"/>
        <v>1</v>
      </c>
      <c r="E419">
        <f t="shared" si="289"/>
        <v>91</v>
      </c>
      <c r="F419">
        <f>IF(C419&gt;=$T$2,0,VLOOKUP($E419,'Mortality Table'!$A$3:$C$128,2+AF$2,FALSE))</f>
        <v>0</v>
      </c>
      <c r="G419">
        <f>F419*Assumptions!$B$1</f>
        <v>0</v>
      </c>
      <c r="H419">
        <f t="shared" si="293"/>
        <v>0</v>
      </c>
      <c r="I419">
        <f t="shared" si="326"/>
        <v>0</v>
      </c>
      <c r="J419">
        <f>IF(B419&gt;$AJ$2,0,HLOOKUP(C419,Assumptions!$A$6:$J$7,2,TRUE))</f>
        <v>0</v>
      </c>
      <c r="K419" s="4">
        <f t="shared" si="327"/>
        <v>0</v>
      </c>
      <c r="L419" s="4">
        <f t="shared" si="294"/>
        <v>0</v>
      </c>
      <c r="M419" s="4">
        <f t="shared" si="328"/>
        <v>0</v>
      </c>
      <c r="N419">
        <f t="shared" si="295"/>
        <v>0</v>
      </c>
      <c r="O419" s="21">
        <f t="shared" si="329"/>
        <v>0</v>
      </c>
      <c r="P419">
        <f>IF(B419&gt;$AJ$2,0,HLOOKUP(C419,Assumptions!$A$12:$J$13,2,TRUE))</f>
        <v>0</v>
      </c>
      <c r="Q419">
        <f t="shared" si="330"/>
        <v>0</v>
      </c>
      <c r="R419">
        <f t="shared" si="296"/>
        <v>0</v>
      </c>
      <c r="S419">
        <f t="shared" si="324"/>
        <v>0</v>
      </c>
      <c r="T419">
        <f t="shared" si="325"/>
        <v>0</v>
      </c>
      <c r="U419">
        <f t="shared" si="297"/>
        <v>0</v>
      </c>
      <c r="V419">
        <f t="shared" si="298"/>
        <v>0</v>
      </c>
      <c r="W419">
        <f t="shared" si="299"/>
        <v>0</v>
      </c>
      <c r="X419">
        <f t="shared" si="290"/>
        <v>0</v>
      </c>
      <c r="Y419">
        <f t="shared" si="300"/>
        <v>0</v>
      </c>
      <c r="Z419">
        <f t="shared" si="301"/>
        <v>0</v>
      </c>
      <c r="AA419">
        <f t="shared" si="302"/>
        <v>0</v>
      </c>
      <c r="AB419">
        <f t="shared" si="303"/>
        <v>0</v>
      </c>
      <c r="AC419" s="23">
        <f>IF(B419&gt;$AJ$2,0,HLOOKUP(YEAR(A419),Assumptions!$A$25:$AL$29,4,TRUE)/100)</f>
        <v>0</v>
      </c>
      <c r="AD419">
        <f t="shared" si="304"/>
        <v>0</v>
      </c>
      <c r="AE419">
        <f t="shared" si="305"/>
        <v>0</v>
      </c>
      <c r="AF419">
        <f t="shared" si="306"/>
        <v>0</v>
      </c>
      <c r="AG419">
        <f t="shared" si="307"/>
        <v>0</v>
      </c>
      <c r="AH419">
        <f t="shared" si="308"/>
        <v>0</v>
      </c>
      <c r="AI419">
        <f t="shared" si="309"/>
        <v>0</v>
      </c>
      <c r="AJ419">
        <f t="shared" si="310"/>
        <v>0</v>
      </c>
      <c r="AK419">
        <f t="shared" si="311"/>
        <v>0</v>
      </c>
      <c r="AL419">
        <f t="shared" si="312"/>
        <v>0</v>
      </c>
      <c r="AM419">
        <f t="shared" si="291"/>
        <v>0</v>
      </c>
      <c r="AN419">
        <f>IF($S$2=0,0,(SUMPRODUCT($K$2:$R$2,Assumptions!$B$34:$I$34)/$U$2+$J$2/$U$2*Assumptions!$A$34*G419)*K419*O418)</f>
        <v>0</v>
      </c>
      <c r="AO419">
        <f t="shared" si="313"/>
        <v>0</v>
      </c>
      <c r="AP419">
        <f t="shared" si="314"/>
        <v>0</v>
      </c>
      <c r="AQ419">
        <f>IF(B419&gt;$AJ$2,0,AQ418*(1+Assumptions!$B$43)^(1/12))</f>
        <v>0</v>
      </c>
      <c r="AR419" s="27">
        <f>IF(B419&gt;$AJ$2,0,(O418+R418)*Assumptions!$B$39/12*AQ418+AV419*Assumptions!$B$41/12)</f>
        <v>0</v>
      </c>
      <c r="AS419">
        <f t="shared" si="315"/>
        <v>0</v>
      </c>
      <c r="AT419" s="28">
        <f t="shared" si="316"/>
        <v>0</v>
      </c>
      <c r="AU419">
        <f t="shared" si="317"/>
        <v>0</v>
      </c>
      <c r="AV419" s="28">
        <f t="shared" si="318"/>
        <v>0</v>
      </c>
      <c r="AW419" s="28">
        <f t="shared" si="319"/>
        <v>0</v>
      </c>
      <c r="AX419" s="23">
        <f>HLOOKUP(YEAR(A419),Assumptions!$A$25:$AL$29,2,TRUE)/100</f>
        <v>1.1332999999999999E-2</v>
      </c>
      <c r="AY419" s="29">
        <f>1/(1+HLOOKUP(YEAR(A419),Assumptions!$A$18:$AL$20,3,TRUE))^(1/12)</f>
        <v>0.99906100631170314</v>
      </c>
      <c r="AZ419" s="26">
        <f t="shared" si="320"/>
        <v>0</v>
      </c>
      <c r="BA419">
        <f t="shared" si="321"/>
        <v>0</v>
      </c>
      <c r="BB419">
        <f t="shared" si="322"/>
        <v>0</v>
      </c>
      <c r="BC419">
        <f t="shared" si="323"/>
        <v>0</v>
      </c>
    </row>
    <row r="420" spans="1:55" x14ac:dyDescent="0.2">
      <c r="A420" s="3">
        <f t="shared" si="292"/>
        <v>55549</v>
      </c>
      <c r="B420">
        <f t="shared" si="288"/>
        <v>422</v>
      </c>
      <c r="C420">
        <f t="shared" si="331"/>
        <v>35.083333333333336</v>
      </c>
      <c r="D420">
        <f t="shared" si="332"/>
        <v>0</v>
      </c>
      <c r="E420">
        <f t="shared" si="289"/>
        <v>91</v>
      </c>
      <c r="F420">
        <f>IF(C420&gt;=$T$2,0,VLOOKUP($E420,'Mortality Table'!$A$3:$C$128,2+AF$2,FALSE))</f>
        <v>0</v>
      </c>
      <c r="G420">
        <f>F420*Assumptions!$B$1</f>
        <v>0</v>
      </c>
      <c r="H420">
        <f t="shared" si="293"/>
        <v>0</v>
      </c>
      <c r="I420">
        <f t="shared" si="326"/>
        <v>0</v>
      </c>
      <c r="J420">
        <f>IF(B420&gt;$AJ$2,0,HLOOKUP(C420,Assumptions!$A$6:$J$7,2,TRUE))</f>
        <v>0</v>
      </c>
      <c r="K420" s="4">
        <f t="shared" si="327"/>
        <v>0</v>
      </c>
      <c r="L420" s="4">
        <f t="shared" si="294"/>
        <v>0</v>
      </c>
      <c r="M420" s="4">
        <f t="shared" si="328"/>
        <v>0</v>
      </c>
      <c r="N420">
        <f t="shared" si="295"/>
        <v>0</v>
      </c>
      <c r="O420" s="21">
        <f t="shared" si="329"/>
        <v>0</v>
      </c>
      <c r="P420">
        <f>IF(B420&gt;$AJ$2,0,HLOOKUP(C420,Assumptions!$A$12:$J$13,2,TRUE))</f>
        <v>0</v>
      </c>
      <c r="Q420">
        <f t="shared" si="330"/>
        <v>0</v>
      </c>
      <c r="R420">
        <f t="shared" si="296"/>
        <v>0</v>
      </c>
      <c r="S420">
        <f t="shared" si="324"/>
        <v>0</v>
      </c>
      <c r="T420">
        <f t="shared" si="325"/>
        <v>0</v>
      </c>
      <c r="U420">
        <f t="shared" si="297"/>
        <v>0</v>
      </c>
      <c r="V420">
        <f t="shared" si="298"/>
        <v>0</v>
      </c>
      <c r="W420">
        <f t="shared" si="299"/>
        <v>0</v>
      </c>
      <c r="X420">
        <f t="shared" si="290"/>
        <v>0</v>
      </c>
      <c r="Y420">
        <f t="shared" si="300"/>
        <v>0</v>
      </c>
      <c r="Z420">
        <f t="shared" si="301"/>
        <v>0</v>
      </c>
      <c r="AA420">
        <f t="shared" si="302"/>
        <v>0</v>
      </c>
      <c r="AB420">
        <f t="shared" si="303"/>
        <v>0</v>
      </c>
      <c r="AC420" s="23">
        <f>IF(B420&gt;$AJ$2,0,HLOOKUP(YEAR(A420),Assumptions!$A$25:$AL$29,4,TRUE)/100)</f>
        <v>0</v>
      </c>
      <c r="AD420">
        <f t="shared" si="304"/>
        <v>0</v>
      </c>
      <c r="AE420">
        <f t="shared" si="305"/>
        <v>0</v>
      </c>
      <c r="AF420">
        <f t="shared" si="306"/>
        <v>0</v>
      </c>
      <c r="AG420">
        <f t="shared" si="307"/>
        <v>0</v>
      </c>
      <c r="AH420">
        <f t="shared" si="308"/>
        <v>0</v>
      </c>
      <c r="AI420">
        <f t="shared" si="309"/>
        <v>0</v>
      </c>
      <c r="AJ420">
        <f t="shared" si="310"/>
        <v>0</v>
      </c>
      <c r="AK420">
        <f t="shared" si="311"/>
        <v>0</v>
      </c>
      <c r="AL420">
        <f t="shared" si="312"/>
        <v>0</v>
      </c>
      <c r="AM420">
        <f t="shared" si="291"/>
        <v>0</v>
      </c>
      <c r="AN420">
        <f>IF($S$2=0,0,(SUMPRODUCT($K$2:$R$2,Assumptions!$B$34:$I$34)/$U$2+$J$2/$U$2*Assumptions!$A$34*G420)*K420*O419)</f>
        <v>0</v>
      </c>
      <c r="AO420">
        <f t="shared" si="313"/>
        <v>0</v>
      </c>
      <c r="AP420">
        <f t="shared" si="314"/>
        <v>0</v>
      </c>
      <c r="AQ420">
        <f>IF(B420&gt;$AJ$2,0,AQ419*(1+Assumptions!$B$43)^(1/12))</f>
        <v>0</v>
      </c>
      <c r="AR420" s="27">
        <f>IF(B420&gt;$AJ$2,0,(O419+R419)*Assumptions!$B$39/12*AQ419+AV420*Assumptions!$B$41/12)</f>
        <v>0</v>
      </c>
      <c r="AS420">
        <f t="shared" si="315"/>
        <v>0</v>
      </c>
      <c r="AT420" s="28">
        <f t="shared" si="316"/>
        <v>0</v>
      </c>
      <c r="AU420">
        <f t="shared" si="317"/>
        <v>0</v>
      </c>
      <c r="AV420" s="28">
        <f t="shared" si="318"/>
        <v>0</v>
      </c>
      <c r="AW420" s="28">
        <f t="shared" si="319"/>
        <v>0</v>
      </c>
      <c r="AX420" s="23">
        <f>HLOOKUP(YEAR(A420),Assumptions!$A$25:$AL$29,2,TRUE)/100</f>
        <v>1.1332999999999999E-2</v>
      </c>
      <c r="AY420" s="29">
        <f>1/(1+HLOOKUP(YEAR(A420),Assumptions!$A$18:$AL$20,3,TRUE))^(1/12)</f>
        <v>0.99906100631170314</v>
      </c>
      <c r="AZ420" s="26">
        <f t="shared" si="320"/>
        <v>0</v>
      </c>
      <c r="BA420">
        <f t="shared" si="321"/>
        <v>0</v>
      </c>
      <c r="BB420">
        <f t="shared" si="322"/>
        <v>0</v>
      </c>
      <c r="BC420">
        <f t="shared" si="323"/>
        <v>0</v>
      </c>
    </row>
    <row r="421" spans="1:55" x14ac:dyDescent="0.2">
      <c r="A421" s="3">
        <f t="shared" si="292"/>
        <v>55578</v>
      </c>
      <c r="B421">
        <f t="shared" si="288"/>
        <v>423</v>
      </c>
      <c r="C421">
        <f t="shared" ref="C421:C484" si="333">(B421+11)/12-1</f>
        <v>35.166666666666664</v>
      </c>
      <c r="D421">
        <f t="shared" ref="D421:D484" si="334">IF(C421-INT(C421)=0,1,0)</f>
        <v>0</v>
      </c>
      <c r="E421">
        <f t="shared" si="289"/>
        <v>91</v>
      </c>
      <c r="F421">
        <f>IF(C421&gt;=$T$2,0,VLOOKUP($E421,'Mortality Table'!$A$3:$C$128,2+AF$2,FALSE))</f>
        <v>0</v>
      </c>
      <c r="G421">
        <f>F421*Assumptions!$B$1</f>
        <v>0</v>
      </c>
      <c r="H421">
        <f t="shared" ref="H421:H484" si="335">(1-(1-G421)^(1/12))</f>
        <v>0</v>
      </c>
      <c r="I421">
        <f t="shared" ref="I421:I484" si="336">H421*O420*(1-M421/2)</f>
        <v>0</v>
      </c>
      <c r="J421">
        <f>IF(B421&gt;$AJ$2,0,HLOOKUP(C421,Assumptions!$A$6:$J$7,2,TRUE))</f>
        <v>0</v>
      </c>
      <c r="K421" s="4">
        <f t="shared" ref="K421:K484" si="337">IF(B421&gt;$AJ$2,0,IF(($U$2*(B421+11))/12-INT(($U$2*(B421+11))/12)=0,1,0))</f>
        <v>0</v>
      </c>
      <c r="L421" s="4">
        <f t="shared" si="294"/>
        <v>0</v>
      </c>
      <c r="M421" s="4">
        <f t="shared" ref="M421:M484" si="338">(1-(1-J421)^L421)</f>
        <v>0</v>
      </c>
      <c r="N421">
        <f t="shared" ref="N421:N484" si="339">M421*O420*(1-H421/2)</f>
        <v>0</v>
      </c>
      <c r="O421" s="21">
        <f t="shared" ref="O421:O484" si="340">IF(B421&gt;$AJ$2,0,O420-I421-N421-Q421)</f>
        <v>0</v>
      </c>
      <c r="P421">
        <f>IF(B421&gt;$AJ$2,0,HLOOKUP(C421,Assumptions!$A$12:$J$13,2,TRUE))</f>
        <v>0</v>
      </c>
      <c r="Q421">
        <f t="shared" ref="Q421:Q484" si="341">(1-(1-P421)^L421)*(O420-I421-N421)</f>
        <v>0</v>
      </c>
      <c r="R421">
        <f t="shared" si="296"/>
        <v>0</v>
      </c>
      <c r="S421">
        <f t="shared" ref="S421:S484" si="342">H421*R420*(1-M421/2)</f>
        <v>0</v>
      </c>
      <c r="T421">
        <f t="shared" ref="T421:T484" si="343">M421*R420*(1-H421/2)</f>
        <v>0</v>
      </c>
      <c r="U421">
        <f t="shared" si="297"/>
        <v>0</v>
      </c>
      <c r="V421">
        <f t="shared" si="298"/>
        <v>0</v>
      </c>
      <c r="W421">
        <f t="shared" si="299"/>
        <v>0</v>
      </c>
      <c r="X421">
        <f t="shared" ref="X421:X484" si="344">U421/$U$2*K421*O420</f>
        <v>0</v>
      </c>
      <c r="Y421">
        <f t="shared" si="300"/>
        <v>0</v>
      </c>
      <c r="Z421">
        <f t="shared" si="301"/>
        <v>0</v>
      </c>
      <c r="AA421">
        <f t="shared" si="302"/>
        <v>0</v>
      </c>
      <c r="AB421">
        <f t="shared" si="303"/>
        <v>0</v>
      </c>
      <c r="AC421" s="23">
        <f>IF(B421&gt;$AJ$2,0,HLOOKUP(YEAR(A421),Assumptions!$A$25:$AL$29,4,TRUE)/100)</f>
        <v>0</v>
      </c>
      <c r="AD421">
        <f t="shared" si="304"/>
        <v>0</v>
      </c>
      <c r="AE421">
        <f t="shared" si="305"/>
        <v>0</v>
      </c>
      <c r="AF421">
        <f t="shared" si="306"/>
        <v>0</v>
      </c>
      <c r="AG421">
        <f t="shared" si="307"/>
        <v>0</v>
      </c>
      <c r="AH421">
        <f t="shared" si="308"/>
        <v>0</v>
      </c>
      <c r="AI421">
        <f t="shared" si="309"/>
        <v>0</v>
      </c>
      <c r="AJ421">
        <f t="shared" si="310"/>
        <v>0</v>
      </c>
      <c r="AK421">
        <f t="shared" ref="AK421:AK484" si="345">I421*(Z421+AD421)+S421*(AF421+AI421)</f>
        <v>0</v>
      </c>
      <c r="AL421">
        <f t="shared" si="312"/>
        <v>0</v>
      </c>
      <c r="AM421">
        <f t="shared" si="291"/>
        <v>0</v>
      </c>
      <c r="AN421">
        <f>IF($S$2=0,0,(SUMPRODUCT($K$2:$R$2,Assumptions!$B$34:$I$34)/$U$2+$J$2/$U$2*Assumptions!$A$34*G421)*K421*O420)</f>
        <v>0</v>
      </c>
      <c r="AO421">
        <f t="shared" si="313"/>
        <v>0</v>
      </c>
      <c r="AP421">
        <f t="shared" si="314"/>
        <v>0</v>
      </c>
      <c r="AQ421">
        <f>IF(B421&gt;$AJ$2,0,AQ420*(1+Assumptions!$B$43)^(1/12))</f>
        <v>0</v>
      </c>
      <c r="AR421" s="27">
        <f>IF(B421&gt;$AJ$2,0,(O420+R420)*Assumptions!$B$39/12*AQ420+AV421*Assumptions!$B$41/12)</f>
        <v>0</v>
      </c>
      <c r="AS421">
        <f t="shared" si="315"/>
        <v>0</v>
      </c>
      <c r="AT421" s="28">
        <f t="shared" si="316"/>
        <v>0</v>
      </c>
      <c r="AU421">
        <f t="shared" si="317"/>
        <v>0</v>
      </c>
      <c r="AV421" s="28">
        <f t="shared" si="318"/>
        <v>0</v>
      </c>
      <c r="AW421" s="28">
        <f t="shared" si="319"/>
        <v>0</v>
      </c>
      <c r="AX421" s="23">
        <f>HLOOKUP(YEAR(A421),Assumptions!$A$25:$AL$29,2,TRUE)/100</f>
        <v>1.1332999999999999E-2</v>
      </c>
      <c r="AY421" s="29">
        <f>1/(1+HLOOKUP(YEAR(A421),Assumptions!$A$18:$AL$20,3,TRUE))^(1/12)</f>
        <v>0.99906100631170314</v>
      </c>
      <c r="AZ421" s="26">
        <f t="shared" si="320"/>
        <v>0</v>
      </c>
      <c r="BA421">
        <f t="shared" si="321"/>
        <v>0</v>
      </c>
      <c r="BB421">
        <f t="shared" si="322"/>
        <v>0</v>
      </c>
      <c r="BC421">
        <f t="shared" si="323"/>
        <v>0</v>
      </c>
    </row>
    <row r="422" spans="1:55" x14ac:dyDescent="0.2">
      <c r="A422" s="3">
        <f t="shared" si="292"/>
        <v>55609</v>
      </c>
      <c r="B422">
        <f t="shared" si="288"/>
        <v>424</v>
      </c>
      <c r="C422">
        <f t="shared" si="333"/>
        <v>35.25</v>
      </c>
      <c r="D422">
        <f t="shared" si="334"/>
        <v>0</v>
      </c>
      <c r="E422">
        <f t="shared" si="289"/>
        <v>91</v>
      </c>
      <c r="F422">
        <f>IF(C422&gt;=$T$2,0,VLOOKUP($E422,'Mortality Table'!$A$3:$C$128,2+AF$2,FALSE))</f>
        <v>0</v>
      </c>
      <c r="G422">
        <f>F422*Assumptions!$B$1</f>
        <v>0</v>
      </c>
      <c r="H422">
        <f t="shared" si="335"/>
        <v>0</v>
      </c>
      <c r="I422">
        <f t="shared" si="336"/>
        <v>0</v>
      </c>
      <c r="J422">
        <f>IF(B422&gt;$AJ$2,0,HLOOKUP(C422,Assumptions!$A$6:$J$7,2,TRUE))</f>
        <v>0</v>
      </c>
      <c r="K422" s="4">
        <f t="shared" si="337"/>
        <v>0</v>
      </c>
      <c r="L422" s="4">
        <f t="shared" si="294"/>
        <v>0</v>
      </c>
      <c r="M422" s="4">
        <f t="shared" si="338"/>
        <v>0</v>
      </c>
      <c r="N422">
        <f t="shared" si="339"/>
        <v>0</v>
      </c>
      <c r="O422" s="21">
        <f t="shared" si="340"/>
        <v>0</v>
      </c>
      <c r="P422">
        <f>IF(B422&gt;$AJ$2,0,HLOOKUP(C422,Assumptions!$A$12:$J$13,2,TRUE))</f>
        <v>0</v>
      </c>
      <c r="Q422">
        <f t="shared" si="341"/>
        <v>0</v>
      </c>
      <c r="R422">
        <f t="shared" si="296"/>
        <v>0</v>
      </c>
      <c r="S422">
        <f t="shared" si="342"/>
        <v>0</v>
      </c>
      <c r="T422">
        <f t="shared" si="343"/>
        <v>0</v>
      </c>
      <c r="U422">
        <f t="shared" si="297"/>
        <v>0</v>
      </c>
      <c r="V422">
        <f t="shared" si="298"/>
        <v>0</v>
      </c>
      <c r="W422">
        <f t="shared" si="299"/>
        <v>0</v>
      </c>
      <c r="X422">
        <f t="shared" si="344"/>
        <v>0</v>
      </c>
      <c r="Y422">
        <f t="shared" si="300"/>
        <v>0</v>
      </c>
      <c r="Z422">
        <f t="shared" si="301"/>
        <v>0</v>
      </c>
      <c r="AA422">
        <f t="shared" si="302"/>
        <v>0</v>
      </c>
      <c r="AB422">
        <f t="shared" si="303"/>
        <v>0</v>
      </c>
      <c r="AC422" s="23">
        <f>IF(B422&gt;$AJ$2,0,HLOOKUP(YEAR(A422),Assumptions!$A$25:$AL$29,4,TRUE)/100)</f>
        <v>0</v>
      </c>
      <c r="AD422">
        <f t="shared" si="304"/>
        <v>0</v>
      </c>
      <c r="AE422">
        <f t="shared" si="305"/>
        <v>0</v>
      </c>
      <c r="AF422">
        <f t="shared" si="306"/>
        <v>0</v>
      </c>
      <c r="AG422">
        <f t="shared" si="307"/>
        <v>0</v>
      </c>
      <c r="AH422">
        <f t="shared" si="308"/>
        <v>0</v>
      </c>
      <c r="AI422">
        <f t="shared" si="309"/>
        <v>0</v>
      </c>
      <c r="AJ422">
        <f t="shared" si="310"/>
        <v>0</v>
      </c>
      <c r="AK422">
        <f t="shared" si="345"/>
        <v>0</v>
      </c>
      <c r="AL422">
        <f t="shared" si="312"/>
        <v>0</v>
      </c>
      <c r="AM422">
        <f t="shared" si="291"/>
        <v>0</v>
      </c>
      <c r="AN422">
        <f>IF($S$2=0,0,(SUMPRODUCT($K$2:$R$2,Assumptions!$B$34:$I$34)/$U$2+$J$2/$U$2*Assumptions!$A$34*G422)*K422*O421)</f>
        <v>0</v>
      </c>
      <c r="AO422">
        <f t="shared" si="313"/>
        <v>0</v>
      </c>
      <c r="AP422">
        <f t="shared" si="314"/>
        <v>0</v>
      </c>
      <c r="AQ422">
        <f>IF(B422&gt;$AJ$2,0,AQ421*(1+Assumptions!$B$43)^(1/12))</f>
        <v>0</v>
      </c>
      <c r="AR422" s="27">
        <f>IF(B422&gt;$AJ$2,0,(O421+R421)*Assumptions!$B$39/12*AQ421+AV422*Assumptions!$B$41/12)</f>
        <v>0</v>
      </c>
      <c r="AS422">
        <f t="shared" si="315"/>
        <v>0</v>
      </c>
      <c r="AT422" s="28">
        <f t="shared" si="316"/>
        <v>0</v>
      </c>
      <c r="AU422">
        <f t="shared" si="317"/>
        <v>0</v>
      </c>
      <c r="AV422" s="28">
        <f t="shared" si="318"/>
        <v>0</v>
      </c>
      <c r="AW422" s="28">
        <f t="shared" si="319"/>
        <v>0</v>
      </c>
      <c r="AX422" s="23">
        <f>HLOOKUP(YEAR(A422),Assumptions!$A$25:$AL$29,2,TRUE)/100</f>
        <v>1.1332999999999999E-2</v>
      </c>
      <c r="AY422" s="29">
        <f>1/(1+HLOOKUP(YEAR(A422),Assumptions!$A$18:$AL$20,3,TRUE))^(1/12)</f>
        <v>0.99906100631170314</v>
      </c>
      <c r="AZ422" s="26">
        <f t="shared" si="320"/>
        <v>0</v>
      </c>
      <c r="BA422">
        <f t="shared" si="321"/>
        <v>0</v>
      </c>
      <c r="BB422">
        <f t="shared" si="322"/>
        <v>0</v>
      </c>
      <c r="BC422">
        <f t="shared" si="323"/>
        <v>0</v>
      </c>
    </row>
    <row r="423" spans="1:55" x14ac:dyDescent="0.2">
      <c r="A423" s="3">
        <f t="shared" si="292"/>
        <v>55639</v>
      </c>
      <c r="B423">
        <f t="shared" si="288"/>
        <v>425</v>
      </c>
      <c r="C423">
        <f t="shared" si="333"/>
        <v>35.333333333333336</v>
      </c>
      <c r="D423">
        <f t="shared" si="334"/>
        <v>0</v>
      </c>
      <c r="E423">
        <f t="shared" si="289"/>
        <v>91</v>
      </c>
      <c r="F423">
        <f>IF(C423&gt;=$T$2,0,VLOOKUP($E423,'Mortality Table'!$A$3:$C$128,2+AF$2,FALSE))</f>
        <v>0</v>
      </c>
      <c r="G423">
        <f>F423*Assumptions!$B$1</f>
        <v>0</v>
      </c>
      <c r="H423">
        <f t="shared" si="335"/>
        <v>0</v>
      </c>
      <c r="I423">
        <f t="shared" si="336"/>
        <v>0</v>
      </c>
      <c r="J423">
        <f>IF(B423&gt;$AJ$2,0,HLOOKUP(C423,Assumptions!$A$6:$J$7,2,TRUE))</f>
        <v>0</v>
      </c>
      <c r="K423" s="4">
        <f t="shared" si="337"/>
        <v>0</v>
      </c>
      <c r="L423" s="4">
        <f t="shared" si="294"/>
        <v>0</v>
      </c>
      <c r="M423" s="4">
        <f t="shared" si="338"/>
        <v>0</v>
      </c>
      <c r="N423">
        <f t="shared" si="339"/>
        <v>0</v>
      </c>
      <c r="O423" s="21">
        <f t="shared" si="340"/>
        <v>0</v>
      </c>
      <c r="P423">
        <f>IF(B423&gt;$AJ$2,0,HLOOKUP(C423,Assumptions!$A$12:$J$13,2,TRUE))</f>
        <v>0</v>
      </c>
      <c r="Q423">
        <f t="shared" si="341"/>
        <v>0</v>
      </c>
      <c r="R423">
        <f t="shared" si="296"/>
        <v>0</v>
      </c>
      <c r="S423">
        <f t="shared" si="342"/>
        <v>0</v>
      </c>
      <c r="T423">
        <f t="shared" si="343"/>
        <v>0</v>
      </c>
      <c r="U423">
        <f t="shared" si="297"/>
        <v>0</v>
      </c>
      <c r="V423">
        <f t="shared" si="298"/>
        <v>0</v>
      </c>
      <c r="W423">
        <f t="shared" si="299"/>
        <v>0</v>
      </c>
      <c r="X423">
        <f t="shared" si="344"/>
        <v>0</v>
      </c>
      <c r="Y423">
        <f t="shared" si="300"/>
        <v>0</v>
      </c>
      <c r="Z423">
        <f t="shared" si="301"/>
        <v>0</v>
      </c>
      <c r="AA423">
        <f t="shared" si="302"/>
        <v>0</v>
      </c>
      <c r="AB423">
        <f t="shared" si="303"/>
        <v>0</v>
      </c>
      <c r="AC423" s="23">
        <f>IF(B423&gt;$AJ$2,0,HLOOKUP(YEAR(A423),Assumptions!$A$25:$AL$29,4,TRUE)/100)</f>
        <v>0</v>
      </c>
      <c r="AD423">
        <f t="shared" si="304"/>
        <v>0</v>
      </c>
      <c r="AE423">
        <f t="shared" si="305"/>
        <v>0</v>
      </c>
      <c r="AF423">
        <f t="shared" si="306"/>
        <v>0</v>
      </c>
      <c r="AG423">
        <f t="shared" si="307"/>
        <v>0</v>
      </c>
      <c r="AH423">
        <f t="shared" si="308"/>
        <v>0</v>
      </c>
      <c r="AI423">
        <f t="shared" si="309"/>
        <v>0</v>
      </c>
      <c r="AJ423">
        <f t="shared" si="310"/>
        <v>0</v>
      </c>
      <c r="AK423">
        <f t="shared" si="345"/>
        <v>0</v>
      </c>
      <c r="AL423">
        <f t="shared" si="312"/>
        <v>0</v>
      </c>
      <c r="AM423">
        <f t="shared" si="291"/>
        <v>0</v>
      </c>
      <c r="AN423">
        <f>IF($S$2=0,0,(SUMPRODUCT($K$2:$R$2,Assumptions!$B$34:$I$34)/$U$2+$J$2/$U$2*Assumptions!$A$34*G423)*K423*O422)</f>
        <v>0</v>
      </c>
      <c r="AO423">
        <f t="shared" si="313"/>
        <v>0</v>
      </c>
      <c r="AP423">
        <f t="shared" si="314"/>
        <v>0</v>
      </c>
      <c r="AQ423">
        <f>IF(B423&gt;$AJ$2,0,AQ422*(1+Assumptions!$B$43)^(1/12))</f>
        <v>0</v>
      </c>
      <c r="AR423" s="27">
        <f>IF(B423&gt;$AJ$2,0,(O422+R422)*Assumptions!$B$39/12*AQ422+AV423*Assumptions!$B$41/12)</f>
        <v>0</v>
      </c>
      <c r="AS423">
        <f t="shared" si="315"/>
        <v>0</v>
      </c>
      <c r="AT423" s="28">
        <f t="shared" si="316"/>
        <v>0</v>
      </c>
      <c r="AU423">
        <f t="shared" si="317"/>
        <v>0</v>
      </c>
      <c r="AV423" s="28">
        <f t="shared" si="318"/>
        <v>0</v>
      </c>
      <c r="AW423" s="28">
        <f t="shared" si="319"/>
        <v>0</v>
      </c>
      <c r="AX423" s="23">
        <f>HLOOKUP(YEAR(A423),Assumptions!$A$25:$AL$29,2,TRUE)/100</f>
        <v>1.1332999999999999E-2</v>
      </c>
      <c r="AY423" s="29">
        <f>1/(1+HLOOKUP(YEAR(A423),Assumptions!$A$18:$AL$20,3,TRUE))^(1/12)</f>
        <v>0.99906100631170314</v>
      </c>
      <c r="AZ423" s="26">
        <f t="shared" si="320"/>
        <v>0</v>
      </c>
      <c r="BA423">
        <f t="shared" si="321"/>
        <v>0</v>
      </c>
      <c r="BB423">
        <f t="shared" si="322"/>
        <v>0</v>
      </c>
      <c r="BC423">
        <f t="shared" si="323"/>
        <v>0</v>
      </c>
    </row>
    <row r="424" spans="1:55" x14ac:dyDescent="0.2">
      <c r="A424" s="3">
        <f t="shared" si="292"/>
        <v>55670</v>
      </c>
      <c r="B424">
        <f t="shared" si="288"/>
        <v>426</v>
      </c>
      <c r="C424">
        <f t="shared" si="333"/>
        <v>35.416666666666664</v>
      </c>
      <c r="D424">
        <f t="shared" si="334"/>
        <v>0</v>
      </c>
      <c r="E424">
        <f t="shared" si="289"/>
        <v>91</v>
      </c>
      <c r="F424">
        <f>IF(C424&gt;=$T$2,0,VLOOKUP($E424,'Mortality Table'!$A$3:$C$128,2+AF$2,FALSE))</f>
        <v>0</v>
      </c>
      <c r="G424">
        <f>F424*Assumptions!$B$1</f>
        <v>0</v>
      </c>
      <c r="H424">
        <f t="shared" si="335"/>
        <v>0</v>
      </c>
      <c r="I424">
        <f t="shared" si="336"/>
        <v>0</v>
      </c>
      <c r="J424">
        <f>IF(B424&gt;$AJ$2,0,HLOOKUP(C424,Assumptions!$A$6:$J$7,2,TRUE))</f>
        <v>0</v>
      </c>
      <c r="K424" s="4">
        <f t="shared" si="337"/>
        <v>0</v>
      </c>
      <c r="L424" s="4">
        <f t="shared" si="294"/>
        <v>0</v>
      </c>
      <c r="M424" s="4">
        <f t="shared" si="338"/>
        <v>0</v>
      </c>
      <c r="N424">
        <f t="shared" si="339"/>
        <v>0</v>
      </c>
      <c r="O424" s="21">
        <f t="shared" si="340"/>
        <v>0</v>
      </c>
      <c r="P424">
        <f>IF(B424&gt;$AJ$2,0,HLOOKUP(C424,Assumptions!$A$12:$J$13,2,TRUE))</f>
        <v>0</v>
      </c>
      <c r="Q424">
        <f t="shared" si="341"/>
        <v>0</v>
      </c>
      <c r="R424">
        <f t="shared" si="296"/>
        <v>0</v>
      </c>
      <c r="S424">
        <f t="shared" si="342"/>
        <v>0</v>
      </c>
      <c r="T424">
        <f t="shared" si="343"/>
        <v>0</v>
      </c>
      <c r="U424">
        <f t="shared" si="297"/>
        <v>0</v>
      </c>
      <c r="V424">
        <f t="shared" si="298"/>
        <v>0</v>
      </c>
      <c r="W424">
        <f t="shared" si="299"/>
        <v>0</v>
      </c>
      <c r="X424">
        <f t="shared" si="344"/>
        <v>0</v>
      </c>
      <c r="Y424">
        <f t="shared" si="300"/>
        <v>0</v>
      </c>
      <c r="Z424">
        <f t="shared" si="301"/>
        <v>0</v>
      </c>
      <c r="AA424">
        <f t="shared" si="302"/>
        <v>0</v>
      </c>
      <c r="AB424">
        <f t="shared" si="303"/>
        <v>0</v>
      </c>
      <c r="AC424" s="23">
        <f>IF(B424&gt;$AJ$2,0,HLOOKUP(YEAR(A424),Assumptions!$A$25:$AL$29,4,TRUE)/100)</f>
        <v>0</v>
      </c>
      <c r="AD424">
        <f t="shared" si="304"/>
        <v>0</v>
      </c>
      <c r="AE424">
        <f t="shared" si="305"/>
        <v>0</v>
      </c>
      <c r="AF424">
        <f t="shared" si="306"/>
        <v>0</v>
      </c>
      <c r="AG424">
        <f t="shared" si="307"/>
        <v>0</v>
      </c>
      <c r="AH424">
        <f t="shared" si="308"/>
        <v>0</v>
      </c>
      <c r="AI424">
        <f t="shared" si="309"/>
        <v>0</v>
      </c>
      <c r="AJ424">
        <f t="shared" si="310"/>
        <v>0</v>
      </c>
      <c r="AK424">
        <f t="shared" si="345"/>
        <v>0</v>
      </c>
      <c r="AL424">
        <f t="shared" si="312"/>
        <v>0</v>
      </c>
      <c r="AM424">
        <f t="shared" si="291"/>
        <v>0</v>
      </c>
      <c r="AN424">
        <f>IF($S$2=0,0,(SUMPRODUCT($K$2:$R$2,Assumptions!$B$34:$I$34)/$U$2+$J$2/$U$2*Assumptions!$A$34*G424)*K424*O423)</f>
        <v>0</v>
      </c>
      <c r="AO424">
        <f t="shared" si="313"/>
        <v>0</v>
      </c>
      <c r="AP424">
        <f t="shared" si="314"/>
        <v>0</v>
      </c>
      <c r="AQ424">
        <f>IF(B424&gt;$AJ$2,0,AQ423*(1+Assumptions!$B$43)^(1/12))</f>
        <v>0</v>
      </c>
      <c r="AR424" s="27">
        <f>IF(B424&gt;$AJ$2,0,(O423+R423)*Assumptions!$B$39/12*AQ423+AV424*Assumptions!$B$41/12)</f>
        <v>0</v>
      </c>
      <c r="AS424">
        <f t="shared" si="315"/>
        <v>0</v>
      </c>
      <c r="AT424" s="28">
        <f t="shared" si="316"/>
        <v>0</v>
      </c>
      <c r="AU424">
        <f t="shared" si="317"/>
        <v>0</v>
      </c>
      <c r="AV424" s="28">
        <f t="shared" si="318"/>
        <v>0</v>
      </c>
      <c r="AW424" s="28">
        <f t="shared" si="319"/>
        <v>0</v>
      </c>
      <c r="AX424" s="23">
        <f>HLOOKUP(YEAR(A424),Assumptions!$A$25:$AL$29,2,TRUE)/100</f>
        <v>1.1332999999999999E-2</v>
      </c>
      <c r="AY424" s="29">
        <f>1/(1+HLOOKUP(YEAR(A424),Assumptions!$A$18:$AL$20,3,TRUE))^(1/12)</f>
        <v>0.99906100631170314</v>
      </c>
      <c r="AZ424" s="26">
        <f t="shared" si="320"/>
        <v>0</v>
      </c>
      <c r="BA424">
        <f t="shared" si="321"/>
        <v>0</v>
      </c>
      <c r="BB424">
        <f t="shared" si="322"/>
        <v>0</v>
      </c>
      <c r="BC424">
        <f t="shared" si="323"/>
        <v>0</v>
      </c>
    </row>
    <row r="425" spans="1:55" x14ac:dyDescent="0.2">
      <c r="A425" s="3">
        <f t="shared" si="292"/>
        <v>55700</v>
      </c>
      <c r="B425">
        <f t="shared" si="288"/>
        <v>427</v>
      </c>
      <c r="C425">
        <f t="shared" si="333"/>
        <v>35.5</v>
      </c>
      <c r="D425">
        <f t="shared" si="334"/>
        <v>0</v>
      </c>
      <c r="E425">
        <f t="shared" si="289"/>
        <v>91</v>
      </c>
      <c r="F425">
        <f>IF(C425&gt;=$T$2,0,VLOOKUP($E425,'Mortality Table'!$A$3:$C$128,2+AF$2,FALSE))</f>
        <v>0</v>
      </c>
      <c r="G425">
        <f>F425*Assumptions!$B$1</f>
        <v>0</v>
      </c>
      <c r="H425">
        <f t="shared" si="335"/>
        <v>0</v>
      </c>
      <c r="I425">
        <f t="shared" si="336"/>
        <v>0</v>
      </c>
      <c r="J425">
        <f>IF(B425&gt;$AJ$2,0,HLOOKUP(C425,Assumptions!$A$6:$J$7,2,TRUE))</f>
        <v>0</v>
      </c>
      <c r="K425" s="4">
        <f t="shared" si="337"/>
        <v>0</v>
      </c>
      <c r="L425" s="4">
        <f t="shared" si="294"/>
        <v>0</v>
      </c>
      <c r="M425" s="4">
        <f t="shared" si="338"/>
        <v>0</v>
      </c>
      <c r="N425">
        <f t="shared" si="339"/>
        <v>0</v>
      </c>
      <c r="O425" s="21">
        <f t="shared" si="340"/>
        <v>0</v>
      </c>
      <c r="P425">
        <f>IF(B425&gt;$AJ$2,0,HLOOKUP(C425,Assumptions!$A$12:$J$13,2,TRUE))</f>
        <v>0</v>
      </c>
      <c r="Q425">
        <f t="shared" si="341"/>
        <v>0</v>
      </c>
      <c r="R425">
        <f t="shared" si="296"/>
        <v>0</v>
      </c>
      <c r="S425">
        <f t="shared" si="342"/>
        <v>0</v>
      </c>
      <c r="T425">
        <f t="shared" si="343"/>
        <v>0</v>
      </c>
      <c r="U425">
        <f t="shared" si="297"/>
        <v>0</v>
      </c>
      <c r="V425">
        <f t="shared" si="298"/>
        <v>0</v>
      </c>
      <c r="W425">
        <f t="shared" si="299"/>
        <v>0</v>
      </c>
      <c r="X425">
        <f t="shared" si="344"/>
        <v>0</v>
      </c>
      <c r="Y425">
        <f t="shared" si="300"/>
        <v>0</v>
      </c>
      <c r="Z425">
        <f t="shared" si="301"/>
        <v>0</v>
      </c>
      <c r="AA425">
        <f t="shared" si="302"/>
        <v>0</v>
      </c>
      <c r="AB425">
        <f t="shared" si="303"/>
        <v>0</v>
      </c>
      <c r="AC425" s="23">
        <f>IF(B425&gt;$AJ$2,0,HLOOKUP(YEAR(A425),Assumptions!$A$25:$AL$29,4,TRUE)/100)</f>
        <v>0</v>
      </c>
      <c r="AD425">
        <f t="shared" si="304"/>
        <v>0</v>
      </c>
      <c r="AE425">
        <f t="shared" si="305"/>
        <v>0</v>
      </c>
      <c r="AF425">
        <f t="shared" si="306"/>
        <v>0</v>
      </c>
      <c r="AG425">
        <f t="shared" si="307"/>
        <v>0</v>
      </c>
      <c r="AH425">
        <f t="shared" si="308"/>
        <v>0</v>
      </c>
      <c r="AI425">
        <f t="shared" si="309"/>
        <v>0</v>
      </c>
      <c r="AJ425">
        <f t="shared" si="310"/>
        <v>0</v>
      </c>
      <c r="AK425">
        <f t="shared" si="345"/>
        <v>0</v>
      </c>
      <c r="AL425">
        <f t="shared" si="312"/>
        <v>0</v>
      </c>
      <c r="AM425">
        <f t="shared" si="291"/>
        <v>0</v>
      </c>
      <c r="AN425">
        <f>IF($S$2=0,0,(SUMPRODUCT($K$2:$R$2,Assumptions!$B$34:$I$34)/$U$2+$J$2/$U$2*Assumptions!$A$34*G425)*K425*O424)</f>
        <v>0</v>
      </c>
      <c r="AO425">
        <f t="shared" si="313"/>
        <v>0</v>
      </c>
      <c r="AP425">
        <f t="shared" si="314"/>
        <v>0</v>
      </c>
      <c r="AQ425">
        <f>IF(B425&gt;$AJ$2,0,AQ424*(1+Assumptions!$B$43)^(1/12))</f>
        <v>0</v>
      </c>
      <c r="AR425" s="27">
        <f>IF(B425&gt;$AJ$2,0,(O424+R424)*Assumptions!$B$39/12*AQ424+AV425*Assumptions!$B$41/12)</f>
        <v>0</v>
      </c>
      <c r="AS425">
        <f t="shared" si="315"/>
        <v>0</v>
      </c>
      <c r="AT425" s="28">
        <f t="shared" si="316"/>
        <v>0</v>
      </c>
      <c r="AU425">
        <f t="shared" si="317"/>
        <v>0</v>
      </c>
      <c r="AV425" s="28">
        <f t="shared" si="318"/>
        <v>0</v>
      </c>
      <c r="AW425" s="28">
        <f t="shared" si="319"/>
        <v>0</v>
      </c>
      <c r="AX425" s="23">
        <f>HLOOKUP(YEAR(A425),Assumptions!$A$25:$AL$29,2,TRUE)/100</f>
        <v>1.1332999999999999E-2</v>
      </c>
      <c r="AY425" s="29">
        <f>1/(1+HLOOKUP(YEAR(A425),Assumptions!$A$18:$AL$20,3,TRUE))^(1/12)</f>
        <v>0.99906100631170314</v>
      </c>
      <c r="AZ425" s="26">
        <f t="shared" si="320"/>
        <v>0</v>
      </c>
      <c r="BA425">
        <f t="shared" si="321"/>
        <v>0</v>
      </c>
      <c r="BB425">
        <f t="shared" si="322"/>
        <v>0</v>
      </c>
      <c r="BC425">
        <f t="shared" si="323"/>
        <v>0</v>
      </c>
    </row>
    <row r="426" spans="1:55" x14ac:dyDescent="0.2">
      <c r="A426" s="3">
        <f t="shared" si="292"/>
        <v>55731</v>
      </c>
      <c r="B426">
        <f t="shared" si="288"/>
        <v>428</v>
      </c>
      <c r="C426">
        <f t="shared" si="333"/>
        <v>35.583333333333336</v>
      </c>
      <c r="D426">
        <f t="shared" si="334"/>
        <v>0</v>
      </c>
      <c r="E426">
        <f t="shared" si="289"/>
        <v>91</v>
      </c>
      <c r="F426">
        <f>IF(C426&gt;=$T$2,0,VLOOKUP($E426,'Mortality Table'!$A$3:$C$128,2+AF$2,FALSE))</f>
        <v>0</v>
      </c>
      <c r="G426">
        <f>F426*Assumptions!$B$1</f>
        <v>0</v>
      </c>
      <c r="H426">
        <f t="shared" si="335"/>
        <v>0</v>
      </c>
      <c r="I426">
        <f t="shared" si="336"/>
        <v>0</v>
      </c>
      <c r="J426">
        <f>IF(B426&gt;$AJ$2,0,HLOOKUP(C426,Assumptions!$A$6:$J$7,2,TRUE))</f>
        <v>0</v>
      </c>
      <c r="K426" s="4">
        <f t="shared" si="337"/>
        <v>0</v>
      </c>
      <c r="L426" s="4">
        <f t="shared" si="294"/>
        <v>0</v>
      </c>
      <c r="M426" s="4">
        <f t="shared" si="338"/>
        <v>0</v>
      </c>
      <c r="N426">
        <f t="shared" si="339"/>
        <v>0</v>
      </c>
      <c r="O426" s="21">
        <f t="shared" si="340"/>
        <v>0</v>
      </c>
      <c r="P426">
        <f>IF(B426&gt;$AJ$2,0,HLOOKUP(C426,Assumptions!$A$12:$J$13,2,TRUE))</f>
        <v>0</v>
      </c>
      <c r="Q426">
        <f t="shared" si="341"/>
        <v>0</v>
      </c>
      <c r="R426">
        <f t="shared" si="296"/>
        <v>0</v>
      </c>
      <c r="S426">
        <f t="shared" si="342"/>
        <v>0</v>
      </c>
      <c r="T426">
        <f t="shared" si="343"/>
        <v>0</v>
      </c>
      <c r="U426">
        <f t="shared" si="297"/>
        <v>0</v>
      </c>
      <c r="V426">
        <f t="shared" si="298"/>
        <v>0</v>
      </c>
      <c r="W426">
        <f t="shared" si="299"/>
        <v>0</v>
      </c>
      <c r="X426">
        <f t="shared" si="344"/>
        <v>0</v>
      </c>
      <c r="Y426">
        <f t="shared" si="300"/>
        <v>0</v>
      </c>
      <c r="Z426">
        <f t="shared" si="301"/>
        <v>0</v>
      </c>
      <c r="AA426">
        <f t="shared" si="302"/>
        <v>0</v>
      </c>
      <c r="AB426">
        <f t="shared" si="303"/>
        <v>0</v>
      </c>
      <c r="AC426" s="23">
        <f>IF(B426&gt;$AJ$2,0,HLOOKUP(YEAR(A426),Assumptions!$A$25:$AL$29,4,TRUE)/100)</f>
        <v>0</v>
      </c>
      <c r="AD426">
        <f t="shared" si="304"/>
        <v>0</v>
      </c>
      <c r="AE426">
        <f t="shared" si="305"/>
        <v>0</v>
      </c>
      <c r="AF426">
        <f t="shared" si="306"/>
        <v>0</v>
      </c>
      <c r="AG426">
        <f t="shared" si="307"/>
        <v>0</v>
      </c>
      <c r="AH426">
        <f t="shared" si="308"/>
        <v>0</v>
      </c>
      <c r="AI426">
        <f t="shared" si="309"/>
        <v>0</v>
      </c>
      <c r="AJ426">
        <f t="shared" si="310"/>
        <v>0</v>
      </c>
      <c r="AK426">
        <f t="shared" si="345"/>
        <v>0</v>
      </c>
      <c r="AL426">
        <f t="shared" si="312"/>
        <v>0</v>
      </c>
      <c r="AM426">
        <f t="shared" si="291"/>
        <v>0</v>
      </c>
      <c r="AN426">
        <f>IF($S$2=0,0,(SUMPRODUCT($K$2:$R$2,Assumptions!$B$34:$I$34)/$U$2+$J$2/$U$2*Assumptions!$A$34*G426)*K426*O425)</f>
        <v>0</v>
      </c>
      <c r="AO426">
        <f t="shared" si="313"/>
        <v>0</v>
      </c>
      <c r="AP426">
        <f t="shared" si="314"/>
        <v>0</v>
      </c>
      <c r="AQ426">
        <f>IF(B426&gt;$AJ$2,0,AQ425*(1+Assumptions!$B$43)^(1/12))</f>
        <v>0</v>
      </c>
      <c r="AR426" s="27">
        <f>IF(B426&gt;$AJ$2,0,(O425+R425)*Assumptions!$B$39/12*AQ425+AV426*Assumptions!$B$41/12)</f>
        <v>0</v>
      </c>
      <c r="AS426">
        <f t="shared" si="315"/>
        <v>0</v>
      </c>
      <c r="AT426" s="28">
        <f t="shared" si="316"/>
        <v>0</v>
      </c>
      <c r="AU426">
        <f t="shared" si="317"/>
        <v>0</v>
      </c>
      <c r="AV426" s="28">
        <f t="shared" si="318"/>
        <v>0</v>
      </c>
      <c r="AW426" s="28">
        <f t="shared" si="319"/>
        <v>0</v>
      </c>
      <c r="AX426" s="23">
        <f>HLOOKUP(YEAR(A426),Assumptions!$A$25:$AL$29,2,TRUE)/100</f>
        <v>1.1332999999999999E-2</v>
      </c>
      <c r="AY426" s="29">
        <f>1/(1+HLOOKUP(YEAR(A426),Assumptions!$A$18:$AL$20,3,TRUE))^(1/12)</f>
        <v>0.99906100631170314</v>
      </c>
      <c r="AZ426" s="26">
        <f t="shared" si="320"/>
        <v>0</v>
      </c>
      <c r="BA426">
        <f t="shared" si="321"/>
        <v>0</v>
      </c>
      <c r="BB426">
        <f t="shared" si="322"/>
        <v>0</v>
      </c>
      <c r="BC426">
        <f t="shared" si="323"/>
        <v>0</v>
      </c>
    </row>
    <row r="427" spans="1:55" x14ac:dyDescent="0.2">
      <c r="A427" s="3">
        <f t="shared" si="292"/>
        <v>55762</v>
      </c>
      <c r="B427">
        <f t="shared" si="288"/>
        <v>429</v>
      </c>
      <c r="C427">
        <f t="shared" si="333"/>
        <v>35.666666666666664</v>
      </c>
      <c r="D427">
        <f t="shared" si="334"/>
        <v>0</v>
      </c>
      <c r="E427">
        <f t="shared" si="289"/>
        <v>91</v>
      </c>
      <c r="F427">
        <f>IF(C427&gt;=$T$2,0,VLOOKUP($E427,'Mortality Table'!$A$3:$C$128,2+AF$2,FALSE))</f>
        <v>0</v>
      </c>
      <c r="G427">
        <f>F427*Assumptions!$B$1</f>
        <v>0</v>
      </c>
      <c r="H427">
        <f t="shared" si="335"/>
        <v>0</v>
      </c>
      <c r="I427">
        <f t="shared" si="336"/>
        <v>0</v>
      </c>
      <c r="J427">
        <f>IF(B427&gt;$AJ$2,0,HLOOKUP(C427,Assumptions!$A$6:$J$7,2,TRUE))</f>
        <v>0</v>
      </c>
      <c r="K427" s="4">
        <f t="shared" si="337"/>
        <v>0</v>
      </c>
      <c r="L427" s="4">
        <f t="shared" si="294"/>
        <v>0</v>
      </c>
      <c r="M427" s="4">
        <f t="shared" si="338"/>
        <v>0</v>
      </c>
      <c r="N427">
        <f t="shared" si="339"/>
        <v>0</v>
      </c>
      <c r="O427" s="21">
        <f t="shared" si="340"/>
        <v>0</v>
      </c>
      <c r="P427">
        <f>IF(B427&gt;$AJ$2,0,HLOOKUP(C427,Assumptions!$A$12:$J$13,2,TRUE))</f>
        <v>0</v>
      </c>
      <c r="Q427">
        <f t="shared" si="341"/>
        <v>0</v>
      </c>
      <c r="R427">
        <f t="shared" si="296"/>
        <v>0</v>
      </c>
      <c r="S427">
        <f t="shared" si="342"/>
        <v>0</v>
      </c>
      <c r="T427">
        <f t="shared" si="343"/>
        <v>0</v>
      </c>
      <c r="U427">
        <f t="shared" si="297"/>
        <v>0</v>
      </c>
      <c r="V427">
        <f t="shared" si="298"/>
        <v>0</v>
      </c>
      <c r="W427">
        <f t="shared" si="299"/>
        <v>0</v>
      </c>
      <c r="X427">
        <f t="shared" si="344"/>
        <v>0</v>
      </c>
      <c r="Y427">
        <f t="shared" si="300"/>
        <v>0</v>
      </c>
      <c r="Z427">
        <f t="shared" si="301"/>
        <v>0</v>
      </c>
      <c r="AA427">
        <f t="shared" si="302"/>
        <v>0</v>
      </c>
      <c r="AB427">
        <f t="shared" si="303"/>
        <v>0</v>
      </c>
      <c r="AC427" s="23">
        <f>IF(B427&gt;$AJ$2,0,HLOOKUP(YEAR(A427),Assumptions!$A$25:$AL$29,4,TRUE)/100)</f>
        <v>0</v>
      </c>
      <c r="AD427">
        <f t="shared" si="304"/>
        <v>0</v>
      </c>
      <c r="AE427">
        <f t="shared" si="305"/>
        <v>0</v>
      </c>
      <c r="AF427">
        <f t="shared" si="306"/>
        <v>0</v>
      </c>
      <c r="AG427">
        <f t="shared" si="307"/>
        <v>0</v>
      </c>
      <c r="AH427">
        <f t="shared" si="308"/>
        <v>0</v>
      </c>
      <c r="AI427">
        <f t="shared" si="309"/>
        <v>0</v>
      </c>
      <c r="AJ427">
        <f t="shared" si="310"/>
        <v>0</v>
      </c>
      <c r="AK427">
        <f t="shared" si="345"/>
        <v>0</v>
      </c>
      <c r="AL427">
        <f t="shared" si="312"/>
        <v>0</v>
      </c>
      <c r="AM427">
        <f t="shared" si="291"/>
        <v>0</v>
      </c>
      <c r="AN427">
        <f>IF($S$2=0,0,(SUMPRODUCT($K$2:$R$2,Assumptions!$B$34:$I$34)/$U$2+$J$2/$U$2*Assumptions!$A$34*G427)*K427*O426)</f>
        <v>0</v>
      </c>
      <c r="AO427">
        <f t="shared" si="313"/>
        <v>0</v>
      </c>
      <c r="AP427">
        <f t="shared" si="314"/>
        <v>0</v>
      </c>
      <c r="AQ427">
        <f>IF(B427&gt;$AJ$2,0,AQ426*(1+Assumptions!$B$43)^(1/12))</f>
        <v>0</v>
      </c>
      <c r="AR427" s="27">
        <f>IF(B427&gt;$AJ$2,0,(O426+R426)*Assumptions!$B$39/12*AQ426+AV427*Assumptions!$B$41/12)</f>
        <v>0</v>
      </c>
      <c r="AS427">
        <f t="shared" si="315"/>
        <v>0</v>
      </c>
      <c r="AT427" s="28">
        <f t="shared" si="316"/>
        <v>0</v>
      </c>
      <c r="AU427">
        <f t="shared" si="317"/>
        <v>0</v>
      </c>
      <c r="AV427" s="28">
        <f t="shared" si="318"/>
        <v>0</v>
      </c>
      <c r="AW427" s="28">
        <f t="shared" si="319"/>
        <v>0</v>
      </c>
      <c r="AX427" s="23">
        <f>HLOOKUP(YEAR(A427),Assumptions!$A$25:$AL$29,2,TRUE)/100</f>
        <v>1.1332999999999999E-2</v>
      </c>
      <c r="AY427" s="29">
        <f>1/(1+HLOOKUP(YEAR(A427),Assumptions!$A$18:$AL$20,3,TRUE))^(1/12)</f>
        <v>0.99906100631170314</v>
      </c>
      <c r="AZ427" s="26">
        <f t="shared" si="320"/>
        <v>0</v>
      </c>
      <c r="BA427">
        <f t="shared" si="321"/>
        <v>0</v>
      </c>
      <c r="BB427">
        <f t="shared" si="322"/>
        <v>0</v>
      </c>
      <c r="BC427">
        <f t="shared" si="323"/>
        <v>0</v>
      </c>
    </row>
    <row r="428" spans="1:55" x14ac:dyDescent="0.2">
      <c r="A428" s="3">
        <f t="shared" si="292"/>
        <v>55792</v>
      </c>
      <c r="B428">
        <f t="shared" si="288"/>
        <v>430</v>
      </c>
      <c r="C428">
        <f t="shared" si="333"/>
        <v>35.75</v>
      </c>
      <c r="D428">
        <f t="shared" si="334"/>
        <v>0</v>
      </c>
      <c r="E428">
        <f t="shared" si="289"/>
        <v>91</v>
      </c>
      <c r="F428">
        <f>IF(C428&gt;=$T$2,0,VLOOKUP($E428,'Mortality Table'!$A$3:$C$128,2+AF$2,FALSE))</f>
        <v>0</v>
      </c>
      <c r="G428">
        <f>F428*Assumptions!$B$1</f>
        <v>0</v>
      </c>
      <c r="H428">
        <f t="shared" si="335"/>
        <v>0</v>
      </c>
      <c r="I428">
        <f t="shared" si="336"/>
        <v>0</v>
      </c>
      <c r="J428">
        <f>IF(B428&gt;$AJ$2,0,HLOOKUP(C428,Assumptions!$A$6:$J$7,2,TRUE))</f>
        <v>0</v>
      </c>
      <c r="K428" s="4">
        <f t="shared" si="337"/>
        <v>0</v>
      </c>
      <c r="L428" s="4">
        <f t="shared" si="294"/>
        <v>0</v>
      </c>
      <c r="M428" s="4">
        <f t="shared" si="338"/>
        <v>0</v>
      </c>
      <c r="N428">
        <f t="shared" si="339"/>
        <v>0</v>
      </c>
      <c r="O428" s="21">
        <f t="shared" si="340"/>
        <v>0</v>
      </c>
      <c r="P428">
        <f>IF(B428&gt;$AJ$2,0,HLOOKUP(C428,Assumptions!$A$12:$J$13,2,TRUE))</f>
        <v>0</v>
      </c>
      <c r="Q428">
        <f t="shared" si="341"/>
        <v>0</v>
      </c>
      <c r="R428">
        <f t="shared" si="296"/>
        <v>0</v>
      </c>
      <c r="S428">
        <f t="shared" si="342"/>
        <v>0</v>
      </c>
      <c r="T428">
        <f t="shared" si="343"/>
        <v>0</v>
      </c>
      <c r="U428">
        <f t="shared" si="297"/>
        <v>0</v>
      </c>
      <c r="V428">
        <f t="shared" si="298"/>
        <v>0</v>
      </c>
      <c r="W428">
        <f t="shared" si="299"/>
        <v>0</v>
      </c>
      <c r="X428">
        <f t="shared" si="344"/>
        <v>0</v>
      </c>
      <c r="Y428">
        <f t="shared" si="300"/>
        <v>0</v>
      </c>
      <c r="Z428">
        <f t="shared" si="301"/>
        <v>0</v>
      </c>
      <c r="AA428">
        <f t="shared" si="302"/>
        <v>0</v>
      </c>
      <c r="AB428">
        <f t="shared" si="303"/>
        <v>0</v>
      </c>
      <c r="AC428" s="23">
        <f>IF(B428&gt;$AJ$2,0,HLOOKUP(YEAR(A428),Assumptions!$A$25:$AL$29,4,TRUE)/100)</f>
        <v>0</v>
      </c>
      <c r="AD428">
        <f t="shared" si="304"/>
        <v>0</v>
      </c>
      <c r="AE428">
        <f t="shared" si="305"/>
        <v>0</v>
      </c>
      <c r="AF428">
        <f t="shared" si="306"/>
        <v>0</v>
      </c>
      <c r="AG428">
        <f t="shared" si="307"/>
        <v>0</v>
      </c>
      <c r="AH428">
        <f t="shared" si="308"/>
        <v>0</v>
      </c>
      <c r="AI428">
        <f t="shared" si="309"/>
        <v>0</v>
      </c>
      <c r="AJ428">
        <f t="shared" si="310"/>
        <v>0</v>
      </c>
      <c r="AK428">
        <f t="shared" si="345"/>
        <v>0</v>
      </c>
      <c r="AL428">
        <f t="shared" si="312"/>
        <v>0</v>
      </c>
      <c r="AM428">
        <f t="shared" si="291"/>
        <v>0</v>
      </c>
      <c r="AN428">
        <f>IF($S$2=0,0,(SUMPRODUCT($K$2:$R$2,Assumptions!$B$34:$I$34)/$U$2+$J$2/$U$2*Assumptions!$A$34*G428)*K428*O427)</f>
        <v>0</v>
      </c>
      <c r="AO428">
        <f t="shared" si="313"/>
        <v>0</v>
      </c>
      <c r="AP428">
        <f t="shared" si="314"/>
        <v>0</v>
      </c>
      <c r="AQ428">
        <f>IF(B428&gt;$AJ$2,0,AQ427*(1+Assumptions!$B$43)^(1/12))</f>
        <v>0</v>
      </c>
      <c r="AR428" s="27">
        <f>IF(B428&gt;$AJ$2,0,(O427+R427)*Assumptions!$B$39/12*AQ427+AV428*Assumptions!$B$41/12)</f>
        <v>0</v>
      </c>
      <c r="AS428">
        <f t="shared" si="315"/>
        <v>0</v>
      </c>
      <c r="AT428" s="28">
        <f t="shared" si="316"/>
        <v>0</v>
      </c>
      <c r="AU428">
        <f t="shared" si="317"/>
        <v>0</v>
      </c>
      <c r="AV428" s="28">
        <f t="shared" si="318"/>
        <v>0</v>
      </c>
      <c r="AW428" s="28">
        <f t="shared" si="319"/>
        <v>0</v>
      </c>
      <c r="AX428" s="23">
        <f>HLOOKUP(YEAR(A428),Assumptions!$A$25:$AL$29,2,TRUE)/100</f>
        <v>1.1332999999999999E-2</v>
      </c>
      <c r="AY428" s="29">
        <f>1/(1+HLOOKUP(YEAR(A428),Assumptions!$A$18:$AL$20,3,TRUE))^(1/12)</f>
        <v>0.99906100631170314</v>
      </c>
      <c r="AZ428" s="26">
        <f t="shared" si="320"/>
        <v>0</v>
      </c>
      <c r="BA428">
        <f t="shared" si="321"/>
        <v>0</v>
      </c>
      <c r="BB428">
        <f t="shared" si="322"/>
        <v>0</v>
      </c>
      <c r="BC428">
        <f t="shared" si="323"/>
        <v>0</v>
      </c>
    </row>
    <row r="429" spans="1:55" x14ac:dyDescent="0.2">
      <c r="A429" s="3">
        <f t="shared" si="292"/>
        <v>55823</v>
      </c>
      <c r="B429">
        <f t="shared" si="288"/>
        <v>431</v>
      </c>
      <c r="C429">
        <f t="shared" si="333"/>
        <v>35.833333333333336</v>
      </c>
      <c r="D429">
        <f t="shared" si="334"/>
        <v>0</v>
      </c>
      <c r="E429">
        <f t="shared" si="289"/>
        <v>91</v>
      </c>
      <c r="F429">
        <f>IF(C429&gt;=$T$2,0,VLOOKUP($E429,'Mortality Table'!$A$3:$C$128,2+AF$2,FALSE))</f>
        <v>0</v>
      </c>
      <c r="G429">
        <f>F429*Assumptions!$B$1</f>
        <v>0</v>
      </c>
      <c r="H429">
        <f t="shared" si="335"/>
        <v>0</v>
      </c>
      <c r="I429">
        <f t="shared" si="336"/>
        <v>0</v>
      </c>
      <c r="J429">
        <f>IF(B429&gt;$AJ$2,0,HLOOKUP(C429,Assumptions!$A$6:$J$7,2,TRUE))</f>
        <v>0</v>
      </c>
      <c r="K429" s="4">
        <f t="shared" si="337"/>
        <v>0</v>
      </c>
      <c r="L429" s="4">
        <f t="shared" si="294"/>
        <v>0</v>
      </c>
      <c r="M429" s="4">
        <f t="shared" si="338"/>
        <v>0</v>
      </c>
      <c r="N429">
        <f t="shared" si="339"/>
        <v>0</v>
      </c>
      <c r="O429" s="21">
        <f t="shared" si="340"/>
        <v>0</v>
      </c>
      <c r="P429">
        <f>IF(B429&gt;$AJ$2,0,HLOOKUP(C429,Assumptions!$A$12:$J$13,2,TRUE))</f>
        <v>0</v>
      </c>
      <c r="Q429">
        <f t="shared" si="341"/>
        <v>0</v>
      </c>
      <c r="R429">
        <f t="shared" si="296"/>
        <v>0</v>
      </c>
      <c r="S429">
        <f t="shared" si="342"/>
        <v>0</v>
      </c>
      <c r="T429">
        <f t="shared" si="343"/>
        <v>0</v>
      </c>
      <c r="U429">
        <f t="shared" si="297"/>
        <v>0</v>
      </c>
      <c r="V429">
        <f t="shared" si="298"/>
        <v>0</v>
      </c>
      <c r="W429">
        <f t="shared" si="299"/>
        <v>0</v>
      </c>
      <c r="X429">
        <f t="shared" si="344"/>
        <v>0</v>
      </c>
      <c r="Y429">
        <f t="shared" si="300"/>
        <v>0</v>
      </c>
      <c r="Z429">
        <f t="shared" si="301"/>
        <v>0</v>
      </c>
      <c r="AA429">
        <f t="shared" si="302"/>
        <v>0</v>
      </c>
      <c r="AB429">
        <f t="shared" si="303"/>
        <v>0</v>
      </c>
      <c r="AC429" s="23">
        <f>IF(B429&gt;$AJ$2,0,HLOOKUP(YEAR(A429),Assumptions!$A$25:$AL$29,4,TRUE)/100)</f>
        <v>0</v>
      </c>
      <c r="AD429">
        <f t="shared" si="304"/>
        <v>0</v>
      </c>
      <c r="AE429">
        <f t="shared" si="305"/>
        <v>0</v>
      </c>
      <c r="AF429">
        <f t="shared" si="306"/>
        <v>0</v>
      </c>
      <c r="AG429">
        <f t="shared" si="307"/>
        <v>0</v>
      </c>
      <c r="AH429">
        <f t="shared" si="308"/>
        <v>0</v>
      </c>
      <c r="AI429">
        <f t="shared" si="309"/>
        <v>0</v>
      </c>
      <c r="AJ429">
        <f t="shared" si="310"/>
        <v>0</v>
      </c>
      <c r="AK429">
        <f t="shared" si="345"/>
        <v>0</v>
      </c>
      <c r="AL429">
        <f t="shared" si="312"/>
        <v>0</v>
      </c>
      <c r="AM429">
        <f t="shared" si="291"/>
        <v>0</v>
      </c>
      <c r="AN429">
        <f>IF($S$2=0,0,(SUMPRODUCT($K$2:$R$2,Assumptions!$B$34:$I$34)/$U$2+$J$2/$U$2*Assumptions!$A$34*G429)*K429*O428)</f>
        <v>0</v>
      </c>
      <c r="AO429">
        <f t="shared" si="313"/>
        <v>0</v>
      </c>
      <c r="AP429">
        <f t="shared" si="314"/>
        <v>0</v>
      </c>
      <c r="AQ429">
        <f>IF(B429&gt;$AJ$2,0,AQ428*(1+Assumptions!$B$43)^(1/12))</f>
        <v>0</v>
      </c>
      <c r="AR429" s="27">
        <f>IF(B429&gt;$AJ$2,0,(O428+R428)*Assumptions!$B$39/12*AQ428+AV429*Assumptions!$B$41/12)</f>
        <v>0</v>
      </c>
      <c r="AS429">
        <f t="shared" si="315"/>
        <v>0</v>
      </c>
      <c r="AT429" s="28">
        <f t="shared" si="316"/>
        <v>0</v>
      </c>
      <c r="AU429">
        <f t="shared" si="317"/>
        <v>0</v>
      </c>
      <c r="AV429" s="28">
        <f t="shared" si="318"/>
        <v>0</v>
      </c>
      <c r="AW429" s="28">
        <f t="shared" si="319"/>
        <v>0</v>
      </c>
      <c r="AX429" s="23">
        <f>HLOOKUP(YEAR(A429),Assumptions!$A$25:$AL$29,2,TRUE)/100</f>
        <v>1.1332999999999999E-2</v>
      </c>
      <c r="AY429" s="29">
        <f>1/(1+HLOOKUP(YEAR(A429),Assumptions!$A$18:$AL$20,3,TRUE))^(1/12)</f>
        <v>0.99906100631170314</v>
      </c>
      <c r="AZ429" s="26">
        <f t="shared" si="320"/>
        <v>0</v>
      </c>
      <c r="BA429">
        <f t="shared" si="321"/>
        <v>0</v>
      </c>
      <c r="BB429">
        <f t="shared" si="322"/>
        <v>0</v>
      </c>
      <c r="BC429">
        <f t="shared" si="323"/>
        <v>0</v>
      </c>
    </row>
    <row r="430" spans="1:55" x14ac:dyDescent="0.2">
      <c r="A430" s="3">
        <f t="shared" si="292"/>
        <v>55853</v>
      </c>
      <c r="B430">
        <f t="shared" si="288"/>
        <v>432</v>
      </c>
      <c r="C430">
        <f t="shared" si="333"/>
        <v>35.916666666666664</v>
      </c>
      <c r="D430">
        <f t="shared" si="334"/>
        <v>0</v>
      </c>
      <c r="E430">
        <f t="shared" si="289"/>
        <v>91</v>
      </c>
      <c r="F430">
        <f>IF(C430&gt;=$T$2,0,VLOOKUP($E430,'Mortality Table'!$A$3:$C$128,2+AF$2,FALSE))</f>
        <v>0</v>
      </c>
      <c r="G430">
        <f>F430*Assumptions!$B$1</f>
        <v>0</v>
      </c>
      <c r="H430">
        <f t="shared" si="335"/>
        <v>0</v>
      </c>
      <c r="I430">
        <f t="shared" si="336"/>
        <v>0</v>
      </c>
      <c r="J430">
        <f>IF(B430&gt;$AJ$2,0,HLOOKUP(C430,Assumptions!$A$6:$J$7,2,TRUE))</f>
        <v>0</v>
      </c>
      <c r="K430" s="4">
        <f t="shared" si="337"/>
        <v>0</v>
      </c>
      <c r="L430" s="4">
        <f t="shared" si="294"/>
        <v>0</v>
      </c>
      <c r="M430" s="4">
        <f t="shared" si="338"/>
        <v>0</v>
      </c>
      <c r="N430">
        <f t="shared" si="339"/>
        <v>0</v>
      </c>
      <c r="O430" s="21">
        <f t="shared" si="340"/>
        <v>0</v>
      </c>
      <c r="P430">
        <f>IF(B430&gt;$AJ$2,0,HLOOKUP(C430,Assumptions!$A$12:$J$13,2,TRUE))</f>
        <v>0</v>
      </c>
      <c r="Q430">
        <f t="shared" si="341"/>
        <v>0</v>
      </c>
      <c r="R430">
        <f t="shared" si="296"/>
        <v>0</v>
      </c>
      <c r="S430">
        <f t="shared" si="342"/>
        <v>0</v>
      </c>
      <c r="T430">
        <f t="shared" si="343"/>
        <v>0</v>
      </c>
      <c r="U430">
        <f t="shared" si="297"/>
        <v>0</v>
      </c>
      <c r="V430">
        <f t="shared" si="298"/>
        <v>0</v>
      </c>
      <c r="W430">
        <f t="shared" si="299"/>
        <v>0</v>
      </c>
      <c r="X430">
        <f t="shared" si="344"/>
        <v>0</v>
      </c>
      <c r="Y430">
        <f t="shared" si="300"/>
        <v>0</v>
      </c>
      <c r="Z430">
        <f t="shared" si="301"/>
        <v>0</v>
      </c>
      <c r="AA430">
        <f t="shared" si="302"/>
        <v>0</v>
      </c>
      <c r="AB430">
        <f t="shared" si="303"/>
        <v>0</v>
      </c>
      <c r="AC430" s="23">
        <f>IF(B430&gt;$AJ$2,0,HLOOKUP(YEAR(A430),Assumptions!$A$25:$AL$29,4,TRUE)/100)</f>
        <v>0</v>
      </c>
      <c r="AD430">
        <f t="shared" si="304"/>
        <v>0</v>
      </c>
      <c r="AE430">
        <f t="shared" si="305"/>
        <v>0</v>
      </c>
      <c r="AF430">
        <f t="shared" si="306"/>
        <v>0</v>
      </c>
      <c r="AG430">
        <f t="shared" si="307"/>
        <v>0</v>
      </c>
      <c r="AH430">
        <f t="shared" si="308"/>
        <v>0</v>
      </c>
      <c r="AI430">
        <f t="shared" si="309"/>
        <v>0</v>
      </c>
      <c r="AJ430">
        <f t="shared" si="310"/>
        <v>0</v>
      </c>
      <c r="AK430">
        <f t="shared" si="345"/>
        <v>0</v>
      </c>
      <c r="AL430">
        <f t="shared" si="312"/>
        <v>0</v>
      </c>
      <c r="AM430">
        <f t="shared" si="291"/>
        <v>0</v>
      </c>
      <c r="AN430">
        <f>IF($S$2=0,0,(SUMPRODUCT($K$2:$R$2,Assumptions!$B$34:$I$34)/$U$2+$J$2/$U$2*Assumptions!$A$34*G430)*K430*O429)</f>
        <v>0</v>
      </c>
      <c r="AO430">
        <f t="shared" si="313"/>
        <v>0</v>
      </c>
      <c r="AP430">
        <f t="shared" si="314"/>
        <v>0</v>
      </c>
      <c r="AQ430">
        <f>IF(B430&gt;$AJ$2,0,AQ429*(1+Assumptions!$B$43)^(1/12))</f>
        <v>0</v>
      </c>
      <c r="AR430" s="27">
        <f>IF(B430&gt;$AJ$2,0,(O429+R429)*Assumptions!$B$39/12*AQ429+AV430*Assumptions!$B$41/12)</f>
        <v>0</v>
      </c>
      <c r="AS430">
        <f t="shared" si="315"/>
        <v>0</v>
      </c>
      <c r="AT430" s="28">
        <f t="shared" si="316"/>
        <v>0</v>
      </c>
      <c r="AU430">
        <f t="shared" si="317"/>
        <v>0</v>
      </c>
      <c r="AV430" s="28">
        <f t="shared" si="318"/>
        <v>0</v>
      </c>
      <c r="AW430" s="28">
        <f t="shared" si="319"/>
        <v>0</v>
      </c>
      <c r="AX430" s="23">
        <f>HLOOKUP(YEAR(A430),Assumptions!$A$25:$AL$29,2,TRUE)/100</f>
        <v>1.1332999999999999E-2</v>
      </c>
      <c r="AY430" s="29">
        <f>1/(1+HLOOKUP(YEAR(A430),Assumptions!$A$18:$AL$20,3,TRUE))^(1/12)</f>
        <v>0.99906100631170314</v>
      </c>
      <c r="AZ430" s="26">
        <f t="shared" si="320"/>
        <v>0</v>
      </c>
      <c r="BA430">
        <f t="shared" si="321"/>
        <v>0</v>
      </c>
      <c r="BB430">
        <f t="shared" si="322"/>
        <v>0</v>
      </c>
      <c r="BC430">
        <f t="shared" si="323"/>
        <v>0</v>
      </c>
    </row>
    <row r="431" spans="1:55" x14ac:dyDescent="0.2">
      <c r="A431" s="3">
        <f t="shared" si="292"/>
        <v>55884</v>
      </c>
      <c r="B431">
        <f t="shared" si="288"/>
        <v>433</v>
      </c>
      <c r="C431">
        <f t="shared" si="333"/>
        <v>36</v>
      </c>
      <c r="D431">
        <f t="shared" si="334"/>
        <v>1</v>
      </c>
      <c r="E431">
        <f t="shared" si="289"/>
        <v>92</v>
      </c>
      <c r="F431">
        <f>IF(C431&gt;=$T$2,0,VLOOKUP($E431,'Mortality Table'!$A$3:$C$128,2+AF$2,FALSE))</f>
        <v>0</v>
      </c>
      <c r="G431">
        <f>F431*Assumptions!$B$1</f>
        <v>0</v>
      </c>
      <c r="H431">
        <f t="shared" si="335"/>
        <v>0</v>
      </c>
      <c r="I431">
        <f t="shared" si="336"/>
        <v>0</v>
      </c>
      <c r="J431">
        <f>IF(B431&gt;$AJ$2,0,HLOOKUP(C431,Assumptions!$A$6:$J$7,2,TRUE))</f>
        <v>0</v>
      </c>
      <c r="K431" s="4">
        <f t="shared" si="337"/>
        <v>0</v>
      </c>
      <c r="L431" s="4">
        <f t="shared" si="294"/>
        <v>0</v>
      </c>
      <c r="M431" s="4">
        <f t="shared" si="338"/>
        <v>0</v>
      </c>
      <c r="N431">
        <f t="shared" si="339"/>
        <v>0</v>
      </c>
      <c r="O431" s="21">
        <f t="shared" si="340"/>
        <v>0</v>
      </c>
      <c r="P431">
        <f>IF(B431&gt;$AJ$2,0,HLOOKUP(C431,Assumptions!$A$12:$J$13,2,TRUE))</f>
        <v>0</v>
      </c>
      <c r="Q431">
        <f t="shared" si="341"/>
        <v>0</v>
      </c>
      <c r="R431">
        <f t="shared" si="296"/>
        <v>0</v>
      </c>
      <c r="S431">
        <f t="shared" si="342"/>
        <v>0</v>
      </c>
      <c r="T431">
        <f t="shared" si="343"/>
        <v>0</v>
      </c>
      <c r="U431">
        <f t="shared" si="297"/>
        <v>0</v>
      </c>
      <c r="V431">
        <f t="shared" si="298"/>
        <v>0</v>
      </c>
      <c r="W431">
        <f t="shared" si="299"/>
        <v>0</v>
      </c>
      <c r="X431">
        <f t="shared" si="344"/>
        <v>0</v>
      </c>
      <c r="Y431">
        <f t="shared" si="300"/>
        <v>0</v>
      </c>
      <c r="Z431">
        <f t="shared" si="301"/>
        <v>0</v>
      </c>
      <c r="AA431">
        <f t="shared" si="302"/>
        <v>0</v>
      </c>
      <c r="AB431">
        <f t="shared" si="303"/>
        <v>0</v>
      </c>
      <c r="AC431" s="23">
        <f>IF(B431&gt;$AJ$2,0,HLOOKUP(YEAR(A431),Assumptions!$A$25:$AL$29,4,TRUE)/100)</f>
        <v>0</v>
      </c>
      <c r="AD431">
        <f t="shared" si="304"/>
        <v>0</v>
      </c>
      <c r="AE431">
        <f t="shared" si="305"/>
        <v>0</v>
      </c>
      <c r="AF431">
        <f t="shared" si="306"/>
        <v>0</v>
      </c>
      <c r="AG431">
        <f t="shared" si="307"/>
        <v>0</v>
      </c>
      <c r="AH431">
        <f t="shared" si="308"/>
        <v>0</v>
      </c>
      <c r="AI431">
        <f t="shared" si="309"/>
        <v>0</v>
      </c>
      <c r="AJ431">
        <f t="shared" si="310"/>
        <v>0</v>
      </c>
      <c r="AK431">
        <f t="shared" si="345"/>
        <v>0</v>
      </c>
      <c r="AL431">
        <f t="shared" si="312"/>
        <v>0</v>
      </c>
      <c r="AM431">
        <f t="shared" si="291"/>
        <v>0</v>
      </c>
      <c r="AN431">
        <f>IF($S$2=0,0,(SUMPRODUCT($K$2:$R$2,Assumptions!$B$34:$I$34)/$U$2+$J$2/$U$2*Assumptions!$A$34*G431)*K431*O430)</f>
        <v>0</v>
      </c>
      <c r="AO431">
        <f t="shared" si="313"/>
        <v>0</v>
      </c>
      <c r="AP431">
        <f t="shared" si="314"/>
        <v>0</v>
      </c>
      <c r="AQ431">
        <f>IF(B431&gt;$AJ$2,0,AQ430*(1+Assumptions!$B$43)^(1/12))</f>
        <v>0</v>
      </c>
      <c r="AR431" s="27">
        <f>IF(B431&gt;$AJ$2,0,(O430+R430)*Assumptions!$B$39/12*AQ430+AV431*Assumptions!$B$41/12)</f>
        <v>0</v>
      </c>
      <c r="AS431">
        <f t="shared" si="315"/>
        <v>0</v>
      </c>
      <c r="AT431" s="28">
        <f t="shared" si="316"/>
        <v>0</v>
      </c>
      <c r="AU431">
        <f t="shared" si="317"/>
        <v>0</v>
      </c>
      <c r="AV431" s="28">
        <f t="shared" si="318"/>
        <v>0</v>
      </c>
      <c r="AW431" s="28">
        <f t="shared" si="319"/>
        <v>0</v>
      </c>
      <c r="AX431" s="23">
        <f>HLOOKUP(YEAR(A431),Assumptions!$A$25:$AL$29,2,TRUE)/100</f>
        <v>1.1332999999999999E-2</v>
      </c>
      <c r="AY431" s="29">
        <f>1/(1+HLOOKUP(YEAR(A431),Assumptions!$A$18:$AL$20,3,TRUE))^(1/12)</f>
        <v>0.99906100631170314</v>
      </c>
      <c r="AZ431" s="26">
        <f t="shared" si="320"/>
        <v>0</v>
      </c>
      <c r="BA431">
        <f t="shared" si="321"/>
        <v>0</v>
      </c>
      <c r="BB431">
        <f t="shared" si="322"/>
        <v>0</v>
      </c>
      <c r="BC431">
        <f t="shared" si="323"/>
        <v>0</v>
      </c>
    </row>
    <row r="432" spans="1:55" x14ac:dyDescent="0.2">
      <c r="A432" s="3">
        <f t="shared" si="292"/>
        <v>55915</v>
      </c>
      <c r="B432">
        <f t="shared" si="288"/>
        <v>434</v>
      </c>
      <c r="C432">
        <f t="shared" si="333"/>
        <v>36.083333333333336</v>
      </c>
      <c r="D432">
        <f t="shared" si="334"/>
        <v>0</v>
      </c>
      <c r="E432">
        <f t="shared" si="289"/>
        <v>92</v>
      </c>
      <c r="F432">
        <f>IF(C432&gt;=$T$2,0,VLOOKUP($E432,'Mortality Table'!$A$3:$C$128,2+AF$2,FALSE))</f>
        <v>0</v>
      </c>
      <c r="G432">
        <f>F432*Assumptions!$B$1</f>
        <v>0</v>
      </c>
      <c r="H432">
        <f t="shared" si="335"/>
        <v>0</v>
      </c>
      <c r="I432">
        <f t="shared" si="336"/>
        <v>0</v>
      </c>
      <c r="J432">
        <f>IF(B432&gt;$AJ$2,0,HLOOKUP(C432,Assumptions!$A$6:$J$7,2,TRUE))</f>
        <v>0</v>
      </c>
      <c r="K432" s="4">
        <f t="shared" si="337"/>
        <v>0</v>
      </c>
      <c r="L432" s="4">
        <f t="shared" si="294"/>
        <v>0</v>
      </c>
      <c r="M432" s="4">
        <f t="shared" si="338"/>
        <v>0</v>
      </c>
      <c r="N432">
        <f t="shared" si="339"/>
        <v>0</v>
      </c>
      <c r="O432" s="21">
        <f t="shared" si="340"/>
        <v>0</v>
      </c>
      <c r="P432">
        <f>IF(B432&gt;$AJ$2,0,HLOOKUP(C432,Assumptions!$A$12:$J$13,2,TRUE))</f>
        <v>0</v>
      </c>
      <c r="Q432">
        <f t="shared" si="341"/>
        <v>0</v>
      </c>
      <c r="R432">
        <f t="shared" si="296"/>
        <v>0</v>
      </c>
      <c r="S432">
        <f t="shared" si="342"/>
        <v>0</v>
      </c>
      <c r="T432">
        <f t="shared" si="343"/>
        <v>0</v>
      </c>
      <c r="U432">
        <f t="shared" si="297"/>
        <v>0</v>
      </c>
      <c r="V432">
        <f t="shared" si="298"/>
        <v>0</v>
      </c>
      <c r="W432">
        <f t="shared" si="299"/>
        <v>0</v>
      </c>
      <c r="X432">
        <f t="shared" si="344"/>
        <v>0</v>
      </c>
      <c r="Y432">
        <f t="shared" si="300"/>
        <v>0</v>
      </c>
      <c r="Z432">
        <f t="shared" si="301"/>
        <v>0</v>
      </c>
      <c r="AA432">
        <f t="shared" si="302"/>
        <v>0</v>
      </c>
      <c r="AB432">
        <f t="shared" si="303"/>
        <v>0</v>
      </c>
      <c r="AC432" s="23">
        <f>IF(B432&gt;$AJ$2,0,HLOOKUP(YEAR(A432),Assumptions!$A$25:$AL$29,4,TRUE)/100)</f>
        <v>0</v>
      </c>
      <c r="AD432">
        <f t="shared" si="304"/>
        <v>0</v>
      </c>
      <c r="AE432">
        <f t="shared" si="305"/>
        <v>0</v>
      </c>
      <c r="AF432">
        <f t="shared" si="306"/>
        <v>0</v>
      </c>
      <c r="AG432">
        <f t="shared" si="307"/>
        <v>0</v>
      </c>
      <c r="AH432">
        <f t="shared" si="308"/>
        <v>0</v>
      </c>
      <c r="AI432">
        <f t="shared" si="309"/>
        <v>0</v>
      </c>
      <c r="AJ432">
        <f t="shared" si="310"/>
        <v>0</v>
      </c>
      <c r="AK432">
        <f t="shared" si="345"/>
        <v>0</v>
      </c>
      <c r="AL432">
        <f t="shared" si="312"/>
        <v>0</v>
      </c>
      <c r="AM432">
        <f t="shared" si="291"/>
        <v>0</v>
      </c>
      <c r="AN432">
        <f>IF($S$2=0,0,(SUMPRODUCT($K$2:$R$2,Assumptions!$B$34:$I$34)/$U$2+$J$2/$U$2*Assumptions!$A$34*G432)*K432*O431)</f>
        <v>0</v>
      </c>
      <c r="AO432">
        <f t="shared" si="313"/>
        <v>0</v>
      </c>
      <c r="AP432">
        <f t="shared" si="314"/>
        <v>0</v>
      </c>
      <c r="AQ432">
        <f>IF(B432&gt;$AJ$2,0,AQ431*(1+Assumptions!$B$43)^(1/12))</f>
        <v>0</v>
      </c>
      <c r="AR432" s="27">
        <f>IF(B432&gt;$AJ$2,0,(O431+R431)*Assumptions!$B$39/12*AQ431+AV432*Assumptions!$B$41/12)</f>
        <v>0</v>
      </c>
      <c r="AS432">
        <f t="shared" si="315"/>
        <v>0</v>
      </c>
      <c r="AT432" s="28">
        <f t="shared" si="316"/>
        <v>0</v>
      </c>
      <c r="AU432">
        <f t="shared" si="317"/>
        <v>0</v>
      </c>
      <c r="AV432" s="28">
        <f t="shared" si="318"/>
        <v>0</v>
      </c>
      <c r="AW432" s="28">
        <f t="shared" si="319"/>
        <v>0</v>
      </c>
      <c r="AX432" s="23">
        <f>HLOOKUP(YEAR(A432),Assumptions!$A$25:$AL$29,2,TRUE)/100</f>
        <v>1.1332999999999999E-2</v>
      </c>
      <c r="AY432" s="29">
        <f>1/(1+HLOOKUP(YEAR(A432),Assumptions!$A$18:$AL$20,3,TRUE))^(1/12)</f>
        <v>0.99906100631170314</v>
      </c>
      <c r="AZ432" s="26">
        <f t="shared" si="320"/>
        <v>0</v>
      </c>
      <c r="BA432">
        <f t="shared" si="321"/>
        <v>0</v>
      </c>
      <c r="BB432">
        <f t="shared" si="322"/>
        <v>0</v>
      </c>
      <c r="BC432">
        <f t="shared" si="323"/>
        <v>0</v>
      </c>
    </row>
    <row r="433" spans="1:55" x14ac:dyDescent="0.2">
      <c r="A433" s="3">
        <f t="shared" si="292"/>
        <v>55943</v>
      </c>
      <c r="B433">
        <f t="shared" si="288"/>
        <v>435</v>
      </c>
      <c r="C433">
        <f t="shared" si="333"/>
        <v>36.166666666666664</v>
      </c>
      <c r="D433">
        <f t="shared" si="334"/>
        <v>0</v>
      </c>
      <c r="E433">
        <f t="shared" si="289"/>
        <v>92</v>
      </c>
      <c r="F433">
        <f>IF(C433&gt;=$T$2,0,VLOOKUP($E433,'Mortality Table'!$A$3:$C$128,2+AF$2,FALSE))</f>
        <v>0</v>
      </c>
      <c r="G433">
        <f>F433*Assumptions!$B$1</f>
        <v>0</v>
      </c>
      <c r="H433">
        <f t="shared" si="335"/>
        <v>0</v>
      </c>
      <c r="I433">
        <f t="shared" si="336"/>
        <v>0</v>
      </c>
      <c r="J433">
        <f>IF(B433&gt;$AJ$2,0,HLOOKUP(C433,Assumptions!$A$6:$J$7,2,TRUE))</f>
        <v>0</v>
      </c>
      <c r="K433" s="4">
        <f t="shared" si="337"/>
        <v>0</v>
      </c>
      <c r="L433" s="4">
        <f t="shared" si="294"/>
        <v>0</v>
      </c>
      <c r="M433" s="4">
        <f t="shared" si="338"/>
        <v>0</v>
      </c>
      <c r="N433">
        <f t="shared" si="339"/>
        <v>0</v>
      </c>
      <c r="O433" s="21">
        <f t="shared" si="340"/>
        <v>0</v>
      </c>
      <c r="P433">
        <f>IF(B433&gt;$AJ$2,0,HLOOKUP(C433,Assumptions!$A$12:$J$13,2,TRUE))</f>
        <v>0</v>
      </c>
      <c r="Q433">
        <f t="shared" si="341"/>
        <v>0</v>
      </c>
      <c r="R433">
        <f t="shared" si="296"/>
        <v>0</v>
      </c>
      <c r="S433">
        <f t="shared" si="342"/>
        <v>0</v>
      </c>
      <c r="T433">
        <f t="shared" si="343"/>
        <v>0</v>
      </c>
      <c r="U433">
        <f t="shared" si="297"/>
        <v>0</v>
      </c>
      <c r="V433">
        <f t="shared" si="298"/>
        <v>0</v>
      </c>
      <c r="W433">
        <f t="shared" si="299"/>
        <v>0</v>
      </c>
      <c r="X433">
        <f t="shared" si="344"/>
        <v>0</v>
      </c>
      <c r="Y433">
        <f t="shared" si="300"/>
        <v>0</v>
      </c>
      <c r="Z433">
        <f t="shared" si="301"/>
        <v>0</v>
      </c>
      <c r="AA433">
        <f t="shared" si="302"/>
        <v>0</v>
      </c>
      <c r="AB433">
        <f t="shared" si="303"/>
        <v>0</v>
      </c>
      <c r="AC433" s="23">
        <f>IF(B433&gt;$AJ$2,0,HLOOKUP(YEAR(A433),Assumptions!$A$25:$AL$29,4,TRUE)/100)</f>
        <v>0</v>
      </c>
      <c r="AD433">
        <f t="shared" si="304"/>
        <v>0</v>
      </c>
      <c r="AE433">
        <f t="shared" si="305"/>
        <v>0</v>
      </c>
      <c r="AF433">
        <f t="shared" si="306"/>
        <v>0</v>
      </c>
      <c r="AG433">
        <f t="shared" si="307"/>
        <v>0</v>
      </c>
      <c r="AH433">
        <f t="shared" si="308"/>
        <v>0</v>
      </c>
      <c r="AI433">
        <f t="shared" si="309"/>
        <v>0</v>
      </c>
      <c r="AJ433">
        <f t="shared" si="310"/>
        <v>0</v>
      </c>
      <c r="AK433">
        <f t="shared" si="345"/>
        <v>0</v>
      </c>
      <c r="AL433">
        <f t="shared" si="312"/>
        <v>0</v>
      </c>
      <c r="AM433">
        <f t="shared" si="291"/>
        <v>0</v>
      </c>
      <c r="AN433">
        <f>IF($S$2=0,0,(SUMPRODUCT($K$2:$R$2,Assumptions!$B$34:$I$34)/$U$2+$J$2/$U$2*Assumptions!$A$34*G433)*K433*O432)</f>
        <v>0</v>
      </c>
      <c r="AO433">
        <f t="shared" si="313"/>
        <v>0</v>
      </c>
      <c r="AP433">
        <f t="shared" si="314"/>
        <v>0</v>
      </c>
      <c r="AQ433">
        <f>IF(B433&gt;$AJ$2,0,AQ432*(1+Assumptions!$B$43)^(1/12))</f>
        <v>0</v>
      </c>
      <c r="AR433" s="27">
        <f>IF(B433&gt;$AJ$2,0,(O432+R432)*Assumptions!$B$39/12*AQ432+AV433*Assumptions!$B$41/12)</f>
        <v>0</v>
      </c>
      <c r="AS433">
        <f t="shared" si="315"/>
        <v>0</v>
      </c>
      <c r="AT433" s="28">
        <f t="shared" si="316"/>
        <v>0</v>
      </c>
      <c r="AU433">
        <f t="shared" si="317"/>
        <v>0</v>
      </c>
      <c r="AV433" s="28">
        <f t="shared" si="318"/>
        <v>0</v>
      </c>
      <c r="AW433" s="28">
        <f t="shared" si="319"/>
        <v>0</v>
      </c>
      <c r="AX433" s="23">
        <f>HLOOKUP(YEAR(A433),Assumptions!$A$25:$AL$29,2,TRUE)/100</f>
        <v>1.1332999999999999E-2</v>
      </c>
      <c r="AY433" s="29">
        <f>1/(1+HLOOKUP(YEAR(A433),Assumptions!$A$18:$AL$20,3,TRUE))^(1/12)</f>
        <v>0.99906100631170314</v>
      </c>
      <c r="AZ433" s="26">
        <f t="shared" si="320"/>
        <v>0</v>
      </c>
      <c r="BA433">
        <f t="shared" si="321"/>
        <v>0</v>
      </c>
      <c r="BB433">
        <f t="shared" si="322"/>
        <v>0</v>
      </c>
      <c r="BC433">
        <f t="shared" si="323"/>
        <v>0</v>
      </c>
    </row>
    <row r="434" spans="1:55" x14ac:dyDescent="0.2">
      <c r="A434" s="3">
        <f t="shared" si="292"/>
        <v>55974</v>
      </c>
      <c r="B434">
        <f t="shared" si="288"/>
        <v>436</v>
      </c>
      <c r="C434">
        <f t="shared" si="333"/>
        <v>36.25</v>
      </c>
      <c r="D434">
        <f t="shared" si="334"/>
        <v>0</v>
      </c>
      <c r="E434">
        <f t="shared" si="289"/>
        <v>92</v>
      </c>
      <c r="F434">
        <f>IF(C434&gt;=$T$2,0,VLOOKUP($E434,'Mortality Table'!$A$3:$C$128,2+AF$2,FALSE))</f>
        <v>0</v>
      </c>
      <c r="G434">
        <f>F434*Assumptions!$B$1</f>
        <v>0</v>
      </c>
      <c r="H434">
        <f t="shared" si="335"/>
        <v>0</v>
      </c>
      <c r="I434">
        <f t="shared" si="336"/>
        <v>0</v>
      </c>
      <c r="J434">
        <f>IF(B434&gt;$AJ$2,0,HLOOKUP(C434,Assumptions!$A$6:$J$7,2,TRUE))</f>
        <v>0</v>
      </c>
      <c r="K434" s="4">
        <f t="shared" si="337"/>
        <v>0</v>
      </c>
      <c r="L434" s="4">
        <f t="shared" si="294"/>
        <v>0</v>
      </c>
      <c r="M434" s="4">
        <f t="shared" si="338"/>
        <v>0</v>
      </c>
      <c r="N434">
        <f t="shared" si="339"/>
        <v>0</v>
      </c>
      <c r="O434" s="21">
        <f t="shared" si="340"/>
        <v>0</v>
      </c>
      <c r="P434">
        <f>IF(B434&gt;$AJ$2,0,HLOOKUP(C434,Assumptions!$A$12:$J$13,2,TRUE))</f>
        <v>0</v>
      </c>
      <c r="Q434">
        <f t="shared" si="341"/>
        <v>0</v>
      </c>
      <c r="R434">
        <f t="shared" si="296"/>
        <v>0</v>
      </c>
      <c r="S434">
        <f t="shared" si="342"/>
        <v>0</v>
      </c>
      <c r="T434">
        <f t="shared" si="343"/>
        <v>0</v>
      </c>
      <c r="U434">
        <f t="shared" si="297"/>
        <v>0</v>
      </c>
      <c r="V434">
        <f t="shared" si="298"/>
        <v>0</v>
      </c>
      <c r="W434">
        <f t="shared" si="299"/>
        <v>0</v>
      </c>
      <c r="X434">
        <f t="shared" si="344"/>
        <v>0</v>
      </c>
      <c r="Y434">
        <f t="shared" si="300"/>
        <v>0</v>
      </c>
      <c r="Z434">
        <f t="shared" si="301"/>
        <v>0</v>
      </c>
      <c r="AA434">
        <f t="shared" si="302"/>
        <v>0</v>
      </c>
      <c r="AB434">
        <f t="shared" si="303"/>
        <v>0</v>
      </c>
      <c r="AC434" s="23">
        <f>IF(B434&gt;$AJ$2,0,HLOOKUP(YEAR(A434),Assumptions!$A$25:$AL$29,4,TRUE)/100)</f>
        <v>0</v>
      </c>
      <c r="AD434">
        <f t="shared" si="304"/>
        <v>0</v>
      </c>
      <c r="AE434">
        <f t="shared" si="305"/>
        <v>0</v>
      </c>
      <c r="AF434">
        <f t="shared" si="306"/>
        <v>0</v>
      </c>
      <c r="AG434">
        <f t="shared" si="307"/>
        <v>0</v>
      </c>
      <c r="AH434">
        <f t="shared" si="308"/>
        <v>0</v>
      </c>
      <c r="AI434">
        <f t="shared" si="309"/>
        <v>0</v>
      </c>
      <c r="AJ434">
        <f t="shared" si="310"/>
        <v>0</v>
      </c>
      <c r="AK434">
        <f t="shared" si="345"/>
        <v>0</v>
      </c>
      <c r="AL434">
        <f t="shared" si="312"/>
        <v>0</v>
      </c>
      <c r="AM434">
        <f t="shared" si="291"/>
        <v>0</v>
      </c>
      <c r="AN434">
        <f>IF($S$2=0,0,(SUMPRODUCT($K$2:$R$2,Assumptions!$B$34:$I$34)/$U$2+$J$2/$U$2*Assumptions!$A$34*G434)*K434*O433)</f>
        <v>0</v>
      </c>
      <c r="AO434">
        <f t="shared" si="313"/>
        <v>0</v>
      </c>
      <c r="AP434">
        <f t="shared" si="314"/>
        <v>0</v>
      </c>
      <c r="AQ434">
        <f>IF(B434&gt;$AJ$2,0,AQ433*(1+Assumptions!$B$43)^(1/12))</f>
        <v>0</v>
      </c>
      <c r="AR434" s="27">
        <f>IF(B434&gt;$AJ$2,0,(O433+R433)*Assumptions!$B$39/12*AQ433+AV434*Assumptions!$B$41/12)</f>
        <v>0</v>
      </c>
      <c r="AS434">
        <f t="shared" si="315"/>
        <v>0</v>
      </c>
      <c r="AT434" s="28">
        <f t="shared" si="316"/>
        <v>0</v>
      </c>
      <c r="AU434">
        <f t="shared" si="317"/>
        <v>0</v>
      </c>
      <c r="AV434" s="28">
        <f t="shared" si="318"/>
        <v>0</v>
      </c>
      <c r="AW434" s="28">
        <f t="shared" si="319"/>
        <v>0</v>
      </c>
      <c r="AX434" s="23">
        <f>HLOOKUP(YEAR(A434),Assumptions!$A$25:$AL$29,2,TRUE)/100</f>
        <v>1.1332999999999999E-2</v>
      </c>
      <c r="AY434" s="29">
        <f>1/(1+HLOOKUP(YEAR(A434),Assumptions!$A$18:$AL$20,3,TRUE))^(1/12)</f>
        <v>0.99906100631170314</v>
      </c>
      <c r="AZ434" s="26">
        <f t="shared" si="320"/>
        <v>0</v>
      </c>
      <c r="BA434">
        <f t="shared" si="321"/>
        <v>0</v>
      </c>
      <c r="BB434">
        <f t="shared" si="322"/>
        <v>0</v>
      </c>
      <c r="BC434">
        <f t="shared" si="323"/>
        <v>0</v>
      </c>
    </row>
    <row r="435" spans="1:55" x14ac:dyDescent="0.2">
      <c r="A435" s="3">
        <f t="shared" si="292"/>
        <v>56004</v>
      </c>
      <c r="B435">
        <f t="shared" si="288"/>
        <v>437</v>
      </c>
      <c r="C435">
        <f t="shared" si="333"/>
        <v>36.333333333333336</v>
      </c>
      <c r="D435">
        <f t="shared" si="334"/>
        <v>0</v>
      </c>
      <c r="E435">
        <f t="shared" si="289"/>
        <v>92</v>
      </c>
      <c r="F435">
        <f>IF(C435&gt;=$T$2,0,VLOOKUP($E435,'Mortality Table'!$A$3:$C$128,2+AF$2,FALSE))</f>
        <v>0</v>
      </c>
      <c r="G435">
        <f>F435*Assumptions!$B$1</f>
        <v>0</v>
      </c>
      <c r="H435">
        <f t="shared" si="335"/>
        <v>0</v>
      </c>
      <c r="I435">
        <f t="shared" si="336"/>
        <v>0</v>
      </c>
      <c r="J435">
        <f>IF(B435&gt;$AJ$2,0,HLOOKUP(C435,Assumptions!$A$6:$J$7,2,TRUE))</f>
        <v>0</v>
      </c>
      <c r="K435" s="4">
        <f t="shared" si="337"/>
        <v>0</v>
      </c>
      <c r="L435" s="4">
        <f t="shared" si="294"/>
        <v>0</v>
      </c>
      <c r="M435" s="4">
        <f t="shared" si="338"/>
        <v>0</v>
      </c>
      <c r="N435">
        <f t="shared" si="339"/>
        <v>0</v>
      </c>
      <c r="O435" s="21">
        <f t="shared" si="340"/>
        <v>0</v>
      </c>
      <c r="P435">
        <f>IF(B435&gt;$AJ$2,0,HLOOKUP(C435,Assumptions!$A$12:$J$13,2,TRUE))</f>
        <v>0</v>
      </c>
      <c r="Q435">
        <f t="shared" si="341"/>
        <v>0</v>
      </c>
      <c r="R435">
        <f t="shared" si="296"/>
        <v>0</v>
      </c>
      <c r="S435">
        <f t="shared" si="342"/>
        <v>0</v>
      </c>
      <c r="T435">
        <f t="shared" si="343"/>
        <v>0</v>
      </c>
      <c r="U435">
        <f t="shared" si="297"/>
        <v>0</v>
      </c>
      <c r="V435">
        <f t="shared" si="298"/>
        <v>0</v>
      </c>
      <c r="W435">
        <f t="shared" si="299"/>
        <v>0</v>
      </c>
      <c r="X435">
        <f t="shared" si="344"/>
        <v>0</v>
      </c>
      <c r="Y435">
        <f t="shared" si="300"/>
        <v>0</v>
      </c>
      <c r="Z435">
        <f t="shared" si="301"/>
        <v>0</v>
      </c>
      <c r="AA435">
        <f t="shared" si="302"/>
        <v>0</v>
      </c>
      <c r="AB435">
        <f t="shared" si="303"/>
        <v>0</v>
      </c>
      <c r="AC435" s="23">
        <f>IF(B435&gt;$AJ$2,0,HLOOKUP(YEAR(A435),Assumptions!$A$25:$AL$29,4,TRUE)/100)</f>
        <v>0</v>
      </c>
      <c r="AD435">
        <f t="shared" si="304"/>
        <v>0</v>
      </c>
      <c r="AE435">
        <f t="shared" si="305"/>
        <v>0</v>
      </c>
      <c r="AF435">
        <f t="shared" si="306"/>
        <v>0</v>
      </c>
      <c r="AG435">
        <f t="shared" si="307"/>
        <v>0</v>
      </c>
      <c r="AH435">
        <f t="shared" si="308"/>
        <v>0</v>
      </c>
      <c r="AI435">
        <f t="shared" si="309"/>
        <v>0</v>
      </c>
      <c r="AJ435">
        <f t="shared" si="310"/>
        <v>0</v>
      </c>
      <c r="AK435">
        <f t="shared" si="345"/>
        <v>0</v>
      </c>
      <c r="AL435">
        <f t="shared" si="312"/>
        <v>0</v>
      </c>
      <c r="AM435">
        <f t="shared" si="291"/>
        <v>0</v>
      </c>
      <c r="AN435">
        <f>IF($S$2=0,0,(SUMPRODUCT($K$2:$R$2,Assumptions!$B$34:$I$34)/$U$2+$J$2/$U$2*Assumptions!$A$34*G435)*K435*O434)</f>
        <v>0</v>
      </c>
      <c r="AO435">
        <f t="shared" si="313"/>
        <v>0</v>
      </c>
      <c r="AP435">
        <f t="shared" si="314"/>
        <v>0</v>
      </c>
      <c r="AQ435">
        <f>IF(B435&gt;$AJ$2,0,AQ434*(1+Assumptions!$B$43)^(1/12))</f>
        <v>0</v>
      </c>
      <c r="AR435" s="27">
        <f>IF(B435&gt;$AJ$2,0,(O434+R434)*Assumptions!$B$39/12*AQ434+AV435*Assumptions!$B$41/12)</f>
        <v>0</v>
      </c>
      <c r="AS435">
        <f t="shared" si="315"/>
        <v>0</v>
      </c>
      <c r="AT435" s="28">
        <f t="shared" si="316"/>
        <v>0</v>
      </c>
      <c r="AU435">
        <f t="shared" si="317"/>
        <v>0</v>
      </c>
      <c r="AV435" s="28">
        <f t="shared" si="318"/>
        <v>0</v>
      </c>
      <c r="AW435" s="28">
        <f t="shared" si="319"/>
        <v>0</v>
      </c>
      <c r="AX435" s="23">
        <f>HLOOKUP(YEAR(A435),Assumptions!$A$25:$AL$29,2,TRUE)/100</f>
        <v>1.1332999999999999E-2</v>
      </c>
      <c r="AY435" s="29">
        <f>1/(1+HLOOKUP(YEAR(A435),Assumptions!$A$18:$AL$20,3,TRUE))^(1/12)</f>
        <v>0.99906100631170314</v>
      </c>
      <c r="AZ435" s="26">
        <f t="shared" si="320"/>
        <v>0</v>
      </c>
      <c r="BA435">
        <f t="shared" si="321"/>
        <v>0</v>
      </c>
      <c r="BB435">
        <f t="shared" si="322"/>
        <v>0</v>
      </c>
      <c r="BC435">
        <f t="shared" si="323"/>
        <v>0</v>
      </c>
    </row>
    <row r="436" spans="1:55" x14ac:dyDescent="0.2">
      <c r="A436" s="3">
        <f t="shared" si="292"/>
        <v>56035</v>
      </c>
      <c r="B436">
        <f t="shared" si="288"/>
        <v>438</v>
      </c>
      <c r="C436">
        <f t="shared" si="333"/>
        <v>36.416666666666664</v>
      </c>
      <c r="D436">
        <f t="shared" si="334"/>
        <v>0</v>
      </c>
      <c r="E436">
        <f t="shared" si="289"/>
        <v>92</v>
      </c>
      <c r="F436">
        <f>IF(C436&gt;=$T$2,0,VLOOKUP($E436,'Mortality Table'!$A$3:$C$128,2+AF$2,FALSE))</f>
        <v>0</v>
      </c>
      <c r="G436">
        <f>F436*Assumptions!$B$1</f>
        <v>0</v>
      </c>
      <c r="H436">
        <f t="shared" si="335"/>
        <v>0</v>
      </c>
      <c r="I436">
        <f t="shared" si="336"/>
        <v>0</v>
      </c>
      <c r="J436">
        <f>IF(B436&gt;$AJ$2,0,HLOOKUP(C436,Assumptions!$A$6:$J$7,2,TRUE))</f>
        <v>0</v>
      </c>
      <c r="K436" s="4">
        <f t="shared" si="337"/>
        <v>0</v>
      </c>
      <c r="L436" s="4">
        <f t="shared" si="294"/>
        <v>0</v>
      </c>
      <c r="M436" s="4">
        <f t="shared" si="338"/>
        <v>0</v>
      </c>
      <c r="N436">
        <f t="shared" si="339"/>
        <v>0</v>
      </c>
      <c r="O436" s="21">
        <f t="shared" si="340"/>
        <v>0</v>
      </c>
      <c r="P436">
        <f>IF(B436&gt;$AJ$2,0,HLOOKUP(C436,Assumptions!$A$12:$J$13,2,TRUE))</f>
        <v>0</v>
      </c>
      <c r="Q436">
        <f t="shared" si="341"/>
        <v>0</v>
      </c>
      <c r="R436">
        <f t="shared" si="296"/>
        <v>0</v>
      </c>
      <c r="S436">
        <f t="shared" si="342"/>
        <v>0</v>
      </c>
      <c r="T436">
        <f t="shared" si="343"/>
        <v>0</v>
      </c>
      <c r="U436">
        <f t="shared" si="297"/>
        <v>0</v>
      </c>
      <c r="V436">
        <f t="shared" si="298"/>
        <v>0</v>
      </c>
      <c r="W436">
        <f t="shared" si="299"/>
        <v>0</v>
      </c>
      <c r="X436">
        <f t="shared" si="344"/>
        <v>0</v>
      </c>
      <c r="Y436">
        <f t="shared" si="300"/>
        <v>0</v>
      </c>
      <c r="Z436">
        <f t="shared" si="301"/>
        <v>0</v>
      </c>
      <c r="AA436">
        <f t="shared" si="302"/>
        <v>0</v>
      </c>
      <c r="AB436">
        <f t="shared" si="303"/>
        <v>0</v>
      </c>
      <c r="AC436" s="23">
        <f>IF(B436&gt;$AJ$2,0,HLOOKUP(YEAR(A436),Assumptions!$A$25:$AL$29,4,TRUE)/100)</f>
        <v>0</v>
      </c>
      <c r="AD436">
        <f t="shared" si="304"/>
        <v>0</v>
      </c>
      <c r="AE436">
        <f t="shared" si="305"/>
        <v>0</v>
      </c>
      <c r="AF436">
        <f t="shared" si="306"/>
        <v>0</v>
      </c>
      <c r="AG436">
        <f t="shared" si="307"/>
        <v>0</v>
      </c>
      <c r="AH436">
        <f t="shared" si="308"/>
        <v>0</v>
      </c>
      <c r="AI436">
        <f t="shared" si="309"/>
        <v>0</v>
      </c>
      <c r="AJ436">
        <f t="shared" si="310"/>
        <v>0</v>
      </c>
      <c r="AK436">
        <f t="shared" si="345"/>
        <v>0</v>
      </c>
      <c r="AL436">
        <f t="shared" si="312"/>
        <v>0</v>
      </c>
      <c r="AM436">
        <f t="shared" si="291"/>
        <v>0</v>
      </c>
      <c r="AN436">
        <f>IF($S$2=0,0,(SUMPRODUCT($K$2:$R$2,Assumptions!$B$34:$I$34)/$U$2+$J$2/$U$2*Assumptions!$A$34*G436)*K436*O435)</f>
        <v>0</v>
      </c>
      <c r="AO436">
        <f t="shared" si="313"/>
        <v>0</v>
      </c>
      <c r="AP436">
        <f t="shared" si="314"/>
        <v>0</v>
      </c>
      <c r="AQ436">
        <f>IF(B436&gt;$AJ$2,0,AQ435*(1+Assumptions!$B$43)^(1/12))</f>
        <v>0</v>
      </c>
      <c r="AR436" s="27">
        <f>IF(B436&gt;$AJ$2,0,(O435+R435)*Assumptions!$B$39/12*AQ435+AV436*Assumptions!$B$41/12)</f>
        <v>0</v>
      </c>
      <c r="AS436">
        <f t="shared" si="315"/>
        <v>0</v>
      </c>
      <c r="AT436" s="28">
        <f t="shared" si="316"/>
        <v>0</v>
      </c>
      <c r="AU436">
        <f t="shared" si="317"/>
        <v>0</v>
      </c>
      <c r="AV436" s="28">
        <f t="shared" si="318"/>
        <v>0</v>
      </c>
      <c r="AW436" s="28">
        <f t="shared" si="319"/>
        <v>0</v>
      </c>
      <c r="AX436" s="23">
        <f>HLOOKUP(YEAR(A436),Assumptions!$A$25:$AL$29,2,TRUE)/100</f>
        <v>1.1332999999999999E-2</v>
      </c>
      <c r="AY436" s="29">
        <f>1/(1+HLOOKUP(YEAR(A436),Assumptions!$A$18:$AL$20,3,TRUE))^(1/12)</f>
        <v>0.99906100631170314</v>
      </c>
      <c r="AZ436" s="26">
        <f t="shared" si="320"/>
        <v>0</v>
      </c>
      <c r="BA436">
        <f t="shared" si="321"/>
        <v>0</v>
      </c>
      <c r="BB436">
        <f t="shared" si="322"/>
        <v>0</v>
      </c>
      <c r="BC436">
        <f t="shared" si="323"/>
        <v>0</v>
      </c>
    </row>
    <row r="437" spans="1:55" x14ac:dyDescent="0.2">
      <c r="A437" s="3">
        <f t="shared" si="292"/>
        <v>56065</v>
      </c>
      <c r="B437">
        <f t="shared" si="288"/>
        <v>439</v>
      </c>
      <c r="C437">
        <f t="shared" si="333"/>
        <v>36.5</v>
      </c>
      <c r="D437">
        <f t="shared" si="334"/>
        <v>0</v>
      </c>
      <c r="E437">
        <f t="shared" si="289"/>
        <v>92</v>
      </c>
      <c r="F437">
        <f>IF(C437&gt;=$T$2,0,VLOOKUP($E437,'Mortality Table'!$A$3:$C$128,2+AF$2,FALSE))</f>
        <v>0</v>
      </c>
      <c r="G437">
        <f>F437*Assumptions!$B$1</f>
        <v>0</v>
      </c>
      <c r="H437">
        <f t="shared" si="335"/>
        <v>0</v>
      </c>
      <c r="I437">
        <f t="shared" si="336"/>
        <v>0</v>
      </c>
      <c r="J437">
        <f>IF(B437&gt;$AJ$2,0,HLOOKUP(C437,Assumptions!$A$6:$J$7,2,TRUE))</f>
        <v>0</v>
      </c>
      <c r="K437" s="4">
        <f t="shared" si="337"/>
        <v>0</v>
      </c>
      <c r="L437" s="4">
        <f t="shared" si="294"/>
        <v>0</v>
      </c>
      <c r="M437" s="4">
        <f t="shared" si="338"/>
        <v>0</v>
      </c>
      <c r="N437">
        <f t="shared" si="339"/>
        <v>0</v>
      </c>
      <c r="O437" s="21">
        <f t="shared" si="340"/>
        <v>0</v>
      </c>
      <c r="P437">
        <f>IF(B437&gt;$AJ$2,0,HLOOKUP(C437,Assumptions!$A$12:$J$13,2,TRUE))</f>
        <v>0</v>
      </c>
      <c r="Q437">
        <f t="shared" si="341"/>
        <v>0</v>
      </c>
      <c r="R437">
        <f t="shared" si="296"/>
        <v>0</v>
      </c>
      <c r="S437">
        <f t="shared" si="342"/>
        <v>0</v>
      </c>
      <c r="T437">
        <f t="shared" si="343"/>
        <v>0</v>
      </c>
      <c r="U437">
        <f t="shared" si="297"/>
        <v>0</v>
      </c>
      <c r="V437">
        <f t="shared" si="298"/>
        <v>0</v>
      </c>
      <c r="W437">
        <f t="shared" si="299"/>
        <v>0</v>
      </c>
      <c r="X437">
        <f t="shared" si="344"/>
        <v>0</v>
      </c>
      <c r="Y437">
        <f t="shared" si="300"/>
        <v>0</v>
      </c>
      <c r="Z437">
        <f t="shared" si="301"/>
        <v>0</v>
      </c>
      <c r="AA437">
        <f t="shared" si="302"/>
        <v>0</v>
      </c>
      <c r="AB437">
        <f t="shared" si="303"/>
        <v>0</v>
      </c>
      <c r="AC437" s="23">
        <f>IF(B437&gt;$AJ$2,0,HLOOKUP(YEAR(A437),Assumptions!$A$25:$AL$29,4,TRUE)/100)</f>
        <v>0</v>
      </c>
      <c r="AD437">
        <f t="shared" si="304"/>
        <v>0</v>
      </c>
      <c r="AE437">
        <f t="shared" si="305"/>
        <v>0</v>
      </c>
      <c r="AF437">
        <f t="shared" si="306"/>
        <v>0</v>
      </c>
      <c r="AG437">
        <f t="shared" si="307"/>
        <v>0</v>
      </c>
      <c r="AH437">
        <f t="shared" si="308"/>
        <v>0</v>
      </c>
      <c r="AI437">
        <f t="shared" si="309"/>
        <v>0</v>
      </c>
      <c r="AJ437">
        <f t="shared" si="310"/>
        <v>0</v>
      </c>
      <c r="AK437">
        <f t="shared" si="345"/>
        <v>0</v>
      </c>
      <c r="AL437">
        <f t="shared" si="312"/>
        <v>0</v>
      </c>
      <c r="AM437">
        <f t="shared" si="291"/>
        <v>0</v>
      </c>
      <c r="AN437">
        <f>IF($S$2=0,0,(SUMPRODUCT($K$2:$R$2,Assumptions!$B$34:$I$34)/$U$2+$J$2/$U$2*Assumptions!$A$34*G437)*K437*O436)</f>
        <v>0</v>
      </c>
      <c r="AO437">
        <f t="shared" si="313"/>
        <v>0</v>
      </c>
      <c r="AP437">
        <f t="shared" si="314"/>
        <v>0</v>
      </c>
      <c r="AQ437">
        <f>IF(B437&gt;$AJ$2,0,AQ436*(1+Assumptions!$B$43)^(1/12))</f>
        <v>0</v>
      </c>
      <c r="AR437" s="27">
        <f>IF(B437&gt;$AJ$2,0,(O436+R436)*Assumptions!$B$39/12*AQ436+AV437*Assumptions!$B$41/12)</f>
        <v>0</v>
      </c>
      <c r="AS437">
        <f t="shared" si="315"/>
        <v>0</v>
      </c>
      <c r="AT437" s="28">
        <f t="shared" si="316"/>
        <v>0</v>
      </c>
      <c r="AU437">
        <f t="shared" si="317"/>
        <v>0</v>
      </c>
      <c r="AV437" s="28">
        <f t="shared" si="318"/>
        <v>0</v>
      </c>
      <c r="AW437" s="28">
        <f t="shared" si="319"/>
        <v>0</v>
      </c>
      <c r="AX437" s="23">
        <f>HLOOKUP(YEAR(A437),Assumptions!$A$25:$AL$29,2,TRUE)/100</f>
        <v>1.1332999999999999E-2</v>
      </c>
      <c r="AY437" s="29">
        <f>1/(1+HLOOKUP(YEAR(A437),Assumptions!$A$18:$AL$20,3,TRUE))^(1/12)</f>
        <v>0.99906100631170314</v>
      </c>
      <c r="AZ437" s="26">
        <f t="shared" si="320"/>
        <v>0</v>
      </c>
      <c r="BA437">
        <f t="shared" si="321"/>
        <v>0</v>
      </c>
      <c r="BB437">
        <f t="shared" si="322"/>
        <v>0</v>
      </c>
      <c r="BC437">
        <f t="shared" si="323"/>
        <v>0</v>
      </c>
    </row>
    <row r="438" spans="1:55" x14ac:dyDescent="0.2">
      <c r="A438" s="3">
        <f t="shared" si="292"/>
        <v>56096</v>
      </c>
      <c r="B438">
        <f t="shared" si="288"/>
        <v>440</v>
      </c>
      <c r="C438">
        <f t="shared" si="333"/>
        <v>36.583333333333336</v>
      </c>
      <c r="D438">
        <f t="shared" si="334"/>
        <v>0</v>
      </c>
      <c r="E438">
        <f t="shared" si="289"/>
        <v>92</v>
      </c>
      <c r="F438">
        <f>IF(C438&gt;=$T$2,0,VLOOKUP($E438,'Mortality Table'!$A$3:$C$128,2+AF$2,FALSE))</f>
        <v>0</v>
      </c>
      <c r="G438">
        <f>F438*Assumptions!$B$1</f>
        <v>0</v>
      </c>
      <c r="H438">
        <f t="shared" si="335"/>
        <v>0</v>
      </c>
      <c r="I438">
        <f t="shared" si="336"/>
        <v>0</v>
      </c>
      <c r="J438">
        <f>IF(B438&gt;$AJ$2,0,HLOOKUP(C438,Assumptions!$A$6:$J$7,2,TRUE))</f>
        <v>0</v>
      </c>
      <c r="K438" s="4">
        <f t="shared" si="337"/>
        <v>0</v>
      </c>
      <c r="L438" s="4">
        <f t="shared" si="294"/>
        <v>0</v>
      </c>
      <c r="M438" s="4">
        <f t="shared" si="338"/>
        <v>0</v>
      </c>
      <c r="N438">
        <f t="shared" si="339"/>
        <v>0</v>
      </c>
      <c r="O438" s="21">
        <f t="shared" si="340"/>
        <v>0</v>
      </c>
      <c r="P438">
        <f>IF(B438&gt;$AJ$2,0,HLOOKUP(C438,Assumptions!$A$12:$J$13,2,TRUE))</f>
        <v>0</v>
      </c>
      <c r="Q438">
        <f t="shared" si="341"/>
        <v>0</v>
      </c>
      <c r="R438">
        <f t="shared" si="296"/>
        <v>0</v>
      </c>
      <c r="S438">
        <f t="shared" si="342"/>
        <v>0</v>
      </c>
      <c r="T438">
        <f t="shared" si="343"/>
        <v>0</v>
      </c>
      <c r="U438">
        <f t="shared" si="297"/>
        <v>0</v>
      </c>
      <c r="V438">
        <f t="shared" si="298"/>
        <v>0</v>
      </c>
      <c r="W438">
        <f t="shared" si="299"/>
        <v>0</v>
      </c>
      <c r="X438">
        <f t="shared" si="344"/>
        <v>0</v>
      </c>
      <c r="Y438">
        <f t="shared" si="300"/>
        <v>0</v>
      </c>
      <c r="Z438">
        <f t="shared" si="301"/>
        <v>0</v>
      </c>
      <c r="AA438">
        <f t="shared" si="302"/>
        <v>0</v>
      </c>
      <c r="AB438">
        <f t="shared" si="303"/>
        <v>0</v>
      </c>
      <c r="AC438" s="23">
        <f>IF(B438&gt;$AJ$2,0,HLOOKUP(YEAR(A438),Assumptions!$A$25:$AL$29,4,TRUE)/100)</f>
        <v>0</v>
      </c>
      <c r="AD438">
        <f t="shared" si="304"/>
        <v>0</v>
      </c>
      <c r="AE438">
        <f t="shared" si="305"/>
        <v>0</v>
      </c>
      <c r="AF438">
        <f t="shared" si="306"/>
        <v>0</v>
      </c>
      <c r="AG438">
        <f t="shared" si="307"/>
        <v>0</v>
      </c>
      <c r="AH438">
        <f t="shared" si="308"/>
        <v>0</v>
      </c>
      <c r="AI438">
        <f t="shared" si="309"/>
        <v>0</v>
      </c>
      <c r="AJ438">
        <f t="shared" si="310"/>
        <v>0</v>
      </c>
      <c r="AK438">
        <f t="shared" si="345"/>
        <v>0</v>
      </c>
      <c r="AL438">
        <f t="shared" si="312"/>
        <v>0</v>
      </c>
      <c r="AM438">
        <f t="shared" si="291"/>
        <v>0</v>
      </c>
      <c r="AN438">
        <f>IF($S$2=0,0,(SUMPRODUCT($K$2:$R$2,Assumptions!$B$34:$I$34)/$U$2+$J$2/$U$2*Assumptions!$A$34*G438)*K438*O437)</f>
        <v>0</v>
      </c>
      <c r="AO438">
        <f t="shared" si="313"/>
        <v>0</v>
      </c>
      <c r="AP438">
        <f t="shared" si="314"/>
        <v>0</v>
      </c>
      <c r="AQ438">
        <f>IF(B438&gt;$AJ$2,0,AQ437*(1+Assumptions!$B$43)^(1/12))</f>
        <v>0</v>
      </c>
      <c r="AR438" s="27">
        <f>IF(B438&gt;$AJ$2,0,(O437+R437)*Assumptions!$B$39/12*AQ437+AV438*Assumptions!$B$41/12)</f>
        <v>0</v>
      </c>
      <c r="AS438">
        <f t="shared" si="315"/>
        <v>0</v>
      </c>
      <c r="AT438" s="28">
        <f t="shared" si="316"/>
        <v>0</v>
      </c>
      <c r="AU438">
        <f t="shared" si="317"/>
        <v>0</v>
      </c>
      <c r="AV438" s="28">
        <f t="shared" si="318"/>
        <v>0</v>
      </c>
      <c r="AW438" s="28">
        <f t="shared" si="319"/>
        <v>0</v>
      </c>
      <c r="AX438" s="23">
        <f>HLOOKUP(YEAR(A438),Assumptions!$A$25:$AL$29,2,TRUE)/100</f>
        <v>1.1332999999999999E-2</v>
      </c>
      <c r="AY438" s="29">
        <f>1/(1+HLOOKUP(YEAR(A438),Assumptions!$A$18:$AL$20,3,TRUE))^(1/12)</f>
        <v>0.99906100631170314</v>
      </c>
      <c r="AZ438" s="26">
        <f t="shared" si="320"/>
        <v>0</v>
      </c>
      <c r="BA438">
        <f t="shared" si="321"/>
        <v>0</v>
      </c>
      <c r="BB438">
        <f t="shared" si="322"/>
        <v>0</v>
      </c>
      <c r="BC438">
        <f t="shared" si="323"/>
        <v>0</v>
      </c>
    </row>
    <row r="439" spans="1:55" x14ac:dyDescent="0.2">
      <c r="A439" s="3">
        <f t="shared" si="292"/>
        <v>56127</v>
      </c>
      <c r="B439">
        <f t="shared" si="288"/>
        <v>441</v>
      </c>
      <c r="C439">
        <f t="shared" si="333"/>
        <v>36.666666666666664</v>
      </c>
      <c r="D439">
        <f t="shared" si="334"/>
        <v>0</v>
      </c>
      <c r="E439">
        <f t="shared" si="289"/>
        <v>92</v>
      </c>
      <c r="F439">
        <f>IF(C439&gt;=$T$2,0,VLOOKUP($E439,'Mortality Table'!$A$3:$C$128,2+AF$2,FALSE))</f>
        <v>0</v>
      </c>
      <c r="G439">
        <f>F439*Assumptions!$B$1</f>
        <v>0</v>
      </c>
      <c r="H439">
        <f t="shared" si="335"/>
        <v>0</v>
      </c>
      <c r="I439">
        <f t="shared" si="336"/>
        <v>0</v>
      </c>
      <c r="J439">
        <f>IF(B439&gt;$AJ$2,0,HLOOKUP(C439,Assumptions!$A$6:$J$7,2,TRUE))</f>
        <v>0</v>
      </c>
      <c r="K439" s="4">
        <f t="shared" si="337"/>
        <v>0</v>
      </c>
      <c r="L439" s="4">
        <f t="shared" si="294"/>
        <v>0</v>
      </c>
      <c r="M439" s="4">
        <f t="shared" si="338"/>
        <v>0</v>
      </c>
      <c r="N439">
        <f t="shared" si="339"/>
        <v>0</v>
      </c>
      <c r="O439" s="21">
        <f t="shared" si="340"/>
        <v>0</v>
      </c>
      <c r="P439">
        <f>IF(B439&gt;$AJ$2,0,HLOOKUP(C439,Assumptions!$A$12:$J$13,2,TRUE))</f>
        <v>0</v>
      </c>
      <c r="Q439">
        <f t="shared" si="341"/>
        <v>0</v>
      </c>
      <c r="R439">
        <f t="shared" si="296"/>
        <v>0</v>
      </c>
      <c r="S439">
        <f t="shared" si="342"/>
        <v>0</v>
      </c>
      <c r="T439">
        <f t="shared" si="343"/>
        <v>0</v>
      </c>
      <c r="U439">
        <f t="shared" si="297"/>
        <v>0</v>
      </c>
      <c r="V439">
        <f t="shared" si="298"/>
        <v>0</v>
      </c>
      <c r="W439">
        <f t="shared" si="299"/>
        <v>0</v>
      </c>
      <c r="X439">
        <f t="shared" si="344"/>
        <v>0</v>
      </c>
      <c r="Y439">
        <f t="shared" si="300"/>
        <v>0</v>
      </c>
      <c r="Z439">
        <f t="shared" si="301"/>
        <v>0</v>
      </c>
      <c r="AA439">
        <f t="shared" si="302"/>
        <v>0</v>
      </c>
      <c r="AB439">
        <f t="shared" si="303"/>
        <v>0</v>
      </c>
      <c r="AC439" s="23">
        <f>IF(B439&gt;$AJ$2,0,HLOOKUP(YEAR(A439),Assumptions!$A$25:$AL$29,4,TRUE)/100)</f>
        <v>0</v>
      </c>
      <c r="AD439">
        <f t="shared" si="304"/>
        <v>0</v>
      </c>
      <c r="AE439">
        <f t="shared" si="305"/>
        <v>0</v>
      </c>
      <c r="AF439">
        <f t="shared" si="306"/>
        <v>0</v>
      </c>
      <c r="AG439">
        <f t="shared" si="307"/>
        <v>0</v>
      </c>
      <c r="AH439">
        <f t="shared" si="308"/>
        <v>0</v>
      </c>
      <c r="AI439">
        <f t="shared" si="309"/>
        <v>0</v>
      </c>
      <c r="AJ439">
        <f t="shared" si="310"/>
        <v>0</v>
      </c>
      <c r="AK439">
        <f t="shared" si="345"/>
        <v>0</v>
      </c>
      <c r="AL439">
        <f t="shared" si="312"/>
        <v>0</v>
      </c>
      <c r="AM439">
        <f t="shared" si="291"/>
        <v>0</v>
      </c>
      <c r="AN439">
        <f>IF($S$2=0,0,(SUMPRODUCT($K$2:$R$2,Assumptions!$B$34:$I$34)/$U$2+$J$2/$U$2*Assumptions!$A$34*G439)*K439*O438)</f>
        <v>0</v>
      </c>
      <c r="AO439">
        <f t="shared" si="313"/>
        <v>0</v>
      </c>
      <c r="AP439">
        <f t="shared" si="314"/>
        <v>0</v>
      </c>
      <c r="AQ439">
        <f>IF(B439&gt;$AJ$2,0,AQ438*(1+Assumptions!$B$43)^(1/12))</f>
        <v>0</v>
      </c>
      <c r="AR439" s="27">
        <f>IF(B439&gt;$AJ$2,0,(O438+R438)*Assumptions!$B$39/12*AQ438+AV439*Assumptions!$B$41/12)</f>
        <v>0</v>
      </c>
      <c r="AS439">
        <f t="shared" si="315"/>
        <v>0</v>
      </c>
      <c r="AT439" s="28">
        <f t="shared" si="316"/>
        <v>0</v>
      </c>
      <c r="AU439">
        <f t="shared" si="317"/>
        <v>0</v>
      </c>
      <c r="AV439" s="28">
        <f t="shared" si="318"/>
        <v>0</v>
      </c>
      <c r="AW439" s="28">
        <f t="shared" si="319"/>
        <v>0</v>
      </c>
      <c r="AX439" s="23">
        <f>HLOOKUP(YEAR(A439),Assumptions!$A$25:$AL$29,2,TRUE)/100</f>
        <v>1.1332999999999999E-2</v>
      </c>
      <c r="AY439" s="29">
        <f>1/(1+HLOOKUP(YEAR(A439),Assumptions!$A$18:$AL$20,3,TRUE))^(1/12)</f>
        <v>0.99906100631170314</v>
      </c>
      <c r="AZ439" s="26">
        <f t="shared" si="320"/>
        <v>0</v>
      </c>
      <c r="BA439">
        <f t="shared" si="321"/>
        <v>0</v>
      </c>
      <c r="BB439">
        <f t="shared" si="322"/>
        <v>0</v>
      </c>
      <c r="BC439">
        <f t="shared" si="323"/>
        <v>0</v>
      </c>
    </row>
    <row r="440" spans="1:55" x14ac:dyDescent="0.2">
      <c r="A440" s="3">
        <f t="shared" si="292"/>
        <v>56157</v>
      </c>
      <c r="B440">
        <f t="shared" si="288"/>
        <v>442</v>
      </c>
      <c r="C440">
        <f t="shared" si="333"/>
        <v>36.75</v>
      </c>
      <c r="D440">
        <f t="shared" si="334"/>
        <v>0</v>
      </c>
      <c r="E440">
        <f t="shared" si="289"/>
        <v>92</v>
      </c>
      <c r="F440">
        <f>IF(C440&gt;=$T$2,0,VLOOKUP($E440,'Mortality Table'!$A$3:$C$128,2+AF$2,FALSE))</f>
        <v>0</v>
      </c>
      <c r="G440">
        <f>F440*Assumptions!$B$1</f>
        <v>0</v>
      </c>
      <c r="H440">
        <f t="shared" si="335"/>
        <v>0</v>
      </c>
      <c r="I440">
        <f t="shared" si="336"/>
        <v>0</v>
      </c>
      <c r="J440">
        <f>IF(B440&gt;$AJ$2,0,HLOOKUP(C440,Assumptions!$A$6:$J$7,2,TRUE))</f>
        <v>0</v>
      </c>
      <c r="K440" s="4">
        <f t="shared" si="337"/>
        <v>0</v>
      </c>
      <c r="L440" s="4">
        <f t="shared" si="294"/>
        <v>0</v>
      </c>
      <c r="M440" s="4">
        <f t="shared" si="338"/>
        <v>0</v>
      </c>
      <c r="N440">
        <f t="shared" si="339"/>
        <v>0</v>
      </c>
      <c r="O440" s="21">
        <f t="shared" si="340"/>
        <v>0</v>
      </c>
      <c r="P440">
        <f>IF(B440&gt;$AJ$2,0,HLOOKUP(C440,Assumptions!$A$12:$J$13,2,TRUE))</f>
        <v>0</v>
      </c>
      <c r="Q440">
        <f t="shared" si="341"/>
        <v>0</v>
      </c>
      <c r="R440">
        <f t="shared" si="296"/>
        <v>0</v>
      </c>
      <c r="S440">
        <f t="shared" si="342"/>
        <v>0</v>
      </c>
      <c r="T440">
        <f t="shared" si="343"/>
        <v>0</v>
      </c>
      <c r="U440">
        <f t="shared" si="297"/>
        <v>0</v>
      </c>
      <c r="V440">
        <f t="shared" si="298"/>
        <v>0</v>
      </c>
      <c r="W440">
        <f t="shared" si="299"/>
        <v>0</v>
      </c>
      <c r="X440">
        <f t="shared" si="344"/>
        <v>0</v>
      </c>
      <c r="Y440">
        <f t="shared" si="300"/>
        <v>0</v>
      </c>
      <c r="Z440">
        <f t="shared" si="301"/>
        <v>0</v>
      </c>
      <c r="AA440">
        <f t="shared" si="302"/>
        <v>0</v>
      </c>
      <c r="AB440">
        <f t="shared" si="303"/>
        <v>0</v>
      </c>
      <c r="AC440" s="23">
        <f>IF(B440&gt;$AJ$2,0,HLOOKUP(YEAR(A440),Assumptions!$A$25:$AL$29,4,TRUE)/100)</f>
        <v>0</v>
      </c>
      <c r="AD440">
        <f t="shared" si="304"/>
        <v>0</v>
      </c>
      <c r="AE440">
        <f t="shared" si="305"/>
        <v>0</v>
      </c>
      <c r="AF440">
        <f t="shared" si="306"/>
        <v>0</v>
      </c>
      <c r="AG440">
        <f t="shared" si="307"/>
        <v>0</v>
      </c>
      <c r="AH440">
        <f t="shared" si="308"/>
        <v>0</v>
      </c>
      <c r="AI440">
        <f t="shared" si="309"/>
        <v>0</v>
      </c>
      <c r="AJ440">
        <f t="shared" si="310"/>
        <v>0</v>
      </c>
      <c r="AK440">
        <f t="shared" si="345"/>
        <v>0</v>
      </c>
      <c r="AL440">
        <f t="shared" si="312"/>
        <v>0</v>
      </c>
      <c r="AM440">
        <f t="shared" si="291"/>
        <v>0</v>
      </c>
      <c r="AN440">
        <f>IF($S$2=0,0,(SUMPRODUCT($K$2:$R$2,Assumptions!$B$34:$I$34)/$U$2+$J$2/$U$2*Assumptions!$A$34*G440)*K440*O439)</f>
        <v>0</v>
      </c>
      <c r="AO440">
        <f t="shared" si="313"/>
        <v>0</v>
      </c>
      <c r="AP440">
        <f t="shared" si="314"/>
        <v>0</v>
      </c>
      <c r="AQ440">
        <f>IF(B440&gt;$AJ$2,0,AQ439*(1+Assumptions!$B$43)^(1/12))</f>
        <v>0</v>
      </c>
      <c r="AR440" s="27">
        <f>IF(B440&gt;$AJ$2,0,(O439+R439)*Assumptions!$B$39/12*AQ439+AV440*Assumptions!$B$41/12)</f>
        <v>0</v>
      </c>
      <c r="AS440">
        <f t="shared" si="315"/>
        <v>0</v>
      </c>
      <c r="AT440" s="28">
        <f t="shared" si="316"/>
        <v>0</v>
      </c>
      <c r="AU440">
        <f t="shared" si="317"/>
        <v>0</v>
      </c>
      <c r="AV440" s="28">
        <f t="shared" si="318"/>
        <v>0</v>
      </c>
      <c r="AW440" s="28">
        <f t="shared" si="319"/>
        <v>0</v>
      </c>
      <c r="AX440" s="23">
        <f>HLOOKUP(YEAR(A440),Assumptions!$A$25:$AL$29,2,TRUE)/100</f>
        <v>1.1332999999999999E-2</v>
      </c>
      <c r="AY440" s="29">
        <f>1/(1+HLOOKUP(YEAR(A440),Assumptions!$A$18:$AL$20,3,TRUE))^(1/12)</f>
        <v>0.99906100631170314</v>
      </c>
      <c r="AZ440" s="26">
        <f t="shared" si="320"/>
        <v>0</v>
      </c>
      <c r="BA440">
        <f t="shared" si="321"/>
        <v>0</v>
      </c>
      <c r="BB440">
        <f t="shared" si="322"/>
        <v>0</v>
      </c>
      <c r="BC440">
        <f t="shared" si="323"/>
        <v>0</v>
      </c>
    </row>
    <row r="441" spans="1:55" x14ac:dyDescent="0.2">
      <c r="A441" s="3">
        <f t="shared" si="292"/>
        <v>56188</v>
      </c>
      <c r="B441">
        <f t="shared" si="288"/>
        <v>443</v>
      </c>
      <c r="C441">
        <f t="shared" si="333"/>
        <v>36.833333333333336</v>
      </c>
      <c r="D441">
        <f t="shared" si="334"/>
        <v>0</v>
      </c>
      <c r="E441">
        <f t="shared" si="289"/>
        <v>92</v>
      </c>
      <c r="F441">
        <f>IF(C441&gt;=$T$2,0,VLOOKUP($E441,'Mortality Table'!$A$3:$C$128,2+AF$2,FALSE))</f>
        <v>0</v>
      </c>
      <c r="G441">
        <f>F441*Assumptions!$B$1</f>
        <v>0</v>
      </c>
      <c r="H441">
        <f t="shared" si="335"/>
        <v>0</v>
      </c>
      <c r="I441">
        <f t="shared" si="336"/>
        <v>0</v>
      </c>
      <c r="J441">
        <f>IF(B441&gt;$AJ$2,0,HLOOKUP(C441,Assumptions!$A$6:$J$7,2,TRUE))</f>
        <v>0</v>
      </c>
      <c r="K441" s="4">
        <f t="shared" si="337"/>
        <v>0</v>
      </c>
      <c r="L441" s="4">
        <f t="shared" si="294"/>
        <v>0</v>
      </c>
      <c r="M441" s="4">
        <f t="shared" si="338"/>
        <v>0</v>
      </c>
      <c r="N441">
        <f t="shared" si="339"/>
        <v>0</v>
      </c>
      <c r="O441" s="21">
        <f t="shared" si="340"/>
        <v>0</v>
      </c>
      <c r="P441">
        <f>IF(B441&gt;$AJ$2,0,HLOOKUP(C441,Assumptions!$A$12:$J$13,2,TRUE))</f>
        <v>0</v>
      </c>
      <c r="Q441">
        <f t="shared" si="341"/>
        <v>0</v>
      </c>
      <c r="R441">
        <f t="shared" si="296"/>
        <v>0</v>
      </c>
      <c r="S441">
        <f t="shared" si="342"/>
        <v>0</v>
      </c>
      <c r="T441">
        <f t="shared" si="343"/>
        <v>0</v>
      </c>
      <c r="U441">
        <f t="shared" si="297"/>
        <v>0</v>
      </c>
      <c r="V441">
        <f t="shared" si="298"/>
        <v>0</v>
      </c>
      <c r="W441">
        <f t="shared" si="299"/>
        <v>0</v>
      </c>
      <c r="X441">
        <f t="shared" si="344"/>
        <v>0</v>
      </c>
      <c r="Y441">
        <f t="shared" si="300"/>
        <v>0</v>
      </c>
      <c r="Z441">
        <f t="shared" si="301"/>
        <v>0</v>
      </c>
      <c r="AA441">
        <f t="shared" si="302"/>
        <v>0</v>
      </c>
      <c r="AB441">
        <f t="shared" si="303"/>
        <v>0</v>
      </c>
      <c r="AC441" s="23">
        <f>IF(B441&gt;$AJ$2,0,HLOOKUP(YEAR(A441),Assumptions!$A$25:$AL$29,4,TRUE)/100)</f>
        <v>0</v>
      </c>
      <c r="AD441">
        <f t="shared" si="304"/>
        <v>0</v>
      </c>
      <c r="AE441">
        <f t="shared" si="305"/>
        <v>0</v>
      </c>
      <c r="AF441">
        <f t="shared" si="306"/>
        <v>0</v>
      </c>
      <c r="AG441">
        <f t="shared" si="307"/>
        <v>0</v>
      </c>
      <c r="AH441">
        <f t="shared" si="308"/>
        <v>0</v>
      </c>
      <c r="AI441">
        <f t="shared" si="309"/>
        <v>0</v>
      </c>
      <c r="AJ441">
        <f t="shared" si="310"/>
        <v>0</v>
      </c>
      <c r="AK441">
        <f t="shared" si="345"/>
        <v>0</v>
      </c>
      <c r="AL441">
        <f t="shared" si="312"/>
        <v>0</v>
      </c>
      <c r="AM441">
        <f t="shared" si="291"/>
        <v>0</v>
      </c>
      <c r="AN441">
        <f>IF($S$2=0,0,(SUMPRODUCT($K$2:$R$2,Assumptions!$B$34:$I$34)/$U$2+$J$2/$U$2*Assumptions!$A$34*G441)*K441*O440)</f>
        <v>0</v>
      </c>
      <c r="AO441">
        <f t="shared" si="313"/>
        <v>0</v>
      </c>
      <c r="AP441">
        <f t="shared" si="314"/>
        <v>0</v>
      </c>
      <c r="AQ441">
        <f>IF(B441&gt;$AJ$2,0,AQ440*(1+Assumptions!$B$43)^(1/12))</f>
        <v>0</v>
      </c>
      <c r="AR441" s="27">
        <f>IF(B441&gt;$AJ$2,0,(O440+R440)*Assumptions!$B$39/12*AQ440+AV441*Assumptions!$B$41/12)</f>
        <v>0</v>
      </c>
      <c r="AS441">
        <f t="shared" si="315"/>
        <v>0</v>
      </c>
      <c r="AT441" s="28">
        <f t="shared" si="316"/>
        <v>0</v>
      </c>
      <c r="AU441">
        <f t="shared" si="317"/>
        <v>0</v>
      </c>
      <c r="AV441" s="28">
        <f t="shared" si="318"/>
        <v>0</v>
      </c>
      <c r="AW441" s="28">
        <f t="shared" si="319"/>
        <v>0</v>
      </c>
      <c r="AX441" s="23">
        <f>HLOOKUP(YEAR(A441),Assumptions!$A$25:$AL$29,2,TRUE)/100</f>
        <v>1.1332999999999999E-2</v>
      </c>
      <c r="AY441" s="29">
        <f>1/(1+HLOOKUP(YEAR(A441),Assumptions!$A$18:$AL$20,3,TRUE))^(1/12)</f>
        <v>0.99906100631170314</v>
      </c>
      <c r="AZ441" s="26">
        <f t="shared" si="320"/>
        <v>0</v>
      </c>
      <c r="BA441">
        <f t="shared" si="321"/>
        <v>0</v>
      </c>
      <c r="BB441">
        <f t="shared" si="322"/>
        <v>0</v>
      </c>
      <c r="BC441">
        <f t="shared" si="323"/>
        <v>0</v>
      </c>
    </row>
    <row r="442" spans="1:55" x14ac:dyDescent="0.2">
      <c r="A442" s="3">
        <f t="shared" si="292"/>
        <v>56218</v>
      </c>
      <c r="B442">
        <f t="shared" si="288"/>
        <v>444</v>
      </c>
      <c r="C442">
        <f t="shared" si="333"/>
        <v>36.916666666666664</v>
      </c>
      <c r="D442">
        <f t="shared" si="334"/>
        <v>0</v>
      </c>
      <c r="E442">
        <f t="shared" si="289"/>
        <v>92</v>
      </c>
      <c r="F442">
        <f>IF(C442&gt;=$T$2,0,VLOOKUP($E442,'Mortality Table'!$A$3:$C$128,2+AF$2,FALSE))</f>
        <v>0</v>
      </c>
      <c r="G442">
        <f>F442*Assumptions!$B$1</f>
        <v>0</v>
      </c>
      <c r="H442">
        <f t="shared" si="335"/>
        <v>0</v>
      </c>
      <c r="I442">
        <f t="shared" si="336"/>
        <v>0</v>
      </c>
      <c r="J442">
        <f>IF(B442&gt;$AJ$2,0,HLOOKUP(C442,Assumptions!$A$6:$J$7,2,TRUE))</f>
        <v>0</v>
      </c>
      <c r="K442" s="4">
        <f t="shared" si="337"/>
        <v>0</v>
      </c>
      <c r="L442" s="4">
        <f t="shared" si="294"/>
        <v>0</v>
      </c>
      <c r="M442" s="4">
        <f t="shared" si="338"/>
        <v>0</v>
      </c>
      <c r="N442">
        <f t="shared" si="339"/>
        <v>0</v>
      </c>
      <c r="O442" s="21">
        <f t="shared" si="340"/>
        <v>0</v>
      </c>
      <c r="P442">
        <f>IF(B442&gt;$AJ$2,0,HLOOKUP(C442,Assumptions!$A$12:$J$13,2,TRUE))</f>
        <v>0</v>
      </c>
      <c r="Q442">
        <f t="shared" si="341"/>
        <v>0</v>
      </c>
      <c r="R442">
        <f t="shared" si="296"/>
        <v>0</v>
      </c>
      <c r="S442">
        <f t="shared" si="342"/>
        <v>0</v>
      </c>
      <c r="T442">
        <f t="shared" si="343"/>
        <v>0</v>
      </c>
      <c r="U442">
        <f t="shared" si="297"/>
        <v>0</v>
      </c>
      <c r="V442">
        <f t="shared" si="298"/>
        <v>0</v>
      </c>
      <c r="W442">
        <f t="shared" si="299"/>
        <v>0</v>
      </c>
      <c r="X442">
        <f t="shared" si="344"/>
        <v>0</v>
      </c>
      <c r="Y442">
        <f t="shared" si="300"/>
        <v>0</v>
      </c>
      <c r="Z442">
        <f t="shared" si="301"/>
        <v>0</v>
      </c>
      <c r="AA442">
        <f t="shared" si="302"/>
        <v>0</v>
      </c>
      <c r="AB442">
        <f t="shared" si="303"/>
        <v>0</v>
      </c>
      <c r="AC442" s="23">
        <f>IF(B442&gt;$AJ$2,0,HLOOKUP(YEAR(A442),Assumptions!$A$25:$AL$29,4,TRUE)/100)</f>
        <v>0</v>
      </c>
      <c r="AD442">
        <f t="shared" si="304"/>
        <v>0</v>
      </c>
      <c r="AE442">
        <f t="shared" si="305"/>
        <v>0</v>
      </c>
      <c r="AF442">
        <f t="shared" si="306"/>
        <v>0</v>
      </c>
      <c r="AG442">
        <f t="shared" si="307"/>
        <v>0</v>
      </c>
      <c r="AH442">
        <f t="shared" si="308"/>
        <v>0</v>
      </c>
      <c r="AI442">
        <f t="shared" si="309"/>
        <v>0</v>
      </c>
      <c r="AJ442">
        <f t="shared" si="310"/>
        <v>0</v>
      </c>
      <c r="AK442">
        <f t="shared" si="345"/>
        <v>0</v>
      </c>
      <c r="AL442">
        <f t="shared" si="312"/>
        <v>0</v>
      </c>
      <c r="AM442">
        <f t="shared" si="291"/>
        <v>0</v>
      </c>
      <c r="AN442">
        <f>IF($S$2=0,0,(SUMPRODUCT($K$2:$R$2,Assumptions!$B$34:$I$34)/$U$2+$J$2/$U$2*Assumptions!$A$34*G442)*K442*O441)</f>
        <v>0</v>
      </c>
      <c r="AO442">
        <f t="shared" si="313"/>
        <v>0</v>
      </c>
      <c r="AP442">
        <f t="shared" si="314"/>
        <v>0</v>
      </c>
      <c r="AQ442">
        <f>IF(B442&gt;$AJ$2,0,AQ441*(1+Assumptions!$B$43)^(1/12))</f>
        <v>0</v>
      </c>
      <c r="AR442" s="27">
        <f>IF(B442&gt;$AJ$2,0,(O441+R441)*Assumptions!$B$39/12*AQ441+AV442*Assumptions!$B$41/12)</f>
        <v>0</v>
      </c>
      <c r="AS442">
        <f t="shared" si="315"/>
        <v>0</v>
      </c>
      <c r="AT442" s="28">
        <f t="shared" si="316"/>
        <v>0</v>
      </c>
      <c r="AU442">
        <f t="shared" si="317"/>
        <v>0</v>
      </c>
      <c r="AV442" s="28">
        <f t="shared" si="318"/>
        <v>0</v>
      </c>
      <c r="AW442" s="28">
        <f t="shared" si="319"/>
        <v>0</v>
      </c>
      <c r="AX442" s="23">
        <f>HLOOKUP(YEAR(A442),Assumptions!$A$25:$AL$29,2,TRUE)/100</f>
        <v>1.1332999999999999E-2</v>
      </c>
      <c r="AY442" s="29">
        <f>1/(1+HLOOKUP(YEAR(A442),Assumptions!$A$18:$AL$20,3,TRUE))^(1/12)</f>
        <v>0.99906100631170314</v>
      </c>
      <c r="AZ442" s="26">
        <f t="shared" si="320"/>
        <v>0</v>
      </c>
      <c r="BA442">
        <f t="shared" si="321"/>
        <v>0</v>
      </c>
      <c r="BB442">
        <f t="shared" si="322"/>
        <v>0</v>
      </c>
      <c r="BC442">
        <f t="shared" si="323"/>
        <v>0</v>
      </c>
    </row>
    <row r="443" spans="1:55" x14ac:dyDescent="0.2">
      <c r="A443" s="3">
        <f t="shared" si="292"/>
        <v>56249</v>
      </c>
      <c r="B443">
        <f t="shared" si="288"/>
        <v>445</v>
      </c>
      <c r="C443">
        <f t="shared" si="333"/>
        <v>37</v>
      </c>
      <c r="D443">
        <f t="shared" si="334"/>
        <v>1</v>
      </c>
      <c r="E443">
        <f t="shared" si="289"/>
        <v>93</v>
      </c>
      <c r="F443">
        <f>IF(C443&gt;=$T$2,0,VLOOKUP($E443,'Mortality Table'!$A$3:$C$128,2+AF$2,FALSE))</f>
        <v>0</v>
      </c>
      <c r="G443">
        <f>F443*Assumptions!$B$1</f>
        <v>0</v>
      </c>
      <c r="H443">
        <f t="shared" si="335"/>
        <v>0</v>
      </c>
      <c r="I443">
        <f t="shared" si="336"/>
        <v>0</v>
      </c>
      <c r="J443">
        <f>IF(B443&gt;$AJ$2,0,HLOOKUP(C443,Assumptions!$A$6:$J$7,2,TRUE))</f>
        <v>0</v>
      </c>
      <c r="K443" s="4">
        <f t="shared" si="337"/>
        <v>0</v>
      </c>
      <c r="L443" s="4">
        <f t="shared" si="294"/>
        <v>0</v>
      </c>
      <c r="M443" s="4">
        <f t="shared" si="338"/>
        <v>0</v>
      </c>
      <c r="N443">
        <f t="shared" si="339"/>
        <v>0</v>
      </c>
      <c r="O443" s="21">
        <f t="shared" si="340"/>
        <v>0</v>
      </c>
      <c r="P443">
        <f>IF(B443&gt;$AJ$2,0,HLOOKUP(C443,Assumptions!$A$12:$J$13,2,TRUE))</f>
        <v>0</v>
      </c>
      <c r="Q443">
        <f t="shared" si="341"/>
        <v>0</v>
      </c>
      <c r="R443">
        <f t="shared" si="296"/>
        <v>0</v>
      </c>
      <c r="S443">
        <f t="shared" si="342"/>
        <v>0</v>
      </c>
      <c r="T443">
        <f t="shared" si="343"/>
        <v>0</v>
      </c>
      <c r="U443">
        <f t="shared" si="297"/>
        <v>0</v>
      </c>
      <c r="V443">
        <f t="shared" si="298"/>
        <v>0</v>
      </c>
      <c r="W443">
        <f t="shared" si="299"/>
        <v>0</v>
      </c>
      <c r="X443">
        <f t="shared" si="344"/>
        <v>0</v>
      </c>
      <c r="Y443">
        <f t="shared" si="300"/>
        <v>0</v>
      </c>
      <c r="Z443">
        <f t="shared" si="301"/>
        <v>0</v>
      </c>
      <c r="AA443">
        <f t="shared" si="302"/>
        <v>0</v>
      </c>
      <c r="AB443">
        <f t="shared" si="303"/>
        <v>0</v>
      </c>
      <c r="AC443" s="23">
        <f>IF(B443&gt;$AJ$2,0,HLOOKUP(YEAR(A443),Assumptions!$A$25:$AL$29,4,TRUE)/100)</f>
        <v>0</v>
      </c>
      <c r="AD443">
        <f t="shared" si="304"/>
        <v>0</v>
      </c>
      <c r="AE443">
        <f t="shared" si="305"/>
        <v>0</v>
      </c>
      <c r="AF443">
        <f t="shared" si="306"/>
        <v>0</v>
      </c>
      <c r="AG443">
        <f t="shared" si="307"/>
        <v>0</v>
      </c>
      <c r="AH443">
        <f t="shared" si="308"/>
        <v>0</v>
      </c>
      <c r="AI443">
        <f t="shared" si="309"/>
        <v>0</v>
      </c>
      <c r="AJ443">
        <f t="shared" si="310"/>
        <v>0</v>
      </c>
      <c r="AK443">
        <f t="shared" si="345"/>
        <v>0</v>
      </c>
      <c r="AL443">
        <f t="shared" si="312"/>
        <v>0</v>
      </c>
      <c r="AM443">
        <f t="shared" si="291"/>
        <v>0</v>
      </c>
      <c r="AN443">
        <f>IF($S$2=0,0,(SUMPRODUCT($K$2:$R$2,Assumptions!$B$34:$I$34)/$U$2+$J$2/$U$2*Assumptions!$A$34*G443)*K443*O442)</f>
        <v>0</v>
      </c>
      <c r="AO443">
        <f t="shared" si="313"/>
        <v>0</v>
      </c>
      <c r="AP443">
        <f t="shared" si="314"/>
        <v>0</v>
      </c>
      <c r="AQ443">
        <f>IF(B443&gt;$AJ$2,0,AQ442*(1+Assumptions!$B$43)^(1/12))</f>
        <v>0</v>
      </c>
      <c r="AR443" s="27">
        <f>IF(B443&gt;$AJ$2,0,(O442+R442)*Assumptions!$B$39/12*AQ442+AV443*Assumptions!$B$41/12)</f>
        <v>0</v>
      </c>
      <c r="AS443">
        <f t="shared" si="315"/>
        <v>0</v>
      </c>
      <c r="AT443" s="28">
        <f t="shared" si="316"/>
        <v>0</v>
      </c>
      <c r="AU443">
        <f t="shared" si="317"/>
        <v>0</v>
      </c>
      <c r="AV443" s="28">
        <f t="shared" si="318"/>
        <v>0</v>
      </c>
      <c r="AW443" s="28">
        <f t="shared" si="319"/>
        <v>0</v>
      </c>
      <c r="AX443" s="23">
        <f>HLOOKUP(YEAR(A443),Assumptions!$A$25:$AL$29,2,TRUE)/100</f>
        <v>1.1332999999999999E-2</v>
      </c>
      <c r="AY443" s="29">
        <f>1/(1+HLOOKUP(YEAR(A443),Assumptions!$A$18:$AL$20,3,TRUE))^(1/12)</f>
        <v>0.99906100631170314</v>
      </c>
      <c r="AZ443" s="26">
        <f t="shared" si="320"/>
        <v>0</v>
      </c>
      <c r="BA443">
        <f t="shared" si="321"/>
        <v>0</v>
      </c>
      <c r="BB443">
        <f t="shared" si="322"/>
        <v>0</v>
      </c>
      <c r="BC443">
        <f t="shared" si="323"/>
        <v>0</v>
      </c>
    </row>
    <row r="444" spans="1:55" x14ac:dyDescent="0.2">
      <c r="A444" s="3">
        <f t="shared" si="292"/>
        <v>56280</v>
      </c>
      <c r="B444">
        <f t="shared" si="288"/>
        <v>446</v>
      </c>
      <c r="C444">
        <f t="shared" si="333"/>
        <v>37.083333333333336</v>
      </c>
      <c r="D444">
        <f t="shared" si="334"/>
        <v>0</v>
      </c>
      <c r="E444">
        <f t="shared" si="289"/>
        <v>93</v>
      </c>
      <c r="F444">
        <f>IF(C444&gt;=$T$2,0,VLOOKUP($E444,'Mortality Table'!$A$3:$C$128,2+AF$2,FALSE))</f>
        <v>0</v>
      </c>
      <c r="G444">
        <f>F444*Assumptions!$B$1</f>
        <v>0</v>
      </c>
      <c r="H444">
        <f t="shared" si="335"/>
        <v>0</v>
      </c>
      <c r="I444">
        <f t="shared" si="336"/>
        <v>0</v>
      </c>
      <c r="J444">
        <f>IF(B444&gt;$AJ$2,0,HLOOKUP(C444,Assumptions!$A$6:$J$7,2,TRUE))</f>
        <v>0</v>
      </c>
      <c r="K444" s="4">
        <f t="shared" si="337"/>
        <v>0</v>
      </c>
      <c r="L444" s="4">
        <f t="shared" si="294"/>
        <v>0</v>
      </c>
      <c r="M444" s="4">
        <f t="shared" si="338"/>
        <v>0</v>
      </c>
      <c r="N444">
        <f t="shared" si="339"/>
        <v>0</v>
      </c>
      <c r="O444" s="21">
        <f t="shared" si="340"/>
        <v>0</v>
      </c>
      <c r="P444">
        <f>IF(B444&gt;$AJ$2,0,HLOOKUP(C444,Assumptions!$A$12:$J$13,2,TRUE))</f>
        <v>0</v>
      </c>
      <c r="Q444">
        <f t="shared" si="341"/>
        <v>0</v>
      </c>
      <c r="R444">
        <f t="shared" si="296"/>
        <v>0</v>
      </c>
      <c r="S444">
        <f t="shared" si="342"/>
        <v>0</v>
      </c>
      <c r="T444">
        <f t="shared" si="343"/>
        <v>0</v>
      </c>
      <c r="U444">
        <f t="shared" si="297"/>
        <v>0</v>
      </c>
      <c r="V444">
        <f t="shared" si="298"/>
        <v>0</v>
      </c>
      <c r="W444">
        <f t="shared" si="299"/>
        <v>0</v>
      </c>
      <c r="X444">
        <f t="shared" si="344"/>
        <v>0</v>
      </c>
      <c r="Y444">
        <f t="shared" si="300"/>
        <v>0</v>
      </c>
      <c r="Z444">
        <f t="shared" si="301"/>
        <v>0</v>
      </c>
      <c r="AA444">
        <f t="shared" si="302"/>
        <v>0</v>
      </c>
      <c r="AB444">
        <f t="shared" si="303"/>
        <v>0</v>
      </c>
      <c r="AC444" s="23">
        <f>IF(B444&gt;$AJ$2,0,HLOOKUP(YEAR(A444),Assumptions!$A$25:$AL$29,4,TRUE)/100)</f>
        <v>0</v>
      </c>
      <c r="AD444">
        <f t="shared" si="304"/>
        <v>0</v>
      </c>
      <c r="AE444">
        <f t="shared" si="305"/>
        <v>0</v>
      </c>
      <c r="AF444">
        <f t="shared" si="306"/>
        <v>0</v>
      </c>
      <c r="AG444">
        <f t="shared" si="307"/>
        <v>0</v>
      </c>
      <c r="AH444">
        <f t="shared" si="308"/>
        <v>0</v>
      </c>
      <c r="AI444">
        <f t="shared" si="309"/>
        <v>0</v>
      </c>
      <c r="AJ444">
        <f t="shared" si="310"/>
        <v>0</v>
      </c>
      <c r="AK444">
        <f t="shared" si="345"/>
        <v>0</v>
      </c>
      <c r="AL444">
        <f t="shared" si="312"/>
        <v>0</v>
      </c>
      <c r="AM444">
        <f t="shared" si="291"/>
        <v>0</v>
      </c>
      <c r="AN444">
        <f>IF($S$2=0,0,(SUMPRODUCT($K$2:$R$2,Assumptions!$B$34:$I$34)/$U$2+$J$2/$U$2*Assumptions!$A$34*G444)*K444*O443)</f>
        <v>0</v>
      </c>
      <c r="AO444">
        <f t="shared" si="313"/>
        <v>0</v>
      </c>
      <c r="AP444">
        <f t="shared" si="314"/>
        <v>0</v>
      </c>
      <c r="AQ444">
        <f>IF(B444&gt;$AJ$2,0,AQ443*(1+Assumptions!$B$43)^(1/12))</f>
        <v>0</v>
      </c>
      <c r="AR444" s="27">
        <f>IF(B444&gt;$AJ$2,0,(O443+R443)*Assumptions!$B$39/12*AQ443+AV444*Assumptions!$B$41/12)</f>
        <v>0</v>
      </c>
      <c r="AS444">
        <f t="shared" si="315"/>
        <v>0</v>
      </c>
      <c r="AT444" s="28">
        <f t="shared" si="316"/>
        <v>0</v>
      </c>
      <c r="AU444">
        <f t="shared" si="317"/>
        <v>0</v>
      </c>
      <c r="AV444" s="28">
        <f t="shared" si="318"/>
        <v>0</v>
      </c>
      <c r="AW444" s="28">
        <f t="shared" si="319"/>
        <v>0</v>
      </c>
      <c r="AX444" s="23">
        <f>HLOOKUP(YEAR(A444),Assumptions!$A$25:$AL$29,2,TRUE)/100</f>
        <v>1.1332999999999999E-2</v>
      </c>
      <c r="AY444" s="29">
        <f>1/(1+HLOOKUP(YEAR(A444),Assumptions!$A$18:$AL$20,3,TRUE))^(1/12)</f>
        <v>0.99906100631170314</v>
      </c>
      <c r="AZ444" s="26">
        <f t="shared" si="320"/>
        <v>0</v>
      </c>
      <c r="BA444">
        <f t="shared" si="321"/>
        <v>0</v>
      </c>
      <c r="BB444">
        <f t="shared" si="322"/>
        <v>0</v>
      </c>
      <c r="BC444">
        <f t="shared" si="323"/>
        <v>0</v>
      </c>
    </row>
    <row r="445" spans="1:55" x14ac:dyDescent="0.2">
      <c r="A445" s="3">
        <f t="shared" si="292"/>
        <v>56308</v>
      </c>
      <c r="B445">
        <f t="shared" si="288"/>
        <v>447</v>
      </c>
      <c r="C445">
        <f t="shared" si="333"/>
        <v>37.166666666666664</v>
      </c>
      <c r="D445">
        <f t="shared" si="334"/>
        <v>0</v>
      </c>
      <c r="E445">
        <f t="shared" si="289"/>
        <v>93</v>
      </c>
      <c r="F445">
        <f>IF(C445&gt;=$T$2,0,VLOOKUP($E445,'Mortality Table'!$A$3:$C$128,2+AF$2,FALSE))</f>
        <v>0</v>
      </c>
      <c r="G445">
        <f>F445*Assumptions!$B$1</f>
        <v>0</v>
      </c>
      <c r="H445">
        <f t="shared" si="335"/>
        <v>0</v>
      </c>
      <c r="I445">
        <f t="shared" si="336"/>
        <v>0</v>
      </c>
      <c r="J445">
        <f>IF(B445&gt;$AJ$2,0,HLOOKUP(C445,Assumptions!$A$6:$J$7,2,TRUE))</f>
        <v>0</v>
      </c>
      <c r="K445" s="4">
        <f t="shared" si="337"/>
        <v>0</v>
      </c>
      <c r="L445" s="4">
        <f t="shared" si="294"/>
        <v>0</v>
      </c>
      <c r="M445" s="4">
        <f t="shared" si="338"/>
        <v>0</v>
      </c>
      <c r="N445">
        <f t="shared" si="339"/>
        <v>0</v>
      </c>
      <c r="O445" s="21">
        <f t="shared" si="340"/>
        <v>0</v>
      </c>
      <c r="P445">
        <f>IF(B445&gt;$AJ$2,0,HLOOKUP(C445,Assumptions!$A$12:$J$13,2,TRUE))</f>
        <v>0</v>
      </c>
      <c r="Q445">
        <f t="shared" si="341"/>
        <v>0</v>
      </c>
      <c r="R445">
        <f t="shared" si="296"/>
        <v>0</v>
      </c>
      <c r="S445">
        <f t="shared" si="342"/>
        <v>0</v>
      </c>
      <c r="T445">
        <f t="shared" si="343"/>
        <v>0</v>
      </c>
      <c r="U445">
        <f t="shared" si="297"/>
        <v>0</v>
      </c>
      <c r="V445">
        <f t="shared" si="298"/>
        <v>0</v>
      </c>
      <c r="W445">
        <f t="shared" si="299"/>
        <v>0</v>
      </c>
      <c r="X445">
        <f t="shared" si="344"/>
        <v>0</v>
      </c>
      <c r="Y445">
        <f t="shared" si="300"/>
        <v>0</v>
      </c>
      <c r="Z445">
        <f t="shared" si="301"/>
        <v>0</v>
      </c>
      <c r="AA445">
        <f t="shared" si="302"/>
        <v>0</v>
      </c>
      <c r="AB445">
        <f t="shared" si="303"/>
        <v>0</v>
      </c>
      <c r="AC445" s="23">
        <f>IF(B445&gt;$AJ$2,0,HLOOKUP(YEAR(A445),Assumptions!$A$25:$AL$29,4,TRUE)/100)</f>
        <v>0</v>
      </c>
      <c r="AD445">
        <f t="shared" si="304"/>
        <v>0</v>
      </c>
      <c r="AE445">
        <f t="shared" si="305"/>
        <v>0</v>
      </c>
      <c r="AF445">
        <f t="shared" si="306"/>
        <v>0</v>
      </c>
      <c r="AG445">
        <f t="shared" si="307"/>
        <v>0</v>
      </c>
      <c r="AH445">
        <f t="shared" si="308"/>
        <v>0</v>
      </c>
      <c r="AI445">
        <f t="shared" si="309"/>
        <v>0</v>
      </c>
      <c r="AJ445">
        <f t="shared" si="310"/>
        <v>0</v>
      </c>
      <c r="AK445">
        <f t="shared" si="345"/>
        <v>0</v>
      </c>
      <c r="AL445">
        <f t="shared" si="312"/>
        <v>0</v>
      </c>
      <c r="AM445">
        <f t="shared" si="291"/>
        <v>0</v>
      </c>
      <c r="AN445">
        <f>IF($S$2=0,0,(SUMPRODUCT($K$2:$R$2,Assumptions!$B$34:$I$34)/$U$2+$J$2/$U$2*Assumptions!$A$34*G445)*K445*O444)</f>
        <v>0</v>
      </c>
      <c r="AO445">
        <f t="shared" si="313"/>
        <v>0</v>
      </c>
      <c r="AP445">
        <f t="shared" si="314"/>
        <v>0</v>
      </c>
      <c r="AQ445">
        <f>IF(B445&gt;$AJ$2,0,AQ444*(1+Assumptions!$B$43)^(1/12))</f>
        <v>0</v>
      </c>
      <c r="AR445" s="27">
        <f>IF(B445&gt;$AJ$2,0,(O444+R444)*Assumptions!$B$39/12*AQ444+AV445*Assumptions!$B$41/12)</f>
        <v>0</v>
      </c>
      <c r="AS445">
        <f t="shared" si="315"/>
        <v>0</v>
      </c>
      <c r="AT445" s="28">
        <f t="shared" si="316"/>
        <v>0</v>
      </c>
      <c r="AU445">
        <f t="shared" si="317"/>
        <v>0</v>
      </c>
      <c r="AV445" s="28">
        <f t="shared" si="318"/>
        <v>0</v>
      </c>
      <c r="AW445" s="28">
        <f t="shared" si="319"/>
        <v>0</v>
      </c>
      <c r="AX445" s="23">
        <f>HLOOKUP(YEAR(A445),Assumptions!$A$25:$AL$29,2,TRUE)/100</f>
        <v>1.1332999999999999E-2</v>
      </c>
      <c r="AY445" s="29">
        <f>1/(1+HLOOKUP(YEAR(A445),Assumptions!$A$18:$AL$20,3,TRUE))^(1/12)</f>
        <v>0.99906100631170314</v>
      </c>
      <c r="AZ445" s="26">
        <f t="shared" si="320"/>
        <v>0</v>
      </c>
      <c r="BA445">
        <f t="shared" si="321"/>
        <v>0</v>
      </c>
      <c r="BB445">
        <f t="shared" si="322"/>
        <v>0</v>
      </c>
      <c r="BC445">
        <f t="shared" si="323"/>
        <v>0</v>
      </c>
    </row>
    <row r="446" spans="1:55" x14ac:dyDescent="0.2">
      <c r="A446" s="3">
        <f t="shared" si="292"/>
        <v>56339</v>
      </c>
      <c r="B446">
        <f t="shared" si="288"/>
        <v>448</v>
      </c>
      <c r="C446">
        <f t="shared" si="333"/>
        <v>37.25</v>
      </c>
      <c r="D446">
        <f t="shared" si="334"/>
        <v>0</v>
      </c>
      <c r="E446">
        <f t="shared" si="289"/>
        <v>93</v>
      </c>
      <c r="F446">
        <f>IF(C446&gt;=$T$2,0,VLOOKUP($E446,'Mortality Table'!$A$3:$C$128,2+AF$2,FALSE))</f>
        <v>0</v>
      </c>
      <c r="G446">
        <f>F446*Assumptions!$B$1</f>
        <v>0</v>
      </c>
      <c r="H446">
        <f t="shared" si="335"/>
        <v>0</v>
      </c>
      <c r="I446">
        <f t="shared" si="336"/>
        <v>0</v>
      </c>
      <c r="J446">
        <f>IF(B446&gt;$AJ$2,0,HLOOKUP(C446,Assumptions!$A$6:$J$7,2,TRUE))</f>
        <v>0</v>
      </c>
      <c r="K446" s="4">
        <f t="shared" si="337"/>
        <v>0</v>
      </c>
      <c r="L446" s="4">
        <f t="shared" si="294"/>
        <v>0</v>
      </c>
      <c r="M446" s="4">
        <f t="shared" si="338"/>
        <v>0</v>
      </c>
      <c r="N446">
        <f t="shared" si="339"/>
        <v>0</v>
      </c>
      <c r="O446" s="21">
        <f t="shared" si="340"/>
        <v>0</v>
      </c>
      <c r="P446">
        <f>IF(B446&gt;$AJ$2,0,HLOOKUP(C446,Assumptions!$A$12:$J$13,2,TRUE))</f>
        <v>0</v>
      </c>
      <c r="Q446">
        <f t="shared" si="341"/>
        <v>0</v>
      </c>
      <c r="R446">
        <f t="shared" si="296"/>
        <v>0</v>
      </c>
      <c r="S446">
        <f t="shared" si="342"/>
        <v>0</v>
      </c>
      <c r="T446">
        <f t="shared" si="343"/>
        <v>0</v>
      </c>
      <c r="U446">
        <f t="shared" si="297"/>
        <v>0</v>
      </c>
      <c r="V446">
        <f t="shared" si="298"/>
        <v>0</v>
      </c>
      <c r="W446">
        <f t="shared" si="299"/>
        <v>0</v>
      </c>
      <c r="X446">
        <f t="shared" si="344"/>
        <v>0</v>
      </c>
      <c r="Y446">
        <f t="shared" si="300"/>
        <v>0</v>
      </c>
      <c r="Z446">
        <f t="shared" si="301"/>
        <v>0</v>
      </c>
      <c r="AA446">
        <f t="shared" si="302"/>
        <v>0</v>
      </c>
      <c r="AB446">
        <f t="shared" si="303"/>
        <v>0</v>
      </c>
      <c r="AC446" s="23">
        <f>IF(B446&gt;$AJ$2,0,HLOOKUP(YEAR(A446),Assumptions!$A$25:$AL$29,4,TRUE)/100)</f>
        <v>0</v>
      </c>
      <c r="AD446">
        <f t="shared" si="304"/>
        <v>0</v>
      </c>
      <c r="AE446">
        <f t="shared" si="305"/>
        <v>0</v>
      </c>
      <c r="AF446">
        <f t="shared" si="306"/>
        <v>0</v>
      </c>
      <c r="AG446">
        <f t="shared" si="307"/>
        <v>0</v>
      </c>
      <c r="AH446">
        <f t="shared" si="308"/>
        <v>0</v>
      </c>
      <c r="AI446">
        <f t="shared" si="309"/>
        <v>0</v>
      </c>
      <c r="AJ446">
        <f t="shared" si="310"/>
        <v>0</v>
      </c>
      <c r="AK446">
        <f t="shared" si="345"/>
        <v>0</v>
      </c>
      <c r="AL446">
        <f t="shared" si="312"/>
        <v>0</v>
      </c>
      <c r="AM446">
        <f t="shared" si="291"/>
        <v>0</v>
      </c>
      <c r="AN446">
        <f>IF($S$2=0,0,(SUMPRODUCT($K$2:$R$2,Assumptions!$B$34:$I$34)/$U$2+$J$2/$U$2*Assumptions!$A$34*G446)*K446*O445)</f>
        <v>0</v>
      </c>
      <c r="AO446">
        <f t="shared" si="313"/>
        <v>0</v>
      </c>
      <c r="AP446">
        <f t="shared" si="314"/>
        <v>0</v>
      </c>
      <c r="AQ446">
        <f>IF(B446&gt;$AJ$2,0,AQ445*(1+Assumptions!$B$43)^(1/12))</f>
        <v>0</v>
      </c>
      <c r="AR446" s="27">
        <f>IF(B446&gt;$AJ$2,0,(O445+R445)*Assumptions!$B$39/12*AQ445+AV446*Assumptions!$B$41/12)</f>
        <v>0</v>
      </c>
      <c r="AS446">
        <f t="shared" si="315"/>
        <v>0</v>
      </c>
      <c r="AT446" s="28">
        <f t="shared" si="316"/>
        <v>0</v>
      </c>
      <c r="AU446">
        <f t="shared" si="317"/>
        <v>0</v>
      </c>
      <c r="AV446" s="28">
        <f t="shared" si="318"/>
        <v>0</v>
      </c>
      <c r="AW446" s="28">
        <f t="shared" si="319"/>
        <v>0</v>
      </c>
      <c r="AX446" s="23">
        <f>HLOOKUP(YEAR(A446),Assumptions!$A$25:$AL$29,2,TRUE)/100</f>
        <v>1.1332999999999999E-2</v>
      </c>
      <c r="AY446" s="29">
        <f>1/(1+HLOOKUP(YEAR(A446),Assumptions!$A$18:$AL$20,3,TRUE))^(1/12)</f>
        <v>0.99906100631170314</v>
      </c>
      <c r="AZ446" s="26">
        <f t="shared" si="320"/>
        <v>0</v>
      </c>
      <c r="BA446">
        <f t="shared" si="321"/>
        <v>0</v>
      </c>
      <c r="BB446">
        <f t="shared" si="322"/>
        <v>0</v>
      </c>
      <c r="BC446">
        <f t="shared" si="323"/>
        <v>0</v>
      </c>
    </row>
    <row r="447" spans="1:55" x14ac:dyDescent="0.2">
      <c r="A447" s="3">
        <f t="shared" si="292"/>
        <v>56369</v>
      </c>
      <c r="B447">
        <f t="shared" si="288"/>
        <v>449</v>
      </c>
      <c r="C447">
        <f t="shared" si="333"/>
        <v>37.333333333333336</v>
      </c>
      <c r="D447">
        <f t="shared" si="334"/>
        <v>0</v>
      </c>
      <c r="E447">
        <f t="shared" si="289"/>
        <v>93</v>
      </c>
      <c r="F447">
        <f>IF(C447&gt;=$T$2,0,VLOOKUP($E447,'Mortality Table'!$A$3:$C$128,2+AF$2,FALSE))</f>
        <v>0</v>
      </c>
      <c r="G447">
        <f>F447*Assumptions!$B$1</f>
        <v>0</v>
      </c>
      <c r="H447">
        <f t="shared" si="335"/>
        <v>0</v>
      </c>
      <c r="I447">
        <f t="shared" si="336"/>
        <v>0</v>
      </c>
      <c r="J447">
        <f>IF(B447&gt;$AJ$2,0,HLOOKUP(C447,Assumptions!$A$6:$J$7,2,TRUE))</f>
        <v>0</v>
      </c>
      <c r="K447" s="4">
        <f t="shared" si="337"/>
        <v>0</v>
      </c>
      <c r="L447" s="4">
        <f t="shared" si="294"/>
        <v>0</v>
      </c>
      <c r="M447" s="4">
        <f t="shared" si="338"/>
        <v>0</v>
      </c>
      <c r="N447">
        <f t="shared" si="339"/>
        <v>0</v>
      </c>
      <c r="O447" s="21">
        <f t="shared" si="340"/>
        <v>0</v>
      </c>
      <c r="P447">
        <f>IF(B447&gt;$AJ$2,0,HLOOKUP(C447,Assumptions!$A$12:$J$13,2,TRUE))</f>
        <v>0</v>
      </c>
      <c r="Q447">
        <f t="shared" si="341"/>
        <v>0</v>
      </c>
      <c r="R447">
        <f t="shared" si="296"/>
        <v>0</v>
      </c>
      <c r="S447">
        <f t="shared" si="342"/>
        <v>0</v>
      </c>
      <c r="T447">
        <f t="shared" si="343"/>
        <v>0</v>
      </c>
      <c r="U447">
        <f t="shared" si="297"/>
        <v>0</v>
      </c>
      <c r="V447">
        <f t="shared" si="298"/>
        <v>0</v>
      </c>
      <c r="W447">
        <f t="shared" si="299"/>
        <v>0</v>
      </c>
      <c r="X447">
        <f t="shared" si="344"/>
        <v>0</v>
      </c>
      <c r="Y447">
        <f t="shared" si="300"/>
        <v>0</v>
      </c>
      <c r="Z447">
        <f t="shared" si="301"/>
        <v>0</v>
      </c>
      <c r="AA447">
        <f t="shared" si="302"/>
        <v>0</v>
      </c>
      <c r="AB447">
        <f t="shared" si="303"/>
        <v>0</v>
      </c>
      <c r="AC447" s="23">
        <f>IF(B447&gt;$AJ$2,0,HLOOKUP(YEAR(A447),Assumptions!$A$25:$AL$29,4,TRUE)/100)</f>
        <v>0</v>
      </c>
      <c r="AD447">
        <f t="shared" si="304"/>
        <v>0</v>
      </c>
      <c r="AE447">
        <f t="shared" si="305"/>
        <v>0</v>
      </c>
      <c r="AF447">
        <f t="shared" si="306"/>
        <v>0</v>
      </c>
      <c r="AG447">
        <f t="shared" si="307"/>
        <v>0</v>
      </c>
      <c r="AH447">
        <f t="shared" si="308"/>
        <v>0</v>
      </c>
      <c r="AI447">
        <f t="shared" si="309"/>
        <v>0</v>
      </c>
      <c r="AJ447">
        <f t="shared" si="310"/>
        <v>0</v>
      </c>
      <c r="AK447">
        <f t="shared" si="345"/>
        <v>0</v>
      </c>
      <c r="AL447">
        <f t="shared" si="312"/>
        <v>0</v>
      </c>
      <c r="AM447">
        <f t="shared" si="291"/>
        <v>0</v>
      </c>
      <c r="AN447">
        <f>IF($S$2=0,0,(SUMPRODUCT($K$2:$R$2,Assumptions!$B$34:$I$34)/$U$2+$J$2/$U$2*Assumptions!$A$34*G447)*K447*O446)</f>
        <v>0</v>
      </c>
      <c r="AO447">
        <f t="shared" si="313"/>
        <v>0</v>
      </c>
      <c r="AP447">
        <f t="shared" si="314"/>
        <v>0</v>
      </c>
      <c r="AQ447">
        <f>IF(B447&gt;$AJ$2,0,AQ446*(1+Assumptions!$B$43)^(1/12))</f>
        <v>0</v>
      </c>
      <c r="AR447" s="27">
        <f>IF(B447&gt;$AJ$2,0,(O446+R446)*Assumptions!$B$39/12*AQ446+AV447*Assumptions!$B$41/12)</f>
        <v>0</v>
      </c>
      <c r="AS447">
        <f t="shared" si="315"/>
        <v>0</v>
      </c>
      <c r="AT447" s="28">
        <f t="shared" si="316"/>
        <v>0</v>
      </c>
      <c r="AU447">
        <f t="shared" si="317"/>
        <v>0</v>
      </c>
      <c r="AV447" s="28">
        <f t="shared" si="318"/>
        <v>0</v>
      </c>
      <c r="AW447" s="28">
        <f t="shared" si="319"/>
        <v>0</v>
      </c>
      <c r="AX447" s="23">
        <f>HLOOKUP(YEAR(A447),Assumptions!$A$25:$AL$29,2,TRUE)/100</f>
        <v>1.1332999999999999E-2</v>
      </c>
      <c r="AY447" s="29">
        <f>1/(1+HLOOKUP(YEAR(A447),Assumptions!$A$18:$AL$20,3,TRUE))^(1/12)</f>
        <v>0.99906100631170314</v>
      </c>
      <c r="AZ447" s="26">
        <f t="shared" si="320"/>
        <v>0</v>
      </c>
      <c r="BA447">
        <f t="shared" si="321"/>
        <v>0</v>
      </c>
      <c r="BB447">
        <f t="shared" si="322"/>
        <v>0</v>
      </c>
      <c r="BC447">
        <f t="shared" si="323"/>
        <v>0</v>
      </c>
    </row>
    <row r="448" spans="1:55" x14ac:dyDescent="0.2">
      <c r="A448" s="3">
        <f t="shared" si="292"/>
        <v>56400</v>
      </c>
      <c r="B448">
        <f t="shared" si="288"/>
        <v>450</v>
      </c>
      <c r="C448">
        <f t="shared" si="333"/>
        <v>37.416666666666664</v>
      </c>
      <c r="D448">
        <f t="shared" si="334"/>
        <v>0</v>
      </c>
      <c r="E448">
        <f t="shared" si="289"/>
        <v>93</v>
      </c>
      <c r="F448">
        <f>IF(C448&gt;=$T$2,0,VLOOKUP($E448,'Mortality Table'!$A$3:$C$128,2+AF$2,FALSE))</f>
        <v>0</v>
      </c>
      <c r="G448">
        <f>F448*Assumptions!$B$1</f>
        <v>0</v>
      </c>
      <c r="H448">
        <f t="shared" si="335"/>
        <v>0</v>
      </c>
      <c r="I448">
        <f t="shared" si="336"/>
        <v>0</v>
      </c>
      <c r="J448">
        <f>IF(B448&gt;$AJ$2,0,HLOOKUP(C448,Assumptions!$A$6:$J$7,2,TRUE))</f>
        <v>0</v>
      </c>
      <c r="K448" s="4">
        <f t="shared" si="337"/>
        <v>0</v>
      </c>
      <c r="L448" s="4">
        <f t="shared" si="294"/>
        <v>0</v>
      </c>
      <c r="M448" s="4">
        <f t="shared" si="338"/>
        <v>0</v>
      </c>
      <c r="N448">
        <f t="shared" si="339"/>
        <v>0</v>
      </c>
      <c r="O448" s="21">
        <f t="shared" si="340"/>
        <v>0</v>
      </c>
      <c r="P448">
        <f>IF(B448&gt;$AJ$2,0,HLOOKUP(C448,Assumptions!$A$12:$J$13,2,TRUE))</f>
        <v>0</v>
      </c>
      <c r="Q448">
        <f t="shared" si="341"/>
        <v>0</v>
      </c>
      <c r="R448">
        <f t="shared" si="296"/>
        <v>0</v>
      </c>
      <c r="S448">
        <f t="shared" si="342"/>
        <v>0</v>
      </c>
      <c r="T448">
        <f t="shared" si="343"/>
        <v>0</v>
      </c>
      <c r="U448">
        <f t="shared" si="297"/>
        <v>0</v>
      </c>
      <c r="V448">
        <f t="shared" si="298"/>
        <v>0</v>
      </c>
      <c r="W448">
        <f t="shared" si="299"/>
        <v>0</v>
      </c>
      <c r="X448">
        <f t="shared" si="344"/>
        <v>0</v>
      </c>
      <c r="Y448">
        <f t="shared" si="300"/>
        <v>0</v>
      </c>
      <c r="Z448">
        <f t="shared" si="301"/>
        <v>0</v>
      </c>
      <c r="AA448">
        <f t="shared" si="302"/>
        <v>0</v>
      </c>
      <c r="AB448">
        <f t="shared" si="303"/>
        <v>0</v>
      </c>
      <c r="AC448" s="23">
        <f>IF(B448&gt;$AJ$2,0,HLOOKUP(YEAR(A448),Assumptions!$A$25:$AL$29,4,TRUE)/100)</f>
        <v>0</v>
      </c>
      <c r="AD448">
        <f t="shared" si="304"/>
        <v>0</v>
      </c>
      <c r="AE448">
        <f t="shared" si="305"/>
        <v>0</v>
      </c>
      <c r="AF448">
        <f t="shared" si="306"/>
        <v>0</v>
      </c>
      <c r="AG448">
        <f t="shared" si="307"/>
        <v>0</v>
      </c>
      <c r="AH448">
        <f t="shared" si="308"/>
        <v>0</v>
      </c>
      <c r="AI448">
        <f t="shared" si="309"/>
        <v>0</v>
      </c>
      <c r="AJ448">
        <f t="shared" si="310"/>
        <v>0</v>
      </c>
      <c r="AK448">
        <f t="shared" si="345"/>
        <v>0</v>
      </c>
      <c r="AL448">
        <f t="shared" si="312"/>
        <v>0</v>
      </c>
      <c r="AM448">
        <f t="shared" si="291"/>
        <v>0</v>
      </c>
      <c r="AN448">
        <f>IF($S$2=0,0,(SUMPRODUCT($K$2:$R$2,Assumptions!$B$34:$I$34)/$U$2+$J$2/$U$2*Assumptions!$A$34*G448)*K448*O447)</f>
        <v>0</v>
      </c>
      <c r="AO448">
        <f t="shared" si="313"/>
        <v>0</v>
      </c>
      <c r="AP448">
        <f t="shared" si="314"/>
        <v>0</v>
      </c>
      <c r="AQ448">
        <f>IF(B448&gt;$AJ$2,0,AQ447*(1+Assumptions!$B$43)^(1/12))</f>
        <v>0</v>
      </c>
      <c r="AR448" s="27">
        <f>IF(B448&gt;$AJ$2,0,(O447+R447)*Assumptions!$B$39/12*AQ447+AV448*Assumptions!$B$41/12)</f>
        <v>0</v>
      </c>
      <c r="AS448">
        <f t="shared" si="315"/>
        <v>0</v>
      </c>
      <c r="AT448" s="28">
        <f t="shared" si="316"/>
        <v>0</v>
      </c>
      <c r="AU448">
        <f t="shared" si="317"/>
        <v>0</v>
      </c>
      <c r="AV448" s="28">
        <f t="shared" si="318"/>
        <v>0</v>
      </c>
      <c r="AW448" s="28">
        <f t="shared" si="319"/>
        <v>0</v>
      </c>
      <c r="AX448" s="23">
        <f>HLOOKUP(YEAR(A448),Assumptions!$A$25:$AL$29,2,TRUE)/100</f>
        <v>1.1332999999999999E-2</v>
      </c>
      <c r="AY448" s="29">
        <f>1/(1+HLOOKUP(YEAR(A448),Assumptions!$A$18:$AL$20,3,TRUE))^(1/12)</f>
        <v>0.99906100631170314</v>
      </c>
      <c r="AZ448" s="26">
        <f t="shared" si="320"/>
        <v>0</v>
      </c>
      <c r="BA448">
        <f t="shared" si="321"/>
        <v>0</v>
      </c>
      <c r="BB448">
        <f t="shared" si="322"/>
        <v>0</v>
      </c>
      <c r="BC448">
        <f t="shared" si="323"/>
        <v>0</v>
      </c>
    </row>
    <row r="449" spans="1:55" x14ac:dyDescent="0.2">
      <c r="A449" s="3">
        <f t="shared" si="292"/>
        <v>56430</v>
      </c>
      <c r="B449">
        <f t="shared" si="288"/>
        <v>451</v>
      </c>
      <c r="C449">
        <f t="shared" si="333"/>
        <v>37.5</v>
      </c>
      <c r="D449">
        <f t="shared" si="334"/>
        <v>0</v>
      </c>
      <c r="E449">
        <f t="shared" si="289"/>
        <v>93</v>
      </c>
      <c r="F449">
        <f>IF(C449&gt;=$T$2,0,VLOOKUP($E449,'Mortality Table'!$A$3:$C$128,2+AF$2,FALSE))</f>
        <v>0</v>
      </c>
      <c r="G449">
        <f>F449*Assumptions!$B$1</f>
        <v>0</v>
      </c>
      <c r="H449">
        <f t="shared" si="335"/>
        <v>0</v>
      </c>
      <c r="I449">
        <f t="shared" si="336"/>
        <v>0</v>
      </c>
      <c r="J449">
        <f>IF(B449&gt;$AJ$2,0,HLOOKUP(C449,Assumptions!$A$6:$J$7,2,TRUE))</f>
        <v>0</v>
      </c>
      <c r="K449" s="4">
        <f t="shared" si="337"/>
        <v>0</v>
      </c>
      <c r="L449" s="4">
        <f t="shared" si="294"/>
        <v>0</v>
      </c>
      <c r="M449" s="4">
        <f t="shared" si="338"/>
        <v>0</v>
      </c>
      <c r="N449">
        <f t="shared" si="339"/>
        <v>0</v>
      </c>
      <c r="O449" s="21">
        <f t="shared" si="340"/>
        <v>0</v>
      </c>
      <c r="P449">
        <f>IF(B449&gt;$AJ$2,0,HLOOKUP(C449,Assumptions!$A$12:$J$13,2,TRUE))</f>
        <v>0</v>
      </c>
      <c r="Q449">
        <f t="shared" si="341"/>
        <v>0</v>
      </c>
      <c r="R449">
        <f t="shared" si="296"/>
        <v>0</v>
      </c>
      <c r="S449">
        <f t="shared" si="342"/>
        <v>0</v>
      </c>
      <c r="T449">
        <f t="shared" si="343"/>
        <v>0</v>
      </c>
      <c r="U449">
        <f t="shared" si="297"/>
        <v>0</v>
      </c>
      <c r="V449">
        <f t="shared" si="298"/>
        <v>0</v>
      </c>
      <c r="W449">
        <f t="shared" si="299"/>
        <v>0</v>
      </c>
      <c r="X449">
        <f t="shared" si="344"/>
        <v>0</v>
      </c>
      <c r="Y449">
        <f t="shared" si="300"/>
        <v>0</v>
      </c>
      <c r="Z449">
        <f t="shared" si="301"/>
        <v>0</v>
      </c>
      <c r="AA449">
        <f t="shared" si="302"/>
        <v>0</v>
      </c>
      <c r="AB449">
        <f t="shared" si="303"/>
        <v>0</v>
      </c>
      <c r="AC449" s="23">
        <f>IF(B449&gt;$AJ$2,0,HLOOKUP(YEAR(A449),Assumptions!$A$25:$AL$29,4,TRUE)/100)</f>
        <v>0</v>
      </c>
      <c r="AD449">
        <f t="shared" si="304"/>
        <v>0</v>
      </c>
      <c r="AE449">
        <f t="shared" si="305"/>
        <v>0</v>
      </c>
      <c r="AF449">
        <f t="shared" si="306"/>
        <v>0</v>
      </c>
      <c r="AG449">
        <f t="shared" si="307"/>
        <v>0</v>
      </c>
      <c r="AH449">
        <f t="shared" si="308"/>
        <v>0</v>
      </c>
      <c r="AI449">
        <f t="shared" si="309"/>
        <v>0</v>
      </c>
      <c r="AJ449">
        <f t="shared" si="310"/>
        <v>0</v>
      </c>
      <c r="AK449">
        <f t="shared" si="345"/>
        <v>0</v>
      </c>
      <c r="AL449">
        <f t="shared" si="312"/>
        <v>0</v>
      </c>
      <c r="AM449">
        <f t="shared" si="291"/>
        <v>0</v>
      </c>
      <c r="AN449">
        <f>IF($S$2=0,0,(SUMPRODUCT($K$2:$R$2,Assumptions!$B$34:$I$34)/$U$2+$J$2/$U$2*Assumptions!$A$34*G449)*K449*O448)</f>
        <v>0</v>
      </c>
      <c r="AO449">
        <f t="shared" si="313"/>
        <v>0</v>
      </c>
      <c r="AP449">
        <f t="shared" si="314"/>
        <v>0</v>
      </c>
      <c r="AQ449">
        <f>IF(B449&gt;$AJ$2,0,AQ448*(1+Assumptions!$B$43)^(1/12))</f>
        <v>0</v>
      </c>
      <c r="AR449" s="27">
        <f>IF(B449&gt;$AJ$2,0,(O448+R448)*Assumptions!$B$39/12*AQ448+AV449*Assumptions!$B$41/12)</f>
        <v>0</v>
      </c>
      <c r="AS449">
        <f t="shared" si="315"/>
        <v>0</v>
      </c>
      <c r="AT449" s="28">
        <f t="shared" si="316"/>
        <v>0</v>
      </c>
      <c r="AU449">
        <f t="shared" si="317"/>
        <v>0</v>
      </c>
      <c r="AV449" s="28">
        <f t="shared" si="318"/>
        <v>0</v>
      </c>
      <c r="AW449" s="28">
        <f t="shared" si="319"/>
        <v>0</v>
      </c>
      <c r="AX449" s="23">
        <f>HLOOKUP(YEAR(A449),Assumptions!$A$25:$AL$29,2,TRUE)/100</f>
        <v>1.1332999999999999E-2</v>
      </c>
      <c r="AY449" s="29">
        <f>1/(1+HLOOKUP(YEAR(A449),Assumptions!$A$18:$AL$20,3,TRUE))^(1/12)</f>
        <v>0.99906100631170314</v>
      </c>
      <c r="AZ449" s="26">
        <f t="shared" si="320"/>
        <v>0</v>
      </c>
      <c r="BA449">
        <f t="shared" si="321"/>
        <v>0</v>
      </c>
      <c r="BB449">
        <f t="shared" si="322"/>
        <v>0</v>
      </c>
      <c r="BC449">
        <f t="shared" si="323"/>
        <v>0</v>
      </c>
    </row>
    <row r="450" spans="1:55" x14ac:dyDescent="0.2">
      <c r="A450" s="3">
        <f t="shared" si="292"/>
        <v>56461</v>
      </c>
      <c r="B450">
        <f t="shared" si="288"/>
        <v>452</v>
      </c>
      <c r="C450">
        <f t="shared" si="333"/>
        <v>37.583333333333336</v>
      </c>
      <c r="D450">
        <f t="shared" si="334"/>
        <v>0</v>
      </c>
      <c r="E450">
        <f t="shared" si="289"/>
        <v>93</v>
      </c>
      <c r="F450">
        <f>IF(C450&gt;=$T$2,0,VLOOKUP($E450,'Mortality Table'!$A$3:$C$128,2+AF$2,FALSE))</f>
        <v>0</v>
      </c>
      <c r="G450">
        <f>F450*Assumptions!$B$1</f>
        <v>0</v>
      </c>
      <c r="H450">
        <f t="shared" si="335"/>
        <v>0</v>
      </c>
      <c r="I450">
        <f t="shared" si="336"/>
        <v>0</v>
      </c>
      <c r="J450">
        <f>IF(B450&gt;$AJ$2,0,HLOOKUP(C450,Assumptions!$A$6:$J$7,2,TRUE))</f>
        <v>0</v>
      </c>
      <c r="K450" s="4">
        <f t="shared" si="337"/>
        <v>0</v>
      </c>
      <c r="L450" s="4">
        <f t="shared" si="294"/>
        <v>0</v>
      </c>
      <c r="M450" s="4">
        <f t="shared" si="338"/>
        <v>0</v>
      </c>
      <c r="N450">
        <f t="shared" si="339"/>
        <v>0</v>
      </c>
      <c r="O450" s="21">
        <f t="shared" si="340"/>
        <v>0</v>
      </c>
      <c r="P450">
        <f>IF(B450&gt;$AJ$2,0,HLOOKUP(C450,Assumptions!$A$12:$J$13,2,TRUE))</f>
        <v>0</v>
      </c>
      <c r="Q450">
        <f t="shared" si="341"/>
        <v>0</v>
      </c>
      <c r="R450">
        <f t="shared" si="296"/>
        <v>0</v>
      </c>
      <c r="S450">
        <f t="shared" si="342"/>
        <v>0</v>
      </c>
      <c r="T450">
        <f t="shared" si="343"/>
        <v>0</v>
      </c>
      <c r="U450">
        <f t="shared" si="297"/>
        <v>0</v>
      </c>
      <c r="V450">
        <f t="shared" si="298"/>
        <v>0</v>
      </c>
      <c r="W450">
        <f t="shared" si="299"/>
        <v>0</v>
      </c>
      <c r="X450">
        <f t="shared" si="344"/>
        <v>0</v>
      </c>
      <c r="Y450">
        <f t="shared" si="300"/>
        <v>0</v>
      </c>
      <c r="Z450">
        <f t="shared" si="301"/>
        <v>0</v>
      </c>
      <c r="AA450">
        <f t="shared" si="302"/>
        <v>0</v>
      </c>
      <c r="AB450">
        <f t="shared" si="303"/>
        <v>0</v>
      </c>
      <c r="AC450" s="23">
        <f>IF(B450&gt;$AJ$2,0,HLOOKUP(YEAR(A450),Assumptions!$A$25:$AL$29,4,TRUE)/100)</f>
        <v>0</v>
      </c>
      <c r="AD450">
        <f t="shared" si="304"/>
        <v>0</v>
      </c>
      <c r="AE450">
        <f t="shared" si="305"/>
        <v>0</v>
      </c>
      <c r="AF450">
        <f t="shared" si="306"/>
        <v>0</v>
      </c>
      <c r="AG450">
        <f t="shared" si="307"/>
        <v>0</v>
      </c>
      <c r="AH450">
        <f t="shared" si="308"/>
        <v>0</v>
      </c>
      <c r="AI450">
        <f t="shared" si="309"/>
        <v>0</v>
      </c>
      <c r="AJ450">
        <f t="shared" si="310"/>
        <v>0</v>
      </c>
      <c r="AK450">
        <f t="shared" si="345"/>
        <v>0</v>
      </c>
      <c r="AL450">
        <f t="shared" si="312"/>
        <v>0</v>
      </c>
      <c r="AM450">
        <f t="shared" si="291"/>
        <v>0</v>
      </c>
      <c r="AN450">
        <f>IF($S$2=0,0,(SUMPRODUCT($K$2:$R$2,Assumptions!$B$34:$I$34)/$U$2+$J$2/$U$2*Assumptions!$A$34*G450)*K450*O449)</f>
        <v>0</v>
      </c>
      <c r="AO450">
        <f t="shared" si="313"/>
        <v>0</v>
      </c>
      <c r="AP450">
        <f t="shared" si="314"/>
        <v>0</v>
      </c>
      <c r="AQ450">
        <f>IF(B450&gt;$AJ$2,0,AQ449*(1+Assumptions!$B$43)^(1/12))</f>
        <v>0</v>
      </c>
      <c r="AR450" s="27">
        <f>IF(B450&gt;$AJ$2,0,(O449+R449)*Assumptions!$B$39/12*AQ449+AV450*Assumptions!$B$41/12)</f>
        <v>0</v>
      </c>
      <c r="AS450">
        <f t="shared" si="315"/>
        <v>0</v>
      </c>
      <c r="AT450" s="28">
        <f t="shared" si="316"/>
        <v>0</v>
      </c>
      <c r="AU450">
        <f t="shared" si="317"/>
        <v>0</v>
      </c>
      <c r="AV450" s="28">
        <f t="shared" si="318"/>
        <v>0</v>
      </c>
      <c r="AW450" s="28">
        <f t="shared" si="319"/>
        <v>0</v>
      </c>
      <c r="AX450" s="23">
        <f>HLOOKUP(YEAR(A450),Assumptions!$A$25:$AL$29,2,TRUE)/100</f>
        <v>1.1332999999999999E-2</v>
      </c>
      <c r="AY450" s="29">
        <f>1/(1+HLOOKUP(YEAR(A450),Assumptions!$A$18:$AL$20,3,TRUE))^(1/12)</f>
        <v>0.99906100631170314</v>
      </c>
      <c r="AZ450" s="26">
        <f t="shared" si="320"/>
        <v>0</v>
      </c>
      <c r="BA450">
        <f t="shared" si="321"/>
        <v>0</v>
      </c>
      <c r="BB450">
        <f t="shared" si="322"/>
        <v>0</v>
      </c>
      <c r="BC450">
        <f t="shared" si="323"/>
        <v>0</v>
      </c>
    </row>
    <row r="451" spans="1:55" x14ac:dyDescent="0.2">
      <c r="A451" s="3">
        <f t="shared" si="292"/>
        <v>56492</v>
      </c>
      <c r="B451">
        <f t="shared" si="288"/>
        <v>453</v>
      </c>
      <c r="C451">
        <f t="shared" si="333"/>
        <v>37.666666666666664</v>
      </c>
      <c r="D451">
        <f t="shared" si="334"/>
        <v>0</v>
      </c>
      <c r="E451">
        <f t="shared" si="289"/>
        <v>93</v>
      </c>
      <c r="F451">
        <f>IF(C451&gt;=$T$2,0,VLOOKUP($E451,'Mortality Table'!$A$3:$C$128,2+AF$2,FALSE))</f>
        <v>0</v>
      </c>
      <c r="G451">
        <f>F451*Assumptions!$B$1</f>
        <v>0</v>
      </c>
      <c r="H451">
        <f t="shared" si="335"/>
        <v>0</v>
      </c>
      <c r="I451">
        <f t="shared" si="336"/>
        <v>0</v>
      </c>
      <c r="J451">
        <f>IF(B451&gt;$AJ$2,0,HLOOKUP(C451,Assumptions!$A$6:$J$7,2,TRUE))</f>
        <v>0</v>
      </c>
      <c r="K451" s="4">
        <f t="shared" si="337"/>
        <v>0</v>
      </c>
      <c r="L451" s="4">
        <f t="shared" si="294"/>
        <v>0</v>
      </c>
      <c r="M451" s="4">
        <f t="shared" si="338"/>
        <v>0</v>
      </c>
      <c r="N451">
        <f t="shared" si="339"/>
        <v>0</v>
      </c>
      <c r="O451" s="21">
        <f t="shared" si="340"/>
        <v>0</v>
      </c>
      <c r="P451">
        <f>IF(B451&gt;$AJ$2,0,HLOOKUP(C451,Assumptions!$A$12:$J$13,2,TRUE))</f>
        <v>0</v>
      </c>
      <c r="Q451">
        <f t="shared" si="341"/>
        <v>0</v>
      </c>
      <c r="R451">
        <f t="shared" si="296"/>
        <v>0</v>
      </c>
      <c r="S451">
        <f t="shared" si="342"/>
        <v>0</v>
      </c>
      <c r="T451">
        <f t="shared" si="343"/>
        <v>0</v>
      </c>
      <c r="U451">
        <f t="shared" si="297"/>
        <v>0</v>
      </c>
      <c r="V451">
        <f t="shared" si="298"/>
        <v>0</v>
      </c>
      <c r="W451">
        <f t="shared" si="299"/>
        <v>0</v>
      </c>
      <c r="X451">
        <f t="shared" si="344"/>
        <v>0</v>
      </c>
      <c r="Y451">
        <f t="shared" si="300"/>
        <v>0</v>
      </c>
      <c r="Z451">
        <f t="shared" si="301"/>
        <v>0</v>
      </c>
      <c r="AA451">
        <f t="shared" si="302"/>
        <v>0</v>
      </c>
      <c r="AB451">
        <f t="shared" si="303"/>
        <v>0</v>
      </c>
      <c r="AC451" s="23">
        <f>IF(B451&gt;$AJ$2,0,HLOOKUP(YEAR(A451),Assumptions!$A$25:$AL$29,4,TRUE)/100)</f>
        <v>0</v>
      </c>
      <c r="AD451">
        <f t="shared" si="304"/>
        <v>0</v>
      </c>
      <c r="AE451">
        <f t="shared" si="305"/>
        <v>0</v>
      </c>
      <c r="AF451">
        <f t="shared" si="306"/>
        <v>0</v>
      </c>
      <c r="AG451">
        <f t="shared" si="307"/>
        <v>0</v>
      </c>
      <c r="AH451">
        <f t="shared" si="308"/>
        <v>0</v>
      </c>
      <c r="AI451">
        <f t="shared" si="309"/>
        <v>0</v>
      </c>
      <c r="AJ451">
        <f t="shared" si="310"/>
        <v>0</v>
      </c>
      <c r="AK451">
        <f t="shared" si="345"/>
        <v>0</v>
      </c>
      <c r="AL451">
        <f t="shared" si="312"/>
        <v>0</v>
      </c>
      <c r="AM451">
        <f t="shared" si="291"/>
        <v>0</v>
      </c>
      <c r="AN451">
        <f>IF($S$2=0,0,(SUMPRODUCT($K$2:$R$2,Assumptions!$B$34:$I$34)/$U$2+$J$2/$U$2*Assumptions!$A$34*G451)*K451*O450)</f>
        <v>0</v>
      </c>
      <c r="AO451">
        <f t="shared" si="313"/>
        <v>0</v>
      </c>
      <c r="AP451">
        <f t="shared" si="314"/>
        <v>0</v>
      </c>
      <c r="AQ451">
        <f>IF(B451&gt;$AJ$2,0,AQ450*(1+Assumptions!$B$43)^(1/12))</f>
        <v>0</v>
      </c>
      <c r="AR451" s="27">
        <f>IF(B451&gt;$AJ$2,0,(O450+R450)*Assumptions!$B$39/12*AQ450+AV451*Assumptions!$B$41/12)</f>
        <v>0</v>
      </c>
      <c r="AS451">
        <f t="shared" si="315"/>
        <v>0</v>
      </c>
      <c r="AT451" s="28">
        <f t="shared" si="316"/>
        <v>0</v>
      </c>
      <c r="AU451">
        <f t="shared" si="317"/>
        <v>0</v>
      </c>
      <c r="AV451" s="28">
        <f t="shared" si="318"/>
        <v>0</v>
      </c>
      <c r="AW451" s="28">
        <f t="shared" si="319"/>
        <v>0</v>
      </c>
      <c r="AX451" s="23">
        <f>HLOOKUP(YEAR(A451),Assumptions!$A$25:$AL$29,2,TRUE)/100</f>
        <v>1.1332999999999999E-2</v>
      </c>
      <c r="AY451" s="29">
        <f>1/(1+HLOOKUP(YEAR(A451),Assumptions!$A$18:$AL$20,3,TRUE))^(1/12)</f>
        <v>0.99906100631170314</v>
      </c>
      <c r="AZ451" s="26">
        <f t="shared" si="320"/>
        <v>0</v>
      </c>
      <c r="BA451">
        <f t="shared" si="321"/>
        <v>0</v>
      </c>
      <c r="BB451">
        <f t="shared" si="322"/>
        <v>0</v>
      </c>
      <c r="BC451">
        <f t="shared" si="323"/>
        <v>0</v>
      </c>
    </row>
    <row r="452" spans="1:55" x14ac:dyDescent="0.2">
      <c r="A452" s="3">
        <f t="shared" si="292"/>
        <v>56522</v>
      </c>
      <c r="B452">
        <f t="shared" si="288"/>
        <v>454</v>
      </c>
      <c r="C452">
        <f t="shared" si="333"/>
        <v>37.75</v>
      </c>
      <c r="D452">
        <f t="shared" si="334"/>
        <v>0</v>
      </c>
      <c r="E452">
        <f t="shared" si="289"/>
        <v>93</v>
      </c>
      <c r="F452">
        <f>IF(C452&gt;=$T$2,0,VLOOKUP($E452,'Mortality Table'!$A$3:$C$128,2+AF$2,FALSE))</f>
        <v>0</v>
      </c>
      <c r="G452">
        <f>F452*Assumptions!$B$1</f>
        <v>0</v>
      </c>
      <c r="H452">
        <f t="shared" si="335"/>
        <v>0</v>
      </c>
      <c r="I452">
        <f t="shared" si="336"/>
        <v>0</v>
      </c>
      <c r="J452">
        <f>IF(B452&gt;$AJ$2,0,HLOOKUP(C452,Assumptions!$A$6:$J$7,2,TRUE))</f>
        <v>0</v>
      </c>
      <c r="K452" s="4">
        <f t="shared" si="337"/>
        <v>0</v>
      </c>
      <c r="L452" s="4">
        <f t="shared" si="294"/>
        <v>0</v>
      </c>
      <c r="M452" s="4">
        <f t="shared" si="338"/>
        <v>0</v>
      </c>
      <c r="N452">
        <f t="shared" si="339"/>
        <v>0</v>
      </c>
      <c r="O452" s="21">
        <f t="shared" si="340"/>
        <v>0</v>
      </c>
      <c r="P452">
        <f>IF(B452&gt;$AJ$2,0,HLOOKUP(C452,Assumptions!$A$12:$J$13,2,TRUE))</f>
        <v>0</v>
      </c>
      <c r="Q452">
        <f t="shared" si="341"/>
        <v>0</v>
      </c>
      <c r="R452">
        <f t="shared" si="296"/>
        <v>0</v>
      </c>
      <c r="S452">
        <f t="shared" si="342"/>
        <v>0</v>
      </c>
      <c r="T452">
        <f t="shared" si="343"/>
        <v>0</v>
      </c>
      <c r="U452">
        <f t="shared" si="297"/>
        <v>0</v>
      </c>
      <c r="V452">
        <f t="shared" si="298"/>
        <v>0</v>
      </c>
      <c r="W452">
        <f t="shared" si="299"/>
        <v>0</v>
      </c>
      <c r="X452">
        <f t="shared" si="344"/>
        <v>0</v>
      </c>
      <c r="Y452">
        <f t="shared" si="300"/>
        <v>0</v>
      </c>
      <c r="Z452">
        <f t="shared" si="301"/>
        <v>0</v>
      </c>
      <c r="AA452">
        <f t="shared" si="302"/>
        <v>0</v>
      </c>
      <c r="AB452">
        <f t="shared" si="303"/>
        <v>0</v>
      </c>
      <c r="AC452" s="23">
        <f>IF(B452&gt;$AJ$2,0,HLOOKUP(YEAR(A452),Assumptions!$A$25:$AL$29,4,TRUE)/100)</f>
        <v>0</v>
      </c>
      <c r="AD452">
        <f t="shared" si="304"/>
        <v>0</v>
      </c>
      <c r="AE452">
        <f t="shared" si="305"/>
        <v>0</v>
      </c>
      <c r="AF452">
        <f t="shared" si="306"/>
        <v>0</v>
      </c>
      <c r="AG452">
        <f t="shared" si="307"/>
        <v>0</v>
      </c>
      <c r="AH452">
        <f t="shared" si="308"/>
        <v>0</v>
      </c>
      <c r="AI452">
        <f t="shared" si="309"/>
        <v>0</v>
      </c>
      <c r="AJ452">
        <f t="shared" si="310"/>
        <v>0</v>
      </c>
      <c r="AK452">
        <f t="shared" si="345"/>
        <v>0</v>
      </c>
      <c r="AL452">
        <f t="shared" si="312"/>
        <v>0</v>
      </c>
      <c r="AM452">
        <f t="shared" si="291"/>
        <v>0</v>
      </c>
      <c r="AN452">
        <f>IF($S$2=0,0,(SUMPRODUCT($K$2:$R$2,Assumptions!$B$34:$I$34)/$U$2+$J$2/$U$2*Assumptions!$A$34*G452)*K452*O451)</f>
        <v>0</v>
      </c>
      <c r="AO452">
        <f t="shared" si="313"/>
        <v>0</v>
      </c>
      <c r="AP452">
        <f t="shared" si="314"/>
        <v>0</v>
      </c>
      <c r="AQ452">
        <f>IF(B452&gt;$AJ$2,0,AQ451*(1+Assumptions!$B$43)^(1/12))</f>
        <v>0</v>
      </c>
      <c r="AR452" s="27">
        <f>IF(B452&gt;$AJ$2,0,(O451+R451)*Assumptions!$B$39/12*AQ451+AV452*Assumptions!$B$41/12)</f>
        <v>0</v>
      </c>
      <c r="AS452">
        <f t="shared" si="315"/>
        <v>0</v>
      </c>
      <c r="AT452" s="28">
        <f t="shared" si="316"/>
        <v>0</v>
      </c>
      <c r="AU452">
        <f t="shared" si="317"/>
        <v>0</v>
      </c>
      <c r="AV452" s="28">
        <f t="shared" si="318"/>
        <v>0</v>
      </c>
      <c r="AW452" s="28">
        <f t="shared" si="319"/>
        <v>0</v>
      </c>
      <c r="AX452" s="23">
        <f>HLOOKUP(YEAR(A452),Assumptions!$A$25:$AL$29,2,TRUE)/100</f>
        <v>1.1332999999999999E-2</v>
      </c>
      <c r="AY452" s="29">
        <f>1/(1+HLOOKUP(YEAR(A452),Assumptions!$A$18:$AL$20,3,TRUE))^(1/12)</f>
        <v>0.99906100631170314</v>
      </c>
      <c r="AZ452" s="26">
        <f t="shared" si="320"/>
        <v>0</v>
      </c>
      <c r="BA452">
        <f t="shared" si="321"/>
        <v>0</v>
      </c>
      <c r="BB452">
        <f t="shared" si="322"/>
        <v>0</v>
      </c>
      <c r="BC452">
        <f t="shared" si="323"/>
        <v>0</v>
      </c>
    </row>
    <row r="453" spans="1:55" x14ac:dyDescent="0.2">
      <c r="A453" s="3">
        <f t="shared" si="292"/>
        <v>56553</v>
      </c>
      <c r="B453">
        <f t="shared" si="288"/>
        <v>455</v>
      </c>
      <c r="C453">
        <f t="shared" si="333"/>
        <v>37.833333333333336</v>
      </c>
      <c r="D453">
        <f t="shared" si="334"/>
        <v>0</v>
      </c>
      <c r="E453">
        <f t="shared" si="289"/>
        <v>93</v>
      </c>
      <c r="F453">
        <f>IF(C453&gt;=$T$2,0,VLOOKUP($E453,'Mortality Table'!$A$3:$C$128,2+AF$2,FALSE))</f>
        <v>0</v>
      </c>
      <c r="G453">
        <f>F453*Assumptions!$B$1</f>
        <v>0</v>
      </c>
      <c r="H453">
        <f t="shared" si="335"/>
        <v>0</v>
      </c>
      <c r="I453">
        <f t="shared" si="336"/>
        <v>0</v>
      </c>
      <c r="J453">
        <f>IF(B453&gt;$AJ$2,0,HLOOKUP(C453,Assumptions!$A$6:$J$7,2,TRUE))</f>
        <v>0</v>
      </c>
      <c r="K453" s="4">
        <f t="shared" si="337"/>
        <v>0</v>
      </c>
      <c r="L453" s="4">
        <f t="shared" si="294"/>
        <v>0</v>
      </c>
      <c r="M453" s="4">
        <f t="shared" si="338"/>
        <v>0</v>
      </c>
      <c r="N453">
        <f t="shared" si="339"/>
        <v>0</v>
      </c>
      <c r="O453" s="21">
        <f t="shared" si="340"/>
        <v>0</v>
      </c>
      <c r="P453">
        <f>IF(B453&gt;$AJ$2,0,HLOOKUP(C453,Assumptions!$A$12:$J$13,2,TRUE))</f>
        <v>0</v>
      </c>
      <c r="Q453">
        <f t="shared" si="341"/>
        <v>0</v>
      </c>
      <c r="R453">
        <f t="shared" si="296"/>
        <v>0</v>
      </c>
      <c r="S453">
        <f t="shared" si="342"/>
        <v>0</v>
      </c>
      <c r="T453">
        <f t="shared" si="343"/>
        <v>0</v>
      </c>
      <c r="U453">
        <f t="shared" si="297"/>
        <v>0</v>
      </c>
      <c r="V453">
        <f t="shared" si="298"/>
        <v>0</v>
      </c>
      <c r="W453">
        <f t="shared" si="299"/>
        <v>0</v>
      </c>
      <c r="X453">
        <f t="shared" si="344"/>
        <v>0</v>
      </c>
      <c r="Y453">
        <f t="shared" si="300"/>
        <v>0</v>
      </c>
      <c r="Z453">
        <f t="shared" si="301"/>
        <v>0</v>
      </c>
      <c r="AA453">
        <f t="shared" si="302"/>
        <v>0</v>
      </c>
      <c r="AB453">
        <f t="shared" si="303"/>
        <v>0</v>
      </c>
      <c r="AC453" s="23">
        <f>IF(B453&gt;$AJ$2,0,HLOOKUP(YEAR(A453),Assumptions!$A$25:$AL$29,4,TRUE)/100)</f>
        <v>0</v>
      </c>
      <c r="AD453">
        <f t="shared" si="304"/>
        <v>0</v>
      </c>
      <c r="AE453">
        <f t="shared" si="305"/>
        <v>0</v>
      </c>
      <c r="AF453">
        <f t="shared" si="306"/>
        <v>0</v>
      </c>
      <c r="AG453">
        <f t="shared" si="307"/>
        <v>0</v>
      </c>
      <c r="AH453">
        <f t="shared" si="308"/>
        <v>0</v>
      </c>
      <c r="AI453">
        <f t="shared" si="309"/>
        <v>0</v>
      </c>
      <c r="AJ453">
        <f t="shared" si="310"/>
        <v>0</v>
      </c>
      <c r="AK453">
        <f t="shared" si="345"/>
        <v>0</v>
      </c>
      <c r="AL453">
        <f t="shared" si="312"/>
        <v>0</v>
      </c>
      <c r="AM453">
        <f t="shared" si="291"/>
        <v>0</v>
      </c>
      <c r="AN453">
        <f>IF($S$2=0,0,(SUMPRODUCT($K$2:$R$2,Assumptions!$B$34:$I$34)/$U$2+$J$2/$U$2*Assumptions!$A$34*G453)*K453*O452)</f>
        <v>0</v>
      </c>
      <c r="AO453">
        <f t="shared" si="313"/>
        <v>0</v>
      </c>
      <c r="AP453">
        <f t="shared" si="314"/>
        <v>0</v>
      </c>
      <c r="AQ453">
        <f>IF(B453&gt;$AJ$2,0,AQ452*(1+Assumptions!$B$43)^(1/12))</f>
        <v>0</v>
      </c>
      <c r="AR453" s="27">
        <f>IF(B453&gt;$AJ$2,0,(O452+R452)*Assumptions!$B$39/12*AQ452+AV453*Assumptions!$B$41/12)</f>
        <v>0</v>
      </c>
      <c r="AS453">
        <f t="shared" si="315"/>
        <v>0</v>
      </c>
      <c r="AT453" s="28">
        <f t="shared" si="316"/>
        <v>0</v>
      </c>
      <c r="AU453">
        <f t="shared" si="317"/>
        <v>0</v>
      </c>
      <c r="AV453" s="28">
        <f t="shared" si="318"/>
        <v>0</v>
      </c>
      <c r="AW453" s="28">
        <f t="shared" si="319"/>
        <v>0</v>
      </c>
      <c r="AX453" s="23">
        <f>HLOOKUP(YEAR(A453),Assumptions!$A$25:$AL$29,2,TRUE)/100</f>
        <v>1.1332999999999999E-2</v>
      </c>
      <c r="AY453" s="29">
        <f>1/(1+HLOOKUP(YEAR(A453),Assumptions!$A$18:$AL$20,3,TRUE))^(1/12)</f>
        <v>0.99906100631170314</v>
      </c>
      <c r="AZ453" s="26">
        <f t="shared" si="320"/>
        <v>0</v>
      </c>
      <c r="BA453">
        <f t="shared" si="321"/>
        <v>0</v>
      </c>
      <c r="BB453">
        <f t="shared" si="322"/>
        <v>0</v>
      </c>
      <c r="BC453">
        <f t="shared" si="323"/>
        <v>0</v>
      </c>
    </row>
    <row r="454" spans="1:55" x14ac:dyDescent="0.2">
      <c r="A454" s="3">
        <f t="shared" si="292"/>
        <v>56583</v>
      </c>
      <c r="B454">
        <f t="shared" si="288"/>
        <v>456</v>
      </c>
      <c r="C454">
        <f t="shared" si="333"/>
        <v>37.916666666666664</v>
      </c>
      <c r="D454">
        <f t="shared" si="334"/>
        <v>0</v>
      </c>
      <c r="E454">
        <f t="shared" si="289"/>
        <v>93</v>
      </c>
      <c r="F454">
        <f>IF(C454&gt;=$T$2,0,VLOOKUP($E454,'Mortality Table'!$A$3:$C$128,2+AF$2,FALSE))</f>
        <v>0</v>
      </c>
      <c r="G454">
        <f>F454*Assumptions!$B$1</f>
        <v>0</v>
      </c>
      <c r="H454">
        <f t="shared" si="335"/>
        <v>0</v>
      </c>
      <c r="I454">
        <f t="shared" si="336"/>
        <v>0</v>
      </c>
      <c r="J454">
        <f>IF(B454&gt;$AJ$2,0,HLOOKUP(C454,Assumptions!$A$6:$J$7,2,TRUE))</f>
        <v>0</v>
      </c>
      <c r="K454" s="4">
        <f t="shared" si="337"/>
        <v>0</v>
      </c>
      <c r="L454" s="4">
        <f t="shared" si="294"/>
        <v>0</v>
      </c>
      <c r="M454" s="4">
        <f t="shared" si="338"/>
        <v>0</v>
      </c>
      <c r="N454">
        <f t="shared" si="339"/>
        <v>0</v>
      </c>
      <c r="O454" s="21">
        <f t="shared" si="340"/>
        <v>0</v>
      </c>
      <c r="P454">
        <f>IF(B454&gt;$AJ$2,0,HLOOKUP(C454,Assumptions!$A$12:$J$13,2,TRUE))</f>
        <v>0</v>
      </c>
      <c r="Q454">
        <f t="shared" si="341"/>
        <v>0</v>
      </c>
      <c r="R454">
        <f t="shared" si="296"/>
        <v>0</v>
      </c>
      <c r="S454">
        <f t="shared" si="342"/>
        <v>0</v>
      </c>
      <c r="T454">
        <f t="shared" si="343"/>
        <v>0</v>
      </c>
      <c r="U454">
        <f t="shared" si="297"/>
        <v>0</v>
      </c>
      <c r="V454">
        <f t="shared" si="298"/>
        <v>0</v>
      </c>
      <c r="W454">
        <f t="shared" si="299"/>
        <v>0</v>
      </c>
      <c r="X454">
        <f t="shared" si="344"/>
        <v>0</v>
      </c>
      <c r="Y454">
        <f t="shared" si="300"/>
        <v>0</v>
      </c>
      <c r="Z454">
        <f t="shared" si="301"/>
        <v>0</v>
      </c>
      <c r="AA454">
        <f t="shared" si="302"/>
        <v>0</v>
      </c>
      <c r="AB454">
        <f t="shared" si="303"/>
        <v>0</v>
      </c>
      <c r="AC454" s="23">
        <f>IF(B454&gt;$AJ$2,0,HLOOKUP(YEAR(A454),Assumptions!$A$25:$AL$29,4,TRUE)/100)</f>
        <v>0</v>
      </c>
      <c r="AD454">
        <f t="shared" si="304"/>
        <v>0</v>
      </c>
      <c r="AE454">
        <f t="shared" si="305"/>
        <v>0</v>
      </c>
      <c r="AF454">
        <f t="shared" si="306"/>
        <v>0</v>
      </c>
      <c r="AG454">
        <f t="shared" si="307"/>
        <v>0</v>
      </c>
      <c r="AH454">
        <f t="shared" si="308"/>
        <v>0</v>
      </c>
      <c r="AI454">
        <f t="shared" si="309"/>
        <v>0</v>
      </c>
      <c r="AJ454">
        <f t="shared" si="310"/>
        <v>0</v>
      </c>
      <c r="AK454">
        <f t="shared" si="345"/>
        <v>0</v>
      </c>
      <c r="AL454">
        <f t="shared" si="312"/>
        <v>0</v>
      </c>
      <c r="AM454">
        <f t="shared" si="291"/>
        <v>0</v>
      </c>
      <c r="AN454">
        <f>IF($S$2=0,0,(SUMPRODUCT($K$2:$R$2,Assumptions!$B$34:$I$34)/$U$2+$J$2/$U$2*Assumptions!$A$34*G454)*K454*O453)</f>
        <v>0</v>
      </c>
      <c r="AO454">
        <f t="shared" si="313"/>
        <v>0</v>
      </c>
      <c r="AP454">
        <f t="shared" si="314"/>
        <v>0</v>
      </c>
      <c r="AQ454">
        <f>IF(B454&gt;$AJ$2,0,AQ453*(1+Assumptions!$B$43)^(1/12))</f>
        <v>0</v>
      </c>
      <c r="AR454" s="27">
        <f>IF(B454&gt;$AJ$2,0,(O453+R453)*Assumptions!$B$39/12*AQ453+AV454*Assumptions!$B$41/12)</f>
        <v>0</v>
      </c>
      <c r="AS454">
        <f t="shared" si="315"/>
        <v>0</v>
      </c>
      <c r="AT454" s="28">
        <f t="shared" si="316"/>
        <v>0</v>
      </c>
      <c r="AU454">
        <f t="shared" si="317"/>
        <v>0</v>
      </c>
      <c r="AV454" s="28">
        <f t="shared" si="318"/>
        <v>0</v>
      </c>
      <c r="AW454" s="28">
        <f t="shared" si="319"/>
        <v>0</v>
      </c>
      <c r="AX454" s="23">
        <f>HLOOKUP(YEAR(A454),Assumptions!$A$25:$AL$29,2,TRUE)/100</f>
        <v>1.1332999999999999E-2</v>
      </c>
      <c r="AY454" s="29">
        <f>1/(1+HLOOKUP(YEAR(A454),Assumptions!$A$18:$AL$20,3,TRUE))^(1/12)</f>
        <v>0.99906100631170314</v>
      </c>
      <c r="AZ454" s="26">
        <f t="shared" si="320"/>
        <v>0</v>
      </c>
      <c r="BA454">
        <f t="shared" si="321"/>
        <v>0</v>
      </c>
      <c r="BB454">
        <f t="shared" si="322"/>
        <v>0</v>
      </c>
      <c r="BC454">
        <f t="shared" si="323"/>
        <v>0</v>
      </c>
    </row>
    <row r="455" spans="1:55" x14ac:dyDescent="0.2">
      <c r="A455" s="3">
        <f t="shared" si="292"/>
        <v>56614</v>
      </c>
      <c r="B455">
        <f t="shared" si="288"/>
        <v>457</v>
      </c>
      <c r="C455">
        <f t="shared" si="333"/>
        <v>38</v>
      </c>
      <c r="D455">
        <f t="shared" si="334"/>
        <v>1</v>
      </c>
      <c r="E455">
        <f t="shared" si="289"/>
        <v>94</v>
      </c>
      <c r="F455">
        <f>IF(C455&gt;=$T$2,0,VLOOKUP($E455,'Mortality Table'!$A$3:$C$128,2+AF$2,FALSE))</f>
        <v>0</v>
      </c>
      <c r="G455">
        <f>F455*Assumptions!$B$1</f>
        <v>0</v>
      </c>
      <c r="H455">
        <f t="shared" si="335"/>
        <v>0</v>
      </c>
      <c r="I455">
        <f t="shared" si="336"/>
        <v>0</v>
      </c>
      <c r="J455">
        <f>IF(B455&gt;$AJ$2,0,HLOOKUP(C455,Assumptions!$A$6:$J$7,2,TRUE))</f>
        <v>0</v>
      </c>
      <c r="K455" s="4">
        <f t="shared" si="337"/>
        <v>0</v>
      </c>
      <c r="L455" s="4">
        <f t="shared" si="294"/>
        <v>0</v>
      </c>
      <c r="M455" s="4">
        <f t="shared" si="338"/>
        <v>0</v>
      </c>
      <c r="N455">
        <f t="shared" si="339"/>
        <v>0</v>
      </c>
      <c r="O455" s="21">
        <f t="shared" si="340"/>
        <v>0</v>
      </c>
      <c r="P455">
        <f>IF(B455&gt;$AJ$2,0,HLOOKUP(C455,Assumptions!$A$12:$J$13,2,TRUE))</f>
        <v>0</v>
      </c>
      <c r="Q455">
        <f t="shared" si="341"/>
        <v>0</v>
      </c>
      <c r="R455">
        <f t="shared" si="296"/>
        <v>0</v>
      </c>
      <c r="S455">
        <f t="shared" si="342"/>
        <v>0</v>
      </c>
      <c r="T455">
        <f t="shared" si="343"/>
        <v>0</v>
      </c>
      <c r="U455">
        <f t="shared" si="297"/>
        <v>0</v>
      </c>
      <c r="V455">
        <f t="shared" si="298"/>
        <v>0</v>
      </c>
      <c r="W455">
        <f t="shared" si="299"/>
        <v>0</v>
      </c>
      <c r="X455">
        <f t="shared" si="344"/>
        <v>0</v>
      </c>
      <c r="Y455">
        <f t="shared" si="300"/>
        <v>0</v>
      </c>
      <c r="Z455">
        <f t="shared" si="301"/>
        <v>0</v>
      </c>
      <c r="AA455">
        <f t="shared" si="302"/>
        <v>0</v>
      </c>
      <c r="AB455">
        <f t="shared" si="303"/>
        <v>0</v>
      </c>
      <c r="AC455" s="23">
        <f>IF(B455&gt;$AJ$2,0,HLOOKUP(YEAR(A455),Assumptions!$A$25:$AL$29,4,TRUE)/100)</f>
        <v>0</v>
      </c>
      <c r="AD455">
        <f t="shared" si="304"/>
        <v>0</v>
      </c>
      <c r="AE455">
        <f t="shared" si="305"/>
        <v>0</v>
      </c>
      <c r="AF455">
        <f t="shared" si="306"/>
        <v>0</v>
      </c>
      <c r="AG455">
        <f t="shared" si="307"/>
        <v>0</v>
      </c>
      <c r="AH455">
        <f t="shared" si="308"/>
        <v>0</v>
      </c>
      <c r="AI455">
        <f t="shared" si="309"/>
        <v>0</v>
      </c>
      <c r="AJ455">
        <f t="shared" si="310"/>
        <v>0</v>
      </c>
      <c r="AK455">
        <f t="shared" si="345"/>
        <v>0</v>
      </c>
      <c r="AL455">
        <f t="shared" si="312"/>
        <v>0</v>
      </c>
      <c r="AM455">
        <f t="shared" si="291"/>
        <v>0</v>
      </c>
      <c r="AN455">
        <f>IF($S$2=0,0,(SUMPRODUCT($K$2:$R$2,Assumptions!$B$34:$I$34)/$U$2+$J$2/$U$2*Assumptions!$A$34*G455)*K455*O454)</f>
        <v>0</v>
      </c>
      <c r="AO455">
        <f t="shared" si="313"/>
        <v>0</v>
      </c>
      <c r="AP455">
        <f t="shared" si="314"/>
        <v>0</v>
      </c>
      <c r="AQ455">
        <f>IF(B455&gt;$AJ$2,0,AQ454*(1+Assumptions!$B$43)^(1/12))</f>
        <v>0</v>
      </c>
      <c r="AR455" s="27">
        <f>IF(B455&gt;$AJ$2,0,(O454+R454)*Assumptions!$B$39/12*AQ454+AV455*Assumptions!$B$41/12)</f>
        <v>0</v>
      </c>
      <c r="AS455">
        <f t="shared" si="315"/>
        <v>0</v>
      </c>
      <c r="AT455" s="28">
        <f t="shared" si="316"/>
        <v>0</v>
      </c>
      <c r="AU455">
        <f t="shared" si="317"/>
        <v>0</v>
      </c>
      <c r="AV455" s="28">
        <f t="shared" si="318"/>
        <v>0</v>
      </c>
      <c r="AW455" s="28">
        <f t="shared" si="319"/>
        <v>0</v>
      </c>
      <c r="AX455" s="23">
        <f>HLOOKUP(YEAR(A455),Assumptions!$A$25:$AL$29,2,TRUE)/100</f>
        <v>1.1332999999999999E-2</v>
      </c>
      <c r="AY455" s="29">
        <f>1/(1+HLOOKUP(YEAR(A455),Assumptions!$A$18:$AL$20,3,TRUE))^(1/12)</f>
        <v>0.99906100631170314</v>
      </c>
      <c r="AZ455" s="26">
        <f t="shared" si="320"/>
        <v>0</v>
      </c>
      <c r="BA455">
        <f t="shared" si="321"/>
        <v>0</v>
      </c>
      <c r="BB455">
        <f t="shared" si="322"/>
        <v>0</v>
      </c>
      <c r="BC455">
        <f t="shared" si="323"/>
        <v>0</v>
      </c>
    </row>
    <row r="456" spans="1:55" x14ac:dyDescent="0.2">
      <c r="A456" s="3">
        <f t="shared" si="292"/>
        <v>56645</v>
      </c>
      <c r="B456">
        <f t="shared" si="288"/>
        <v>458</v>
      </c>
      <c r="C456">
        <f t="shared" si="333"/>
        <v>38.083333333333336</v>
      </c>
      <c r="D456">
        <f t="shared" si="334"/>
        <v>0</v>
      </c>
      <c r="E456">
        <f t="shared" si="289"/>
        <v>94</v>
      </c>
      <c r="F456">
        <f>IF(C456&gt;=$T$2,0,VLOOKUP($E456,'Mortality Table'!$A$3:$C$128,2+AF$2,FALSE))</f>
        <v>0</v>
      </c>
      <c r="G456">
        <f>F456*Assumptions!$B$1</f>
        <v>0</v>
      </c>
      <c r="H456">
        <f t="shared" si="335"/>
        <v>0</v>
      </c>
      <c r="I456">
        <f t="shared" si="336"/>
        <v>0</v>
      </c>
      <c r="J456">
        <f>IF(B456&gt;$AJ$2,0,HLOOKUP(C456,Assumptions!$A$6:$J$7,2,TRUE))</f>
        <v>0</v>
      </c>
      <c r="K456" s="4">
        <f t="shared" si="337"/>
        <v>0</v>
      </c>
      <c r="L456" s="4">
        <f t="shared" si="294"/>
        <v>0</v>
      </c>
      <c r="M456" s="4">
        <f t="shared" si="338"/>
        <v>0</v>
      </c>
      <c r="N456">
        <f t="shared" si="339"/>
        <v>0</v>
      </c>
      <c r="O456" s="21">
        <f t="shared" si="340"/>
        <v>0</v>
      </c>
      <c r="P456">
        <f>IF(B456&gt;$AJ$2,0,HLOOKUP(C456,Assumptions!$A$12:$J$13,2,TRUE))</f>
        <v>0</v>
      </c>
      <c r="Q456">
        <f t="shared" si="341"/>
        <v>0</v>
      </c>
      <c r="R456">
        <f t="shared" si="296"/>
        <v>0</v>
      </c>
      <c r="S456">
        <f t="shared" si="342"/>
        <v>0</v>
      </c>
      <c r="T456">
        <f t="shared" si="343"/>
        <v>0</v>
      </c>
      <c r="U456">
        <f t="shared" si="297"/>
        <v>0</v>
      </c>
      <c r="V456">
        <f t="shared" si="298"/>
        <v>0</v>
      </c>
      <c r="W456">
        <f t="shared" si="299"/>
        <v>0</v>
      </c>
      <c r="X456">
        <f t="shared" si="344"/>
        <v>0</v>
      </c>
      <c r="Y456">
        <f t="shared" si="300"/>
        <v>0</v>
      </c>
      <c r="Z456">
        <f t="shared" si="301"/>
        <v>0</v>
      </c>
      <c r="AA456">
        <f t="shared" si="302"/>
        <v>0</v>
      </c>
      <c r="AB456">
        <f t="shared" si="303"/>
        <v>0</v>
      </c>
      <c r="AC456" s="23">
        <f>IF(B456&gt;$AJ$2,0,HLOOKUP(YEAR(A456),Assumptions!$A$25:$AL$29,4,TRUE)/100)</f>
        <v>0</v>
      </c>
      <c r="AD456">
        <f t="shared" si="304"/>
        <v>0</v>
      </c>
      <c r="AE456">
        <f t="shared" si="305"/>
        <v>0</v>
      </c>
      <c r="AF456">
        <f t="shared" si="306"/>
        <v>0</v>
      </c>
      <c r="AG456">
        <f t="shared" si="307"/>
        <v>0</v>
      </c>
      <c r="AH456">
        <f t="shared" si="308"/>
        <v>0</v>
      </c>
      <c r="AI456">
        <f t="shared" si="309"/>
        <v>0</v>
      </c>
      <c r="AJ456">
        <f t="shared" si="310"/>
        <v>0</v>
      </c>
      <c r="AK456">
        <f t="shared" si="345"/>
        <v>0</v>
      </c>
      <c r="AL456">
        <f t="shared" si="312"/>
        <v>0</v>
      </c>
      <c r="AM456">
        <f t="shared" si="291"/>
        <v>0</v>
      </c>
      <c r="AN456">
        <f>IF($S$2=0,0,(SUMPRODUCT($K$2:$R$2,Assumptions!$B$34:$I$34)/$U$2+$J$2/$U$2*Assumptions!$A$34*G456)*K456*O455)</f>
        <v>0</v>
      </c>
      <c r="AO456">
        <f t="shared" si="313"/>
        <v>0</v>
      </c>
      <c r="AP456">
        <f t="shared" si="314"/>
        <v>0</v>
      </c>
      <c r="AQ456">
        <f>IF(B456&gt;$AJ$2,0,AQ455*(1+Assumptions!$B$43)^(1/12))</f>
        <v>0</v>
      </c>
      <c r="AR456" s="27">
        <f>IF(B456&gt;$AJ$2,0,(O455+R455)*Assumptions!$B$39/12*AQ455+AV456*Assumptions!$B$41/12)</f>
        <v>0</v>
      </c>
      <c r="AS456">
        <f t="shared" si="315"/>
        <v>0</v>
      </c>
      <c r="AT456" s="28">
        <f t="shared" si="316"/>
        <v>0</v>
      </c>
      <c r="AU456">
        <f t="shared" si="317"/>
        <v>0</v>
      </c>
      <c r="AV456" s="28">
        <f t="shared" si="318"/>
        <v>0</v>
      </c>
      <c r="AW456" s="28">
        <f t="shared" si="319"/>
        <v>0</v>
      </c>
      <c r="AX456" s="23">
        <f>HLOOKUP(YEAR(A456),Assumptions!$A$25:$AL$29,2,TRUE)/100</f>
        <v>1.1332999999999999E-2</v>
      </c>
      <c r="AY456" s="29">
        <f>1/(1+HLOOKUP(YEAR(A456),Assumptions!$A$18:$AL$20,3,TRUE))^(1/12)</f>
        <v>0.99906100631170314</v>
      </c>
      <c r="AZ456" s="26">
        <f t="shared" si="320"/>
        <v>0</v>
      </c>
      <c r="BA456">
        <f t="shared" si="321"/>
        <v>0</v>
      </c>
      <c r="BB456">
        <f t="shared" si="322"/>
        <v>0</v>
      </c>
      <c r="BC456">
        <f t="shared" si="323"/>
        <v>0</v>
      </c>
    </row>
    <row r="457" spans="1:55" x14ac:dyDescent="0.2">
      <c r="A457" s="3">
        <f t="shared" si="292"/>
        <v>56673</v>
      </c>
      <c r="B457">
        <f t="shared" si="288"/>
        <v>459</v>
      </c>
      <c r="C457">
        <f t="shared" si="333"/>
        <v>38.166666666666664</v>
      </c>
      <c r="D457">
        <f t="shared" si="334"/>
        <v>0</v>
      </c>
      <c r="E457">
        <f t="shared" si="289"/>
        <v>94</v>
      </c>
      <c r="F457">
        <f>IF(C457&gt;=$T$2,0,VLOOKUP($E457,'Mortality Table'!$A$3:$C$128,2+AF$2,FALSE))</f>
        <v>0</v>
      </c>
      <c r="G457">
        <f>F457*Assumptions!$B$1</f>
        <v>0</v>
      </c>
      <c r="H457">
        <f t="shared" si="335"/>
        <v>0</v>
      </c>
      <c r="I457">
        <f t="shared" si="336"/>
        <v>0</v>
      </c>
      <c r="J457">
        <f>IF(B457&gt;$AJ$2,0,HLOOKUP(C457,Assumptions!$A$6:$J$7,2,TRUE))</f>
        <v>0</v>
      </c>
      <c r="K457" s="4">
        <f t="shared" si="337"/>
        <v>0</v>
      </c>
      <c r="L457" s="4">
        <f t="shared" si="294"/>
        <v>0</v>
      </c>
      <c r="M457" s="4">
        <f t="shared" si="338"/>
        <v>0</v>
      </c>
      <c r="N457">
        <f t="shared" si="339"/>
        <v>0</v>
      </c>
      <c r="O457" s="21">
        <f t="shared" si="340"/>
        <v>0</v>
      </c>
      <c r="P457">
        <f>IF(B457&gt;$AJ$2,0,HLOOKUP(C457,Assumptions!$A$12:$J$13,2,TRUE))</f>
        <v>0</v>
      </c>
      <c r="Q457">
        <f t="shared" si="341"/>
        <v>0</v>
      </c>
      <c r="R457">
        <f t="shared" si="296"/>
        <v>0</v>
      </c>
      <c r="S457">
        <f t="shared" si="342"/>
        <v>0</v>
      </c>
      <c r="T457">
        <f t="shared" si="343"/>
        <v>0</v>
      </c>
      <c r="U457">
        <f t="shared" si="297"/>
        <v>0</v>
      </c>
      <c r="V457">
        <f t="shared" si="298"/>
        <v>0</v>
      </c>
      <c r="W457">
        <f t="shared" si="299"/>
        <v>0</v>
      </c>
      <c r="X457">
        <f t="shared" si="344"/>
        <v>0</v>
      </c>
      <c r="Y457">
        <f t="shared" si="300"/>
        <v>0</v>
      </c>
      <c r="Z457">
        <f t="shared" si="301"/>
        <v>0</v>
      </c>
      <c r="AA457">
        <f t="shared" si="302"/>
        <v>0</v>
      </c>
      <c r="AB457">
        <f t="shared" si="303"/>
        <v>0</v>
      </c>
      <c r="AC457" s="23">
        <f>IF(B457&gt;$AJ$2,0,HLOOKUP(YEAR(A457),Assumptions!$A$25:$AL$29,4,TRUE)/100)</f>
        <v>0</v>
      </c>
      <c r="AD457">
        <f t="shared" si="304"/>
        <v>0</v>
      </c>
      <c r="AE457">
        <f t="shared" si="305"/>
        <v>0</v>
      </c>
      <c r="AF457">
        <f t="shared" si="306"/>
        <v>0</v>
      </c>
      <c r="AG457">
        <f t="shared" si="307"/>
        <v>0</v>
      </c>
      <c r="AH457">
        <f t="shared" si="308"/>
        <v>0</v>
      </c>
      <c r="AI457">
        <f t="shared" si="309"/>
        <v>0</v>
      </c>
      <c r="AJ457">
        <f t="shared" si="310"/>
        <v>0</v>
      </c>
      <c r="AK457">
        <f t="shared" si="345"/>
        <v>0</v>
      </c>
      <c r="AL457">
        <f t="shared" si="312"/>
        <v>0</v>
      </c>
      <c r="AM457">
        <f t="shared" si="291"/>
        <v>0</v>
      </c>
      <c r="AN457">
        <f>IF($S$2=0,0,(SUMPRODUCT($K$2:$R$2,Assumptions!$B$34:$I$34)/$U$2+$J$2/$U$2*Assumptions!$A$34*G457)*K457*O456)</f>
        <v>0</v>
      </c>
      <c r="AO457">
        <f t="shared" si="313"/>
        <v>0</v>
      </c>
      <c r="AP457">
        <f t="shared" si="314"/>
        <v>0</v>
      </c>
      <c r="AQ457">
        <f>IF(B457&gt;$AJ$2,0,AQ456*(1+Assumptions!$B$43)^(1/12))</f>
        <v>0</v>
      </c>
      <c r="AR457" s="27">
        <f>IF(B457&gt;$AJ$2,0,(O456+R456)*Assumptions!$B$39/12*AQ456+AV457*Assumptions!$B$41/12)</f>
        <v>0</v>
      </c>
      <c r="AS457">
        <f t="shared" si="315"/>
        <v>0</v>
      </c>
      <c r="AT457" s="28">
        <f t="shared" si="316"/>
        <v>0</v>
      </c>
      <c r="AU457">
        <f t="shared" si="317"/>
        <v>0</v>
      </c>
      <c r="AV457" s="28">
        <f t="shared" si="318"/>
        <v>0</v>
      </c>
      <c r="AW457" s="28">
        <f t="shared" si="319"/>
        <v>0</v>
      </c>
      <c r="AX457" s="23">
        <f>HLOOKUP(YEAR(A457),Assumptions!$A$25:$AL$29,2,TRUE)/100</f>
        <v>1.1332999999999999E-2</v>
      </c>
      <c r="AY457" s="29">
        <f>1/(1+HLOOKUP(YEAR(A457),Assumptions!$A$18:$AL$20,3,TRUE))^(1/12)</f>
        <v>0.99906100631170314</v>
      </c>
      <c r="AZ457" s="26">
        <f t="shared" si="320"/>
        <v>0</v>
      </c>
      <c r="BA457">
        <f t="shared" si="321"/>
        <v>0</v>
      </c>
      <c r="BB457">
        <f t="shared" si="322"/>
        <v>0</v>
      </c>
      <c r="BC457">
        <f t="shared" si="323"/>
        <v>0</v>
      </c>
    </row>
    <row r="458" spans="1:55" x14ac:dyDescent="0.2">
      <c r="A458" s="3">
        <f t="shared" si="292"/>
        <v>56704</v>
      </c>
      <c r="B458">
        <f t="shared" si="288"/>
        <v>460</v>
      </c>
      <c r="C458">
        <f t="shared" si="333"/>
        <v>38.25</v>
      </c>
      <c r="D458">
        <f t="shared" si="334"/>
        <v>0</v>
      </c>
      <c r="E458">
        <f t="shared" si="289"/>
        <v>94</v>
      </c>
      <c r="F458">
        <f>IF(C458&gt;=$T$2,0,VLOOKUP($E458,'Mortality Table'!$A$3:$C$128,2+AF$2,FALSE))</f>
        <v>0</v>
      </c>
      <c r="G458">
        <f>F458*Assumptions!$B$1</f>
        <v>0</v>
      </c>
      <c r="H458">
        <f t="shared" si="335"/>
        <v>0</v>
      </c>
      <c r="I458">
        <f t="shared" si="336"/>
        <v>0</v>
      </c>
      <c r="J458">
        <f>IF(B458&gt;$AJ$2,0,HLOOKUP(C458,Assumptions!$A$6:$J$7,2,TRUE))</f>
        <v>0</v>
      </c>
      <c r="K458" s="4">
        <f t="shared" si="337"/>
        <v>0</v>
      </c>
      <c r="L458" s="4">
        <f t="shared" si="294"/>
        <v>0</v>
      </c>
      <c r="M458" s="4">
        <f t="shared" si="338"/>
        <v>0</v>
      </c>
      <c r="N458">
        <f t="shared" si="339"/>
        <v>0</v>
      </c>
      <c r="O458" s="21">
        <f t="shared" si="340"/>
        <v>0</v>
      </c>
      <c r="P458">
        <f>IF(B458&gt;$AJ$2,0,HLOOKUP(C458,Assumptions!$A$12:$J$13,2,TRUE))</f>
        <v>0</v>
      </c>
      <c r="Q458">
        <f t="shared" si="341"/>
        <v>0</v>
      </c>
      <c r="R458">
        <f t="shared" si="296"/>
        <v>0</v>
      </c>
      <c r="S458">
        <f t="shared" si="342"/>
        <v>0</v>
      </c>
      <c r="T458">
        <f t="shared" si="343"/>
        <v>0</v>
      </c>
      <c r="U458">
        <f t="shared" si="297"/>
        <v>0</v>
      </c>
      <c r="V458">
        <f t="shared" si="298"/>
        <v>0</v>
      </c>
      <c r="W458">
        <f t="shared" si="299"/>
        <v>0</v>
      </c>
      <c r="X458">
        <f t="shared" si="344"/>
        <v>0</v>
      </c>
      <c r="Y458">
        <f t="shared" si="300"/>
        <v>0</v>
      </c>
      <c r="Z458">
        <f t="shared" si="301"/>
        <v>0</v>
      </c>
      <c r="AA458">
        <f t="shared" si="302"/>
        <v>0</v>
      </c>
      <c r="AB458">
        <f t="shared" si="303"/>
        <v>0</v>
      </c>
      <c r="AC458" s="23">
        <f>IF(B458&gt;$AJ$2,0,HLOOKUP(YEAR(A458),Assumptions!$A$25:$AL$29,4,TRUE)/100)</f>
        <v>0</v>
      </c>
      <c r="AD458">
        <f t="shared" si="304"/>
        <v>0</v>
      </c>
      <c r="AE458">
        <f t="shared" si="305"/>
        <v>0</v>
      </c>
      <c r="AF458">
        <f t="shared" si="306"/>
        <v>0</v>
      </c>
      <c r="AG458">
        <f t="shared" si="307"/>
        <v>0</v>
      </c>
      <c r="AH458">
        <f t="shared" si="308"/>
        <v>0</v>
      </c>
      <c r="AI458">
        <f t="shared" si="309"/>
        <v>0</v>
      </c>
      <c r="AJ458">
        <f t="shared" si="310"/>
        <v>0</v>
      </c>
      <c r="AK458">
        <f t="shared" si="345"/>
        <v>0</v>
      </c>
      <c r="AL458">
        <f t="shared" si="312"/>
        <v>0</v>
      </c>
      <c r="AM458">
        <f t="shared" si="291"/>
        <v>0</v>
      </c>
      <c r="AN458">
        <f>IF($S$2=0,0,(SUMPRODUCT($K$2:$R$2,Assumptions!$B$34:$I$34)/$U$2+$J$2/$U$2*Assumptions!$A$34*G458)*K458*O457)</f>
        <v>0</v>
      </c>
      <c r="AO458">
        <f t="shared" si="313"/>
        <v>0</v>
      </c>
      <c r="AP458">
        <f t="shared" si="314"/>
        <v>0</v>
      </c>
      <c r="AQ458">
        <f>IF(B458&gt;$AJ$2,0,AQ457*(1+Assumptions!$B$43)^(1/12))</f>
        <v>0</v>
      </c>
      <c r="AR458" s="27">
        <f>IF(B458&gt;$AJ$2,0,(O457+R457)*Assumptions!$B$39/12*AQ457+AV458*Assumptions!$B$41/12)</f>
        <v>0</v>
      </c>
      <c r="AS458">
        <f t="shared" si="315"/>
        <v>0</v>
      </c>
      <c r="AT458" s="28">
        <f t="shared" si="316"/>
        <v>0</v>
      </c>
      <c r="AU458">
        <f t="shared" si="317"/>
        <v>0</v>
      </c>
      <c r="AV458" s="28">
        <f t="shared" si="318"/>
        <v>0</v>
      </c>
      <c r="AW458" s="28">
        <f t="shared" si="319"/>
        <v>0</v>
      </c>
      <c r="AX458" s="23">
        <f>HLOOKUP(YEAR(A458),Assumptions!$A$25:$AL$29,2,TRUE)/100</f>
        <v>1.1332999999999999E-2</v>
      </c>
      <c r="AY458" s="29">
        <f>1/(1+HLOOKUP(YEAR(A458),Assumptions!$A$18:$AL$20,3,TRUE))^(1/12)</f>
        <v>0.99906100631170314</v>
      </c>
      <c r="AZ458" s="26">
        <f t="shared" si="320"/>
        <v>0</v>
      </c>
      <c r="BA458">
        <f t="shared" si="321"/>
        <v>0</v>
      </c>
      <c r="BB458">
        <f t="shared" si="322"/>
        <v>0</v>
      </c>
      <c r="BC458">
        <f t="shared" si="323"/>
        <v>0</v>
      </c>
    </row>
    <row r="459" spans="1:55" x14ac:dyDescent="0.2">
      <c r="A459" s="3">
        <f t="shared" si="292"/>
        <v>56734</v>
      </c>
      <c r="B459">
        <f t="shared" si="288"/>
        <v>461</v>
      </c>
      <c r="C459">
        <f t="shared" si="333"/>
        <v>38.333333333333336</v>
      </c>
      <c r="D459">
        <f t="shared" si="334"/>
        <v>0</v>
      </c>
      <c r="E459">
        <f t="shared" si="289"/>
        <v>94</v>
      </c>
      <c r="F459">
        <f>IF(C459&gt;=$T$2,0,VLOOKUP($E459,'Mortality Table'!$A$3:$C$128,2+AF$2,FALSE))</f>
        <v>0</v>
      </c>
      <c r="G459">
        <f>F459*Assumptions!$B$1</f>
        <v>0</v>
      </c>
      <c r="H459">
        <f t="shared" si="335"/>
        <v>0</v>
      </c>
      <c r="I459">
        <f t="shared" si="336"/>
        <v>0</v>
      </c>
      <c r="J459">
        <f>IF(B459&gt;$AJ$2,0,HLOOKUP(C459,Assumptions!$A$6:$J$7,2,TRUE))</f>
        <v>0</v>
      </c>
      <c r="K459" s="4">
        <f t="shared" si="337"/>
        <v>0</v>
      </c>
      <c r="L459" s="4">
        <f t="shared" si="294"/>
        <v>0</v>
      </c>
      <c r="M459" s="4">
        <f t="shared" si="338"/>
        <v>0</v>
      </c>
      <c r="N459">
        <f t="shared" si="339"/>
        <v>0</v>
      </c>
      <c r="O459" s="21">
        <f t="shared" si="340"/>
        <v>0</v>
      </c>
      <c r="P459">
        <f>IF(B459&gt;$AJ$2,0,HLOOKUP(C459,Assumptions!$A$12:$J$13,2,TRUE))</f>
        <v>0</v>
      </c>
      <c r="Q459">
        <f t="shared" si="341"/>
        <v>0</v>
      </c>
      <c r="R459">
        <f t="shared" si="296"/>
        <v>0</v>
      </c>
      <c r="S459">
        <f t="shared" si="342"/>
        <v>0</v>
      </c>
      <c r="T459">
        <f t="shared" si="343"/>
        <v>0</v>
      </c>
      <c r="U459">
        <f t="shared" si="297"/>
        <v>0</v>
      </c>
      <c r="V459">
        <f t="shared" si="298"/>
        <v>0</v>
      </c>
      <c r="W459">
        <f t="shared" si="299"/>
        <v>0</v>
      </c>
      <c r="X459">
        <f t="shared" si="344"/>
        <v>0</v>
      </c>
      <c r="Y459">
        <f t="shared" si="300"/>
        <v>0</v>
      </c>
      <c r="Z459">
        <f t="shared" si="301"/>
        <v>0</v>
      </c>
      <c r="AA459">
        <f t="shared" si="302"/>
        <v>0</v>
      </c>
      <c r="AB459">
        <f t="shared" si="303"/>
        <v>0</v>
      </c>
      <c r="AC459" s="23">
        <f>IF(B459&gt;$AJ$2,0,HLOOKUP(YEAR(A459),Assumptions!$A$25:$AL$29,4,TRUE)/100)</f>
        <v>0</v>
      </c>
      <c r="AD459">
        <f t="shared" si="304"/>
        <v>0</v>
      </c>
      <c r="AE459">
        <f t="shared" si="305"/>
        <v>0</v>
      </c>
      <c r="AF459">
        <f t="shared" si="306"/>
        <v>0</v>
      </c>
      <c r="AG459">
        <f t="shared" si="307"/>
        <v>0</v>
      </c>
      <c r="AH459">
        <f t="shared" si="308"/>
        <v>0</v>
      </c>
      <c r="AI459">
        <f t="shared" si="309"/>
        <v>0</v>
      </c>
      <c r="AJ459">
        <f t="shared" si="310"/>
        <v>0</v>
      </c>
      <c r="AK459">
        <f t="shared" si="345"/>
        <v>0</v>
      </c>
      <c r="AL459">
        <f t="shared" si="312"/>
        <v>0</v>
      </c>
      <c r="AM459">
        <f t="shared" si="291"/>
        <v>0</v>
      </c>
      <c r="AN459">
        <f>IF($S$2=0,0,(SUMPRODUCT($K$2:$R$2,Assumptions!$B$34:$I$34)/$U$2+$J$2/$U$2*Assumptions!$A$34*G459)*K459*O458)</f>
        <v>0</v>
      </c>
      <c r="AO459">
        <f t="shared" si="313"/>
        <v>0</v>
      </c>
      <c r="AP459">
        <f t="shared" si="314"/>
        <v>0</v>
      </c>
      <c r="AQ459">
        <f>IF(B459&gt;$AJ$2,0,AQ458*(1+Assumptions!$B$43)^(1/12))</f>
        <v>0</v>
      </c>
      <c r="AR459" s="27">
        <f>IF(B459&gt;$AJ$2,0,(O458+R458)*Assumptions!$B$39/12*AQ458+AV459*Assumptions!$B$41/12)</f>
        <v>0</v>
      </c>
      <c r="AS459">
        <f t="shared" si="315"/>
        <v>0</v>
      </c>
      <c r="AT459" s="28">
        <f t="shared" si="316"/>
        <v>0</v>
      </c>
      <c r="AU459">
        <f t="shared" si="317"/>
        <v>0</v>
      </c>
      <c r="AV459" s="28">
        <f t="shared" si="318"/>
        <v>0</v>
      </c>
      <c r="AW459" s="28">
        <f t="shared" si="319"/>
        <v>0</v>
      </c>
      <c r="AX459" s="23">
        <f>HLOOKUP(YEAR(A459),Assumptions!$A$25:$AL$29,2,TRUE)/100</f>
        <v>1.1332999999999999E-2</v>
      </c>
      <c r="AY459" s="29">
        <f>1/(1+HLOOKUP(YEAR(A459),Assumptions!$A$18:$AL$20,3,TRUE))^(1/12)</f>
        <v>0.99906100631170314</v>
      </c>
      <c r="AZ459" s="26">
        <f t="shared" si="320"/>
        <v>0</v>
      </c>
      <c r="BA459">
        <f t="shared" si="321"/>
        <v>0</v>
      </c>
      <c r="BB459">
        <f t="shared" si="322"/>
        <v>0</v>
      </c>
      <c r="BC459">
        <f t="shared" si="323"/>
        <v>0</v>
      </c>
    </row>
    <row r="460" spans="1:55" x14ac:dyDescent="0.2">
      <c r="A460" s="3">
        <f t="shared" si="292"/>
        <v>56765</v>
      </c>
      <c r="B460">
        <f t="shared" ref="B460:B523" si="346">B459+1</f>
        <v>462</v>
      </c>
      <c r="C460">
        <f t="shared" si="333"/>
        <v>38.416666666666664</v>
      </c>
      <c r="D460">
        <f t="shared" si="334"/>
        <v>0</v>
      </c>
      <c r="E460">
        <f t="shared" ref="E460:E523" si="347">$C$2+INT($C460)</f>
        <v>94</v>
      </c>
      <c r="F460">
        <f>IF(C460&gt;=$T$2,0,VLOOKUP($E460,'Mortality Table'!$A$3:$C$128,2+AF$2,FALSE))</f>
        <v>0</v>
      </c>
      <c r="G460">
        <f>F460*Assumptions!$B$1</f>
        <v>0</v>
      </c>
      <c r="H460">
        <f t="shared" si="335"/>
        <v>0</v>
      </c>
      <c r="I460">
        <f t="shared" si="336"/>
        <v>0</v>
      </c>
      <c r="J460">
        <f>IF(B460&gt;$AJ$2,0,HLOOKUP(C460,Assumptions!$A$6:$J$7,2,TRUE))</f>
        <v>0</v>
      </c>
      <c r="K460" s="4">
        <f t="shared" si="337"/>
        <v>0</v>
      </c>
      <c r="L460" s="4">
        <f t="shared" si="294"/>
        <v>0</v>
      </c>
      <c r="M460" s="4">
        <f t="shared" si="338"/>
        <v>0</v>
      </c>
      <c r="N460">
        <f t="shared" si="339"/>
        <v>0</v>
      </c>
      <c r="O460" s="21">
        <f t="shared" si="340"/>
        <v>0</v>
      </c>
      <c r="P460">
        <f>IF(B460&gt;$AJ$2,0,HLOOKUP(C460,Assumptions!$A$12:$J$13,2,TRUE))</f>
        <v>0</v>
      </c>
      <c r="Q460">
        <f t="shared" si="341"/>
        <v>0</v>
      </c>
      <c r="R460">
        <f t="shared" si="296"/>
        <v>0</v>
      </c>
      <c r="S460">
        <f t="shared" si="342"/>
        <v>0</v>
      </c>
      <c r="T460">
        <f t="shared" si="343"/>
        <v>0</v>
      </c>
      <c r="U460">
        <f t="shared" si="297"/>
        <v>0</v>
      </c>
      <c r="V460">
        <f t="shared" si="298"/>
        <v>0</v>
      </c>
      <c r="W460">
        <f t="shared" si="299"/>
        <v>0</v>
      </c>
      <c r="X460">
        <f t="shared" si="344"/>
        <v>0</v>
      </c>
      <c r="Y460">
        <f t="shared" si="300"/>
        <v>0</v>
      </c>
      <c r="Z460">
        <f t="shared" si="301"/>
        <v>0</v>
      </c>
      <c r="AA460">
        <f t="shared" si="302"/>
        <v>0</v>
      </c>
      <c r="AB460">
        <f t="shared" si="303"/>
        <v>0</v>
      </c>
      <c r="AC460" s="23">
        <f>IF(B460&gt;$AJ$2,0,HLOOKUP(YEAR(A460),Assumptions!$A$25:$AL$29,4,TRUE)/100)</f>
        <v>0</v>
      </c>
      <c r="AD460">
        <f t="shared" si="304"/>
        <v>0</v>
      </c>
      <c r="AE460">
        <f t="shared" si="305"/>
        <v>0</v>
      </c>
      <c r="AF460">
        <f t="shared" si="306"/>
        <v>0</v>
      </c>
      <c r="AG460">
        <f t="shared" si="307"/>
        <v>0</v>
      </c>
      <c r="AH460">
        <f t="shared" si="308"/>
        <v>0</v>
      </c>
      <c r="AI460">
        <f t="shared" si="309"/>
        <v>0</v>
      </c>
      <c r="AJ460">
        <f t="shared" si="310"/>
        <v>0</v>
      </c>
      <c r="AK460">
        <f t="shared" si="345"/>
        <v>0</v>
      </c>
      <c r="AL460">
        <f t="shared" si="312"/>
        <v>0</v>
      </c>
      <c r="AM460">
        <f t="shared" ref="AM460:AM523" si="348">IF($AJ$2+1=B460,O459*(Z459+AD459+MAX(0,IF(MONTH(A460)=1,AB459-AD459-Z459,0)))+R459*(AF459+AH459),0)</f>
        <v>0</v>
      </c>
      <c r="AN460">
        <f>IF($S$2=0,0,(SUMPRODUCT($K$2:$R$2,Assumptions!$B$34:$I$34)/$U$2+$J$2/$U$2*Assumptions!$A$34*G460)*K460*O459)</f>
        <v>0</v>
      </c>
      <c r="AO460">
        <f t="shared" si="313"/>
        <v>0</v>
      </c>
      <c r="AP460">
        <f t="shared" si="314"/>
        <v>0</v>
      </c>
      <c r="AQ460">
        <f>IF(B460&gt;$AJ$2,0,AQ459*(1+Assumptions!$B$43)^(1/12))</f>
        <v>0</v>
      </c>
      <c r="AR460" s="27">
        <f>IF(B460&gt;$AJ$2,0,(O459+R459)*Assumptions!$B$39/12*AQ459+AV460*Assumptions!$B$41/12)</f>
        <v>0</v>
      </c>
      <c r="AS460">
        <f t="shared" si="315"/>
        <v>0</v>
      </c>
      <c r="AT460" s="28">
        <f t="shared" si="316"/>
        <v>0</v>
      </c>
      <c r="AU460">
        <f t="shared" si="317"/>
        <v>0</v>
      </c>
      <c r="AV460" s="28">
        <f t="shared" si="318"/>
        <v>0</v>
      </c>
      <c r="AW460" s="28">
        <f t="shared" si="319"/>
        <v>0</v>
      </c>
      <c r="AX460" s="23">
        <f>HLOOKUP(YEAR(A460),Assumptions!$A$25:$AL$29,2,TRUE)/100</f>
        <v>1.1332999999999999E-2</v>
      </c>
      <c r="AY460" s="29">
        <f>1/(1+HLOOKUP(YEAR(A460),Assumptions!$A$18:$AL$20,3,TRUE))^(1/12)</f>
        <v>0.99906100631170314</v>
      </c>
      <c r="AZ460" s="26">
        <f t="shared" si="320"/>
        <v>0</v>
      </c>
      <c r="BA460">
        <f t="shared" si="321"/>
        <v>0</v>
      </c>
      <c r="BB460">
        <f t="shared" si="322"/>
        <v>0</v>
      </c>
      <c r="BC460">
        <f t="shared" si="323"/>
        <v>0</v>
      </c>
    </row>
    <row r="461" spans="1:55" x14ac:dyDescent="0.2">
      <c r="A461" s="3">
        <f t="shared" ref="A461:A524" si="349">DATE(YEAR(A460),MONTH(A460)+2,1)-1</f>
        <v>56795</v>
      </c>
      <c r="B461">
        <f t="shared" si="346"/>
        <v>463</v>
      </c>
      <c r="C461">
        <f t="shared" si="333"/>
        <v>38.5</v>
      </c>
      <c r="D461">
        <f t="shared" si="334"/>
        <v>0</v>
      </c>
      <c r="E461">
        <f t="shared" si="347"/>
        <v>94</v>
      </c>
      <c r="F461">
        <f>IF(C461&gt;=$T$2,0,VLOOKUP($E461,'Mortality Table'!$A$3:$C$128,2+AF$2,FALSE))</f>
        <v>0</v>
      </c>
      <c r="G461">
        <f>F461*Assumptions!$B$1</f>
        <v>0</v>
      </c>
      <c r="H461">
        <f t="shared" si="335"/>
        <v>0</v>
      </c>
      <c r="I461">
        <f t="shared" si="336"/>
        <v>0</v>
      </c>
      <c r="J461">
        <f>IF(B461&gt;$AJ$2,0,HLOOKUP(C461,Assumptions!$A$6:$J$7,2,TRUE))</f>
        <v>0</v>
      </c>
      <c r="K461" s="4">
        <f t="shared" si="337"/>
        <v>0</v>
      </c>
      <c r="L461" s="4">
        <f t="shared" ref="L461:L524" si="350">IF(B461&gt;$AJ$2,0,IF(B461=$AJ$2,1/$U$2,IF(K462=0,0,1/$U$2)))</f>
        <v>0</v>
      </c>
      <c r="M461" s="4">
        <f t="shared" si="338"/>
        <v>0</v>
      </c>
      <c r="N461">
        <f t="shared" si="339"/>
        <v>0</v>
      </c>
      <c r="O461" s="21">
        <f t="shared" si="340"/>
        <v>0</v>
      </c>
      <c r="P461">
        <f>IF(B461&gt;$AJ$2,0,HLOOKUP(C461,Assumptions!$A$12:$J$13,2,TRUE))</f>
        <v>0</v>
      </c>
      <c r="Q461">
        <f t="shared" si="341"/>
        <v>0</v>
      </c>
      <c r="R461">
        <f t="shared" ref="R461:R524" si="351">IF(B461&gt;$AJ$2,0,Q461+R460-S461-T461)</f>
        <v>0</v>
      </c>
      <c r="S461">
        <f t="shared" si="342"/>
        <v>0</v>
      </c>
      <c r="T461">
        <f t="shared" si="343"/>
        <v>0</v>
      </c>
      <c r="U461">
        <f t="shared" ref="U461:U524" si="352">IF(B461&gt;$AJ$2,0,U460*(1+$I$2/100)^D461)</f>
        <v>0</v>
      </c>
      <c r="V461">
        <f t="shared" ref="V461:V524" si="353">IF(B461&gt;$AJ$2,0,IF(E461&lt;=75,SUM($J$2:$R$2),0))</f>
        <v>0</v>
      </c>
      <c r="W461">
        <f t="shared" ref="W461:W524" si="354">IF(B461&gt;$AJ$2,0,($G$2+IF(B461&lt;13,$D$2,IF(B461&lt;25,$E$2,IF(B461&lt;37,$F$2,0))))/100)</f>
        <v>0</v>
      </c>
      <c r="X461">
        <f t="shared" si="344"/>
        <v>0</v>
      </c>
      <c r="Y461">
        <f t="shared" ref="Y461:Y524" si="355">IF($W$2=0,0,(U461-V461)*(1-W461)/$U$2*K461)</f>
        <v>0</v>
      </c>
      <c r="Z461">
        <f t="shared" ref="Z461:Z524" si="356">IF(B461&gt;$AJ$2,0,(Z460+Y461)*(1+$V$2/100)^(1/12))</f>
        <v>0</v>
      </c>
      <c r="AA461">
        <f t="shared" ref="AA461:AA524" si="357">IF(B461&gt;$AJ$2,0,MAX(0,IF(MONTH(A461)=1,AB460-AD460-Z460,0)))</f>
        <v>0</v>
      </c>
      <c r="AB461">
        <f t="shared" ref="AB461:AB524" si="358">IF(B461&gt;$AJ$2,0,(AB460+Y461)*(1+MAX(AC461,$V$2/100))^(1/12))</f>
        <v>0</v>
      </c>
      <c r="AC461" s="23">
        <f>IF(B461&gt;$AJ$2,0,HLOOKUP(YEAR(A461),Assumptions!$A$25:$AL$29,4,TRUE)/100)</f>
        <v>0</v>
      </c>
      <c r="AD461">
        <f t="shared" ref="AD461:AD524" si="359">IF(B461&gt;$AJ$2,0,AD460+AA461)*(1+$V$2/100)^(1/12)</f>
        <v>0</v>
      </c>
      <c r="AE461">
        <f t="shared" ref="AE461:AE524" si="360">IF(B461&gt;$AJ$2,0,IF(R461=0,0,(AF461*(R461-Q461)+Q461*Z461)/R461))</f>
        <v>0</v>
      </c>
      <c r="AF461">
        <f t="shared" ref="AF461:AF524" si="361">IF(B461&gt;$AJ$2,0,AE460*(1+$V$2/100)^(1/12))</f>
        <v>0</v>
      </c>
      <c r="AG461">
        <f t="shared" ref="AG461:AG524" si="362">IF(B461&gt;$AJ$2,0,IF(R461=0,0,(AG460*(R461-Q461)*(1+MAX(AC461,$V$2/100))^(1/12)+Q461*AB461)/R461))</f>
        <v>0</v>
      </c>
      <c r="AH461">
        <f t="shared" ref="AH461:AH524" si="363">IF(B461&gt;$AJ$2,0,IF(R461=0,0,(AI461*(R461-Q461)+Q461*AD461)/R461))</f>
        <v>0</v>
      </c>
      <c r="AI461">
        <f t="shared" ref="AI461:AI524" si="364">IF(B461&gt;$AJ$2,0,(AH460+AJ461)*(1+$V$2/100)^(1/12))</f>
        <v>0</v>
      </c>
      <c r="AJ461">
        <f t="shared" ref="AJ461:AJ524" si="365">IF(B461&gt;$AJ$2,0,MAX(0,IF(MONTH(A461)=1,AG460-AE460-AH460)))</f>
        <v>0</v>
      </c>
      <c r="AK461">
        <f t="shared" si="345"/>
        <v>0</v>
      </c>
      <c r="AL461">
        <f t="shared" ref="AL461:AL524" si="366">N461*(Z461+AD461+BC461)+T461*(AE461+AH461)</f>
        <v>0</v>
      </c>
      <c r="AM461">
        <f t="shared" si="348"/>
        <v>0</v>
      </c>
      <c r="AN461">
        <f>IF($S$2=0,0,(SUMPRODUCT($K$2:$R$2,Assumptions!$B$34:$I$34)/$U$2+$J$2/$U$2*Assumptions!$A$34*G461)*K461*O460)</f>
        <v>0</v>
      </c>
      <c r="AO461">
        <f t="shared" ref="AO461:AO524" si="367">($P$2+$R$2)/$U$2*K461*O460</f>
        <v>0</v>
      </c>
      <c r="AP461">
        <f t="shared" ref="AP461:AP524" si="368">IF(B461&lt;=12,(X461-AO461)*$AB$2+AO461*0.06,IF(B461&lt;=24,(X461-AO461)*$AC$2+AO461*0.06,IF(B461&lt;=36,(X461-AO461)*$AD$2+AO461*0.06,0)))</f>
        <v>0</v>
      </c>
      <c r="AQ461">
        <f>IF(B461&gt;$AJ$2,0,AQ460*(1+Assumptions!$B$43)^(1/12))</f>
        <v>0</v>
      </c>
      <c r="AR461" s="27">
        <f>IF(B461&gt;$AJ$2,0,(O460+R460)*Assumptions!$B$39/12*AQ460+AV461*Assumptions!$B$41/12)</f>
        <v>0</v>
      </c>
      <c r="AS461">
        <f t="shared" ref="AS461:AS524" si="369">IF(B461&gt;$AJ$2,0,Y461*K461*O460)</f>
        <v>0</v>
      </c>
      <c r="AT461" s="28">
        <f t="shared" ref="AT461:AT524" si="370">IF(B461&gt;$AJ$2,0,O461*(Z461+AD461+AA462+BC461)+R461*(AE461+AH461+AJ462))</f>
        <v>0</v>
      </c>
      <c r="AU461">
        <f t="shared" ref="AU461:AU524" si="371">IF(B461&gt;$AJ$2,0,IF(MONTH(A461)=12,0,AU460+AW461*((1+AX461)^(1/12)-1)-BB461*((1+$V$2/100)^(1/12)-1)))</f>
        <v>0</v>
      </c>
      <c r="AV461" s="28">
        <f t="shared" ref="AV461:AV524" si="372">IF(B461&gt;$AJ$2,0,AT460+AS461-AN461+AU460)</f>
        <v>0</v>
      </c>
      <c r="AW461" s="28">
        <f t="shared" ref="AW461:AW524" si="373">IF(B461&gt;$AJ$2,0,AT460+X461+AU460-AN461-AP461-AR461)</f>
        <v>0</v>
      </c>
      <c r="AX461" s="23">
        <f>HLOOKUP(YEAR(A461),Assumptions!$A$25:$AL$29,2,TRUE)/100</f>
        <v>1.1332999999999999E-2</v>
      </c>
      <c r="AY461" s="29">
        <f>1/(1+HLOOKUP(YEAR(A461),Assumptions!$A$18:$AL$20,3,TRUE))^(1/12)</f>
        <v>0.99906100631170314</v>
      </c>
      <c r="AZ461" s="26">
        <f t="shared" ref="AZ461:AZ524" si="374">(AZ462+BA462+AR462+AP462-X462)*AY462</f>
        <v>0</v>
      </c>
      <c r="BA461">
        <f t="shared" ref="BA461:BA524" si="375">AK461+AL461+AM461+AN461</f>
        <v>0</v>
      </c>
      <c r="BB461">
        <f t="shared" ref="BB461:BB524" si="376">IF(B461&gt;$AJ$2,0,AT460-BC460*O460+AS461-AN461)</f>
        <v>0</v>
      </c>
      <c r="BC461">
        <f t="shared" ref="BC461:BC524" si="377">IF($W$2=0,0,IF(B461&gt;$AJ$2,0,BC460+V461/$U$2*K461-$U$2/12*V461/$U$2))</f>
        <v>0</v>
      </c>
    </row>
    <row r="462" spans="1:55" x14ac:dyDescent="0.2">
      <c r="A462" s="3">
        <f t="shared" si="349"/>
        <v>56826</v>
      </c>
      <c r="B462">
        <f t="shared" si="346"/>
        <v>464</v>
      </c>
      <c r="C462">
        <f t="shared" si="333"/>
        <v>38.583333333333336</v>
      </c>
      <c r="D462">
        <f t="shared" si="334"/>
        <v>0</v>
      </c>
      <c r="E462">
        <f t="shared" si="347"/>
        <v>94</v>
      </c>
      <c r="F462">
        <f>IF(C462&gt;=$T$2,0,VLOOKUP($E462,'Mortality Table'!$A$3:$C$128,2+AF$2,FALSE))</f>
        <v>0</v>
      </c>
      <c r="G462">
        <f>F462*Assumptions!$B$1</f>
        <v>0</v>
      </c>
      <c r="H462">
        <f t="shared" si="335"/>
        <v>0</v>
      </c>
      <c r="I462">
        <f t="shared" si="336"/>
        <v>0</v>
      </c>
      <c r="J462">
        <f>IF(B462&gt;$AJ$2,0,HLOOKUP(C462,Assumptions!$A$6:$J$7,2,TRUE))</f>
        <v>0</v>
      </c>
      <c r="K462" s="4">
        <f t="shared" si="337"/>
        <v>0</v>
      </c>
      <c r="L462" s="4">
        <f t="shared" si="350"/>
        <v>0</v>
      </c>
      <c r="M462" s="4">
        <f t="shared" si="338"/>
        <v>0</v>
      </c>
      <c r="N462">
        <f t="shared" si="339"/>
        <v>0</v>
      </c>
      <c r="O462" s="21">
        <f t="shared" si="340"/>
        <v>0</v>
      </c>
      <c r="P462">
        <f>IF(B462&gt;$AJ$2,0,HLOOKUP(C462,Assumptions!$A$12:$J$13,2,TRUE))</f>
        <v>0</v>
      </c>
      <c r="Q462">
        <f t="shared" si="341"/>
        <v>0</v>
      </c>
      <c r="R462">
        <f t="shared" si="351"/>
        <v>0</v>
      </c>
      <c r="S462">
        <f t="shared" si="342"/>
        <v>0</v>
      </c>
      <c r="T462">
        <f t="shared" si="343"/>
        <v>0</v>
      </c>
      <c r="U462">
        <f t="shared" si="352"/>
        <v>0</v>
      </c>
      <c r="V462">
        <f t="shared" si="353"/>
        <v>0</v>
      </c>
      <c r="W462">
        <f t="shared" si="354"/>
        <v>0</v>
      </c>
      <c r="X462">
        <f t="shared" si="344"/>
        <v>0</v>
      </c>
      <c r="Y462">
        <f t="shared" si="355"/>
        <v>0</v>
      </c>
      <c r="Z462">
        <f t="shared" si="356"/>
        <v>0</v>
      </c>
      <c r="AA462">
        <f t="shared" si="357"/>
        <v>0</v>
      </c>
      <c r="AB462">
        <f t="shared" si="358"/>
        <v>0</v>
      </c>
      <c r="AC462" s="23">
        <f>IF(B462&gt;$AJ$2,0,HLOOKUP(YEAR(A462),Assumptions!$A$25:$AL$29,4,TRUE)/100)</f>
        <v>0</v>
      </c>
      <c r="AD462">
        <f t="shared" si="359"/>
        <v>0</v>
      </c>
      <c r="AE462">
        <f t="shared" si="360"/>
        <v>0</v>
      </c>
      <c r="AF462">
        <f t="shared" si="361"/>
        <v>0</v>
      </c>
      <c r="AG462">
        <f t="shared" si="362"/>
        <v>0</v>
      </c>
      <c r="AH462">
        <f t="shared" si="363"/>
        <v>0</v>
      </c>
      <c r="AI462">
        <f t="shared" si="364"/>
        <v>0</v>
      </c>
      <c r="AJ462">
        <f t="shared" si="365"/>
        <v>0</v>
      </c>
      <c r="AK462">
        <f t="shared" si="345"/>
        <v>0</v>
      </c>
      <c r="AL462">
        <f t="shared" si="366"/>
        <v>0</v>
      </c>
      <c r="AM462">
        <f t="shared" si="348"/>
        <v>0</v>
      </c>
      <c r="AN462">
        <f>IF($S$2=0,0,(SUMPRODUCT($K$2:$R$2,Assumptions!$B$34:$I$34)/$U$2+$J$2/$U$2*Assumptions!$A$34*G462)*K462*O461)</f>
        <v>0</v>
      </c>
      <c r="AO462">
        <f t="shared" si="367"/>
        <v>0</v>
      </c>
      <c r="AP462">
        <f t="shared" si="368"/>
        <v>0</v>
      </c>
      <c r="AQ462">
        <f>IF(B462&gt;$AJ$2,0,AQ461*(1+Assumptions!$B$43)^(1/12))</f>
        <v>0</v>
      </c>
      <c r="AR462" s="27">
        <f>IF(B462&gt;$AJ$2,0,(O461+R461)*Assumptions!$B$39/12*AQ461+AV462*Assumptions!$B$41/12)</f>
        <v>0</v>
      </c>
      <c r="AS462">
        <f t="shared" si="369"/>
        <v>0</v>
      </c>
      <c r="AT462" s="28">
        <f t="shared" si="370"/>
        <v>0</v>
      </c>
      <c r="AU462">
        <f t="shared" si="371"/>
        <v>0</v>
      </c>
      <c r="AV462" s="28">
        <f t="shared" si="372"/>
        <v>0</v>
      </c>
      <c r="AW462" s="28">
        <f t="shared" si="373"/>
        <v>0</v>
      </c>
      <c r="AX462" s="23">
        <f>HLOOKUP(YEAR(A462),Assumptions!$A$25:$AL$29,2,TRUE)/100</f>
        <v>1.1332999999999999E-2</v>
      </c>
      <c r="AY462" s="29">
        <f>1/(1+HLOOKUP(YEAR(A462),Assumptions!$A$18:$AL$20,3,TRUE))^(1/12)</f>
        <v>0.99906100631170314</v>
      </c>
      <c r="AZ462" s="26">
        <f t="shared" si="374"/>
        <v>0</v>
      </c>
      <c r="BA462">
        <f t="shared" si="375"/>
        <v>0</v>
      </c>
      <c r="BB462">
        <f t="shared" si="376"/>
        <v>0</v>
      </c>
      <c r="BC462">
        <f t="shared" si="377"/>
        <v>0</v>
      </c>
    </row>
    <row r="463" spans="1:55" x14ac:dyDescent="0.2">
      <c r="A463" s="3">
        <f t="shared" si="349"/>
        <v>56857</v>
      </c>
      <c r="B463">
        <f t="shared" si="346"/>
        <v>465</v>
      </c>
      <c r="C463">
        <f t="shared" si="333"/>
        <v>38.666666666666664</v>
      </c>
      <c r="D463">
        <f t="shared" si="334"/>
        <v>0</v>
      </c>
      <c r="E463">
        <f t="shared" si="347"/>
        <v>94</v>
      </c>
      <c r="F463">
        <f>IF(C463&gt;=$T$2,0,VLOOKUP($E463,'Mortality Table'!$A$3:$C$128,2+AF$2,FALSE))</f>
        <v>0</v>
      </c>
      <c r="G463">
        <f>F463*Assumptions!$B$1</f>
        <v>0</v>
      </c>
      <c r="H463">
        <f t="shared" si="335"/>
        <v>0</v>
      </c>
      <c r="I463">
        <f t="shared" si="336"/>
        <v>0</v>
      </c>
      <c r="J463">
        <f>IF(B463&gt;$AJ$2,0,HLOOKUP(C463,Assumptions!$A$6:$J$7,2,TRUE))</f>
        <v>0</v>
      </c>
      <c r="K463" s="4">
        <f t="shared" si="337"/>
        <v>0</v>
      </c>
      <c r="L463" s="4">
        <f t="shared" si="350"/>
        <v>0</v>
      </c>
      <c r="M463" s="4">
        <f t="shared" si="338"/>
        <v>0</v>
      </c>
      <c r="N463">
        <f t="shared" si="339"/>
        <v>0</v>
      </c>
      <c r="O463" s="21">
        <f t="shared" si="340"/>
        <v>0</v>
      </c>
      <c r="P463">
        <f>IF(B463&gt;$AJ$2,0,HLOOKUP(C463,Assumptions!$A$12:$J$13,2,TRUE))</f>
        <v>0</v>
      </c>
      <c r="Q463">
        <f t="shared" si="341"/>
        <v>0</v>
      </c>
      <c r="R463">
        <f t="shared" si="351"/>
        <v>0</v>
      </c>
      <c r="S463">
        <f t="shared" si="342"/>
        <v>0</v>
      </c>
      <c r="T463">
        <f t="shared" si="343"/>
        <v>0</v>
      </c>
      <c r="U463">
        <f t="shared" si="352"/>
        <v>0</v>
      </c>
      <c r="V463">
        <f t="shared" si="353"/>
        <v>0</v>
      </c>
      <c r="W463">
        <f t="shared" si="354"/>
        <v>0</v>
      </c>
      <c r="X463">
        <f t="shared" si="344"/>
        <v>0</v>
      </c>
      <c r="Y463">
        <f t="shared" si="355"/>
        <v>0</v>
      </c>
      <c r="Z463">
        <f t="shared" si="356"/>
        <v>0</v>
      </c>
      <c r="AA463">
        <f t="shared" si="357"/>
        <v>0</v>
      </c>
      <c r="AB463">
        <f t="shared" si="358"/>
        <v>0</v>
      </c>
      <c r="AC463" s="23">
        <f>IF(B463&gt;$AJ$2,0,HLOOKUP(YEAR(A463),Assumptions!$A$25:$AL$29,4,TRUE)/100)</f>
        <v>0</v>
      </c>
      <c r="AD463">
        <f t="shared" si="359"/>
        <v>0</v>
      </c>
      <c r="AE463">
        <f t="shared" si="360"/>
        <v>0</v>
      </c>
      <c r="AF463">
        <f t="shared" si="361"/>
        <v>0</v>
      </c>
      <c r="AG463">
        <f t="shared" si="362"/>
        <v>0</v>
      </c>
      <c r="AH463">
        <f t="shared" si="363"/>
        <v>0</v>
      </c>
      <c r="AI463">
        <f t="shared" si="364"/>
        <v>0</v>
      </c>
      <c r="AJ463">
        <f t="shared" si="365"/>
        <v>0</v>
      </c>
      <c r="AK463">
        <f t="shared" si="345"/>
        <v>0</v>
      </c>
      <c r="AL463">
        <f t="shared" si="366"/>
        <v>0</v>
      </c>
      <c r="AM463">
        <f t="shared" si="348"/>
        <v>0</v>
      </c>
      <c r="AN463">
        <f>IF($S$2=0,0,(SUMPRODUCT($K$2:$R$2,Assumptions!$B$34:$I$34)/$U$2+$J$2/$U$2*Assumptions!$A$34*G463)*K463*O462)</f>
        <v>0</v>
      </c>
      <c r="AO463">
        <f t="shared" si="367"/>
        <v>0</v>
      </c>
      <c r="AP463">
        <f t="shared" si="368"/>
        <v>0</v>
      </c>
      <c r="AQ463">
        <f>IF(B463&gt;$AJ$2,0,AQ462*(1+Assumptions!$B$43)^(1/12))</f>
        <v>0</v>
      </c>
      <c r="AR463" s="27">
        <f>IF(B463&gt;$AJ$2,0,(O462+R462)*Assumptions!$B$39/12*AQ462+AV463*Assumptions!$B$41/12)</f>
        <v>0</v>
      </c>
      <c r="AS463">
        <f t="shared" si="369"/>
        <v>0</v>
      </c>
      <c r="AT463" s="28">
        <f t="shared" si="370"/>
        <v>0</v>
      </c>
      <c r="AU463">
        <f t="shared" si="371"/>
        <v>0</v>
      </c>
      <c r="AV463" s="28">
        <f t="shared" si="372"/>
        <v>0</v>
      </c>
      <c r="AW463" s="28">
        <f t="shared" si="373"/>
        <v>0</v>
      </c>
      <c r="AX463" s="23">
        <f>HLOOKUP(YEAR(A463),Assumptions!$A$25:$AL$29,2,TRUE)/100</f>
        <v>1.1332999999999999E-2</v>
      </c>
      <c r="AY463" s="29">
        <f>1/(1+HLOOKUP(YEAR(A463),Assumptions!$A$18:$AL$20,3,TRUE))^(1/12)</f>
        <v>0.99906100631170314</v>
      </c>
      <c r="AZ463" s="26">
        <f t="shared" si="374"/>
        <v>0</v>
      </c>
      <c r="BA463">
        <f t="shared" si="375"/>
        <v>0</v>
      </c>
      <c r="BB463">
        <f t="shared" si="376"/>
        <v>0</v>
      </c>
      <c r="BC463">
        <f t="shared" si="377"/>
        <v>0</v>
      </c>
    </row>
    <row r="464" spans="1:55" x14ac:dyDescent="0.2">
      <c r="A464" s="3">
        <f t="shared" si="349"/>
        <v>56887</v>
      </c>
      <c r="B464">
        <f t="shared" si="346"/>
        <v>466</v>
      </c>
      <c r="C464">
        <f t="shared" si="333"/>
        <v>38.75</v>
      </c>
      <c r="D464">
        <f t="shared" si="334"/>
        <v>0</v>
      </c>
      <c r="E464">
        <f t="shared" si="347"/>
        <v>94</v>
      </c>
      <c r="F464">
        <f>IF(C464&gt;=$T$2,0,VLOOKUP($E464,'Mortality Table'!$A$3:$C$128,2+AF$2,FALSE))</f>
        <v>0</v>
      </c>
      <c r="G464">
        <f>F464*Assumptions!$B$1</f>
        <v>0</v>
      </c>
      <c r="H464">
        <f t="shared" si="335"/>
        <v>0</v>
      </c>
      <c r="I464">
        <f t="shared" si="336"/>
        <v>0</v>
      </c>
      <c r="J464">
        <f>IF(B464&gt;$AJ$2,0,HLOOKUP(C464,Assumptions!$A$6:$J$7,2,TRUE))</f>
        <v>0</v>
      </c>
      <c r="K464" s="4">
        <f t="shared" si="337"/>
        <v>0</v>
      </c>
      <c r="L464" s="4">
        <f t="shared" si="350"/>
        <v>0</v>
      </c>
      <c r="M464" s="4">
        <f t="shared" si="338"/>
        <v>0</v>
      </c>
      <c r="N464">
        <f t="shared" si="339"/>
        <v>0</v>
      </c>
      <c r="O464" s="21">
        <f t="shared" si="340"/>
        <v>0</v>
      </c>
      <c r="P464">
        <f>IF(B464&gt;$AJ$2,0,HLOOKUP(C464,Assumptions!$A$12:$J$13,2,TRUE))</f>
        <v>0</v>
      </c>
      <c r="Q464">
        <f t="shared" si="341"/>
        <v>0</v>
      </c>
      <c r="R464">
        <f t="shared" si="351"/>
        <v>0</v>
      </c>
      <c r="S464">
        <f t="shared" si="342"/>
        <v>0</v>
      </c>
      <c r="T464">
        <f t="shared" si="343"/>
        <v>0</v>
      </c>
      <c r="U464">
        <f t="shared" si="352"/>
        <v>0</v>
      </c>
      <c r="V464">
        <f t="shared" si="353"/>
        <v>0</v>
      </c>
      <c r="W464">
        <f t="shared" si="354"/>
        <v>0</v>
      </c>
      <c r="X464">
        <f t="shared" si="344"/>
        <v>0</v>
      </c>
      <c r="Y464">
        <f t="shared" si="355"/>
        <v>0</v>
      </c>
      <c r="Z464">
        <f t="shared" si="356"/>
        <v>0</v>
      </c>
      <c r="AA464">
        <f t="shared" si="357"/>
        <v>0</v>
      </c>
      <c r="AB464">
        <f t="shared" si="358"/>
        <v>0</v>
      </c>
      <c r="AC464" s="23">
        <f>IF(B464&gt;$AJ$2,0,HLOOKUP(YEAR(A464),Assumptions!$A$25:$AL$29,4,TRUE)/100)</f>
        <v>0</v>
      </c>
      <c r="AD464">
        <f t="shared" si="359"/>
        <v>0</v>
      </c>
      <c r="AE464">
        <f t="shared" si="360"/>
        <v>0</v>
      </c>
      <c r="AF464">
        <f t="shared" si="361"/>
        <v>0</v>
      </c>
      <c r="AG464">
        <f t="shared" si="362"/>
        <v>0</v>
      </c>
      <c r="AH464">
        <f t="shared" si="363"/>
        <v>0</v>
      </c>
      <c r="AI464">
        <f t="shared" si="364"/>
        <v>0</v>
      </c>
      <c r="AJ464">
        <f t="shared" si="365"/>
        <v>0</v>
      </c>
      <c r="AK464">
        <f t="shared" si="345"/>
        <v>0</v>
      </c>
      <c r="AL464">
        <f t="shared" si="366"/>
        <v>0</v>
      </c>
      <c r="AM464">
        <f t="shared" si="348"/>
        <v>0</v>
      </c>
      <c r="AN464">
        <f>IF($S$2=0,0,(SUMPRODUCT($K$2:$R$2,Assumptions!$B$34:$I$34)/$U$2+$J$2/$U$2*Assumptions!$A$34*G464)*K464*O463)</f>
        <v>0</v>
      </c>
      <c r="AO464">
        <f t="shared" si="367"/>
        <v>0</v>
      </c>
      <c r="AP464">
        <f t="shared" si="368"/>
        <v>0</v>
      </c>
      <c r="AQ464">
        <f>IF(B464&gt;$AJ$2,0,AQ463*(1+Assumptions!$B$43)^(1/12))</f>
        <v>0</v>
      </c>
      <c r="AR464" s="27">
        <f>IF(B464&gt;$AJ$2,0,(O463+R463)*Assumptions!$B$39/12*AQ463+AV464*Assumptions!$B$41/12)</f>
        <v>0</v>
      </c>
      <c r="AS464">
        <f t="shared" si="369"/>
        <v>0</v>
      </c>
      <c r="AT464" s="28">
        <f t="shared" si="370"/>
        <v>0</v>
      </c>
      <c r="AU464">
        <f t="shared" si="371"/>
        <v>0</v>
      </c>
      <c r="AV464" s="28">
        <f t="shared" si="372"/>
        <v>0</v>
      </c>
      <c r="AW464" s="28">
        <f t="shared" si="373"/>
        <v>0</v>
      </c>
      <c r="AX464" s="23">
        <f>HLOOKUP(YEAR(A464),Assumptions!$A$25:$AL$29,2,TRUE)/100</f>
        <v>1.1332999999999999E-2</v>
      </c>
      <c r="AY464" s="29">
        <f>1/(1+HLOOKUP(YEAR(A464),Assumptions!$A$18:$AL$20,3,TRUE))^(1/12)</f>
        <v>0.99906100631170314</v>
      </c>
      <c r="AZ464" s="26">
        <f t="shared" si="374"/>
        <v>0</v>
      </c>
      <c r="BA464">
        <f t="shared" si="375"/>
        <v>0</v>
      </c>
      <c r="BB464">
        <f t="shared" si="376"/>
        <v>0</v>
      </c>
      <c r="BC464">
        <f t="shared" si="377"/>
        <v>0</v>
      </c>
    </row>
    <row r="465" spans="1:55" x14ac:dyDescent="0.2">
      <c r="A465" s="3">
        <f t="shared" si="349"/>
        <v>56918</v>
      </c>
      <c r="B465">
        <f t="shared" si="346"/>
        <v>467</v>
      </c>
      <c r="C465">
        <f t="shared" si="333"/>
        <v>38.833333333333336</v>
      </c>
      <c r="D465">
        <f t="shared" si="334"/>
        <v>0</v>
      </c>
      <c r="E465">
        <f t="shared" si="347"/>
        <v>94</v>
      </c>
      <c r="F465">
        <f>IF(C465&gt;=$T$2,0,VLOOKUP($E465,'Mortality Table'!$A$3:$C$128,2+AF$2,FALSE))</f>
        <v>0</v>
      </c>
      <c r="G465">
        <f>F465*Assumptions!$B$1</f>
        <v>0</v>
      </c>
      <c r="H465">
        <f t="shared" si="335"/>
        <v>0</v>
      </c>
      <c r="I465">
        <f t="shared" si="336"/>
        <v>0</v>
      </c>
      <c r="J465">
        <f>IF(B465&gt;$AJ$2,0,HLOOKUP(C465,Assumptions!$A$6:$J$7,2,TRUE))</f>
        <v>0</v>
      </c>
      <c r="K465" s="4">
        <f t="shared" si="337"/>
        <v>0</v>
      </c>
      <c r="L465" s="4">
        <f t="shared" si="350"/>
        <v>0</v>
      </c>
      <c r="M465" s="4">
        <f t="shared" si="338"/>
        <v>0</v>
      </c>
      <c r="N465">
        <f t="shared" si="339"/>
        <v>0</v>
      </c>
      <c r="O465" s="21">
        <f t="shared" si="340"/>
        <v>0</v>
      </c>
      <c r="P465">
        <f>IF(B465&gt;$AJ$2,0,HLOOKUP(C465,Assumptions!$A$12:$J$13,2,TRUE))</f>
        <v>0</v>
      </c>
      <c r="Q465">
        <f t="shared" si="341"/>
        <v>0</v>
      </c>
      <c r="R465">
        <f t="shared" si="351"/>
        <v>0</v>
      </c>
      <c r="S465">
        <f t="shared" si="342"/>
        <v>0</v>
      </c>
      <c r="T465">
        <f t="shared" si="343"/>
        <v>0</v>
      </c>
      <c r="U465">
        <f t="shared" si="352"/>
        <v>0</v>
      </c>
      <c r="V465">
        <f t="shared" si="353"/>
        <v>0</v>
      </c>
      <c r="W465">
        <f t="shared" si="354"/>
        <v>0</v>
      </c>
      <c r="X465">
        <f t="shared" si="344"/>
        <v>0</v>
      </c>
      <c r="Y465">
        <f t="shared" si="355"/>
        <v>0</v>
      </c>
      <c r="Z465">
        <f t="shared" si="356"/>
        <v>0</v>
      </c>
      <c r="AA465">
        <f t="shared" si="357"/>
        <v>0</v>
      </c>
      <c r="AB465">
        <f t="shared" si="358"/>
        <v>0</v>
      </c>
      <c r="AC465" s="23">
        <f>IF(B465&gt;$AJ$2,0,HLOOKUP(YEAR(A465),Assumptions!$A$25:$AL$29,4,TRUE)/100)</f>
        <v>0</v>
      </c>
      <c r="AD465">
        <f t="shared" si="359"/>
        <v>0</v>
      </c>
      <c r="AE465">
        <f t="shared" si="360"/>
        <v>0</v>
      </c>
      <c r="AF465">
        <f t="shared" si="361"/>
        <v>0</v>
      </c>
      <c r="AG465">
        <f t="shared" si="362"/>
        <v>0</v>
      </c>
      <c r="AH465">
        <f t="shared" si="363"/>
        <v>0</v>
      </c>
      <c r="AI465">
        <f t="shared" si="364"/>
        <v>0</v>
      </c>
      <c r="AJ465">
        <f t="shared" si="365"/>
        <v>0</v>
      </c>
      <c r="AK465">
        <f t="shared" si="345"/>
        <v>0</v>
      </c>
      <c r="AL465">
        <f t="shared" si="366"/>
        <v>0</v>
      </c>
      <c r="AM465">
        <f t="shared" si="348"/>
        <v>0</v>
      </c>
      <c r="AN465">
        <f>IF($S$2=0,0,(SUMPRODUCT($K$2:$R$2,Assumptions!$B$34:$I$34)/$U$2+$J$2/$U$2*Assumptions!$A$34*G465)*K465*O464)</f>
        <v>0</v>
      </c>
      <c r="AO465">
        <f t="shared" si="367"/>
        <v>0</v>
      </c>
      <c r="AP465">
        <f t="shared" si="368"/>
        <v>0</v>
      </c>
      <c r="AQ465">
        <f>IF(B465&gt;$AJ$2,0,AQ464*(1+Assumptions!$B$43)^(1/12))</f>
        <v>0</v>
      </c>
      <c r="AR465" s="27">
        <f>IF(B465&gt;$AJ$2,0,(O464+R464)*Assumptions!$B$39/12*AQ464+AV465*Assumptions!$B$41/12)</f>
        <v>0</v>
      </c>
      <c r="AS465">
        <f t="shared" si="369"/>
        <v>0</v>
      </c>
      <c r="AT465" s="28">
        <f t="shared" si="370"/>
        <v>0</v>
      </c>
      <c r="AU465">
        <f t="shared" si="371"/>
        <v>0</v>
      </c>
      <c r="AV465" s="28">
        <f t="shared" si="372"/>
        <v>0</v>
      </c>
      <c r="AW465" s="28">
        <f t="shared" si="373"/>
        <v>0</v>
      </c>
      <c r="AX465" s="23">
        <f>HLOOKUP(YEAR(A465),Assumptions!$A$25:$AL$29,2,TRUE)/100</f>
        <v>1.1332999999999999E-2</v>
      </c>
      <c r="AY465" s="29">
        <f>1/(1+HLOOKUP(YEAR(A465),Assumptions!$A$18:$AL$20,3,TRUE))^(1/12)</f>
        <v>0.99906100631170314</v>
      </c>
      <c r="AZ465" s="26">
        <f t="shared" si="374"/>
        <v>0</v>
      </c>
      <c r="BA465">
        <f t="shared" si="375"/>
        <v>0</v>
      </c>
      <c r="BB465">
        <f t="shared" si="376"/>
        <v>0</v>
      </c>
      <c r="BC465">
        <f t="shared" si="377"/>
        <v>0</v>
      </c>
    </row>
    <row r="466" spans="1:55" x14ac:dyDescent="0.2">
      <c r="A466" s="3">
        <f t="shared" si="349"/>
        <v>56948</v>
      </c>
      <c r="B466">
        <f t="shared" si="346"/>
        <v>468</v>
      </c>
      <c r="C466">
        <f t="shared" si="333"/>
        <v>38.916666666666664</v>
      </c>
      <c r="D466">
        <f t="shared" si="334"/>
        <v>0</v>
      </c>
      <c r="E466">
        <f t="shared" si="347"/>
        <v>94</v>
      </c>
      <c r="F466">
        <f>IF(C466&gt;=$T$2,0,VLOOKUP($E466,'Mortality Table'!$A$3:$C$128,2+AF$2,FALSE))</f>
        <v>0</v>
      </c>
      <c r="G466">
        <f>F466*Assumptions!$B$1</f>
        <v>0</v>
      </c>
      <c r="H466">
        <f t="shared" si="335"/>
        <v>0</v>
      </c>
      <c r="I466">
        <f t="shared" si="336"/>
        <v>0</v>
      </c>
      <c r="J466">
        <f>IF(B466&gt;$AJ$2,0,HLOOKUP(C466,Assumptions!$A$6:$J$7,2,TRUE))</f>
        <v>0</v>
      </c>
      <c r="K466" s="4">
        <f t="shared" si="337"/>
        <v>0</v>
      </c>
      <c r="L466" s="4">
        <f t="shared" si="350"/>
        <v>0</v>
      </c>
      <c r="M466" s="4">
        <f t="shared" si="338"/>
        <v>0</v>
      </c>
      <c r="N466">
        <f t="shared" si="339"/>
        <v>0</v>
      </c>
      <c r="O466" s="21">
        <f t="shared" si="340"/>
        <v>0</v>
      </c>
      <c r="P466">
        <f>IF(B466&gt;$AJ$2,0,HLOOKUP(C466,Assumptions!$A$12:$J$13,2,TRUE))</f>
        <v>0</v>
      </c>
      <c r="Q466">
        <f t="shared" si="341"/>
        <v>0</v>
      </c>
      <c r="R466">
        <f t="shared" si="351"/>
        <v>0</v>
      </c>
      <c r="S466">
        <f t="shared" si="342"/>
        <v>0</v>
      </c>
      <c r="T466">
        <f t="shared" si="343"/>
        <v>0</v>
      </c>
      <c r="U466">
        <f t="shared" si="352"/>
        <v>0</v>
      </c>
      <c r="V466">
        <f t="shared" si="353"/>
        <v>0</v>
      </c>
      <c r="W466">
        <f t="shared" si="354"/>
        <v>0</v>
      </c>
      <c r="X466">
        <f t="shared" si="344"/>
        <v>0</v>
      </c>
      <c r="Y466">
        <f t="shared" si="355"/>
        <v>0</v>
      </c>
      <c r="Z466">
        <f t="shared" si="356"/>
        <v>0</v>
      </c>
      <c r="AA466">
        <f t="shared" si="357"/>
        <v>0</v>
      </c>
      <c r="AB466">
        <f t="shared" si="358"/>
        <v>0</v>
      </c>
      <c r="AC466" s="23">
        <f>IF(B466&gt;$AJ$2,0,HLOOKUP(YEAR(A466),Assumptions!$A$25:$AL$29,4,TRUE)/100)</f>
        <v>0</v>
      </c>
      <c r="AD466">
        <f t="shared" si="359"/>
        <v>0</v>
      </c>
      <c r="AE466">
        <f t="shared" si="360"/>
        <v>0</v>
      </c>
      <c r="AF466">
        <f t="shared" si="361"/>
        <v>0</v>
      </c>
      <c r="AG466">
        <f t="shared" si="362"/>
        <v>0</v>
      </c>
      <c r="AH466">
        <f t="shared" si="363"/>
        <v>0</v>
      </c>
      <c r="AI466">
        <f t="shared" si="364"/>
        <v>0</v>
      </c>
      <c r="AJ466">
        <f t="shared" si="365"/>
        <v>0</v>
      </c>
      <c r="AK466">
        <f t="shared" si="345"/>
        <v>0</v>
      </c>
      <c r="AL466">
        <f t="shared" si="366"/>
        <v>0</v>
      </c>
      <c r="AM466">
        <f t="shared" si="348"/>
        <v>0</v>
      </c>
      <c r="AN466">
        <f>IF($S$2=0,0,(SUMPRODUCT($K$2:$R$2,Assumptions!$B$34:$I$34)/$U$2+$J$2/$U$2*Assumptions!$A$34*G466)*K466*O465)</f>
        <v>0</v>
      </c>
      <c r="AO466">
        <f t="shared" si="367"/>
        <v>0</v>
      </c>
      <c r="AP466">
        <f t="shared" si="368"/>
        <v>0</v>
      </c>
      <c r="AQ466">
        <f>IF(B466&gt;$AJ$2,0,AQ465*(1+Assumptions!$B$43)^(1/12))</f>
        <v>0</v>
      </c>
      <c r="AR466" s="27">
        <f>IF(B466&gt;$AJ$2,0,(O465+R465)*Assumptions!$B$39/12*AQ465+AV466*Assumptions!$B$41/12)</f>
        <v>0</v>
      </c>
      <c r="AS466">
        <f t="shared" si="369"/>
        <v>0</v>
      </c>
      <c r="AT466" s="28">
        <f t="shared" si="370"/>
        <v>0</v>
      </c>
      <c r="AU466">
        <f t="shared" si="371"/>
        <v>0</v>
      </c>
      <c r="AV466" s="28">
        <f t="shared" si="372"/>
        <v>0</v>
      </c>
      <c r="AW466" s="28">
        <f t="shared" si="373"/>
        <v>0</v>
      </c>
      <c r="AX466" s="23">
        <f>HLOOKUP(YEAR(A466),Assumptions!$A$25:$AL$29,2,TRUE)/100</f>
        <v>1.1332999999999999E-2</v>
      </c>
      <c r="AY466" s="29">
        <f>1/(1+HLOOKUP(YEAR(A466),Assumptions!$A$18:$AL$20,3,TRUE))^(1/12)</f>
        <v>0.99906100631170314</v>
      </c>
      <c r="AZ466" s="26">
        <f t="shared" si="374"/>
        <v>0</v>
      </c>
      <c r="BA466">
        <f t="shared" si="375"/>
        <v>0</v>
      </c>
      <c r="BB466">
        <f t="shared" si="376"/>
        <v>0</v>
      </c>
      <c r="BC466">
        <f t="shared" si="377"/>
        <v>0</v>
      </c>
    </row>
    <row r="467" spans="1:55" x14ac:dyDescent="0.2">
      <c r="A467" s="3">
        <f t="shared" si="349"/>
        <v>56979</v>
      </c>
      <c r="B467">
        <f t="shared" si="346"/>
        <v>469</v>
      </c>
      <c r="C467">
        <f t="shared" si="333"/>
        <v>39</v>
      </c>
      <c r="D467">
        <f t="shared" si="334"/>
        <v>1</v>
      </c>
      <c r="E467">
        <f t="shared" si="347"/>
        <v>95</v>
      </c>
      <c r="F467">
        <f>IF(C467&gt;=$T$2,0,VLOOKUP($E467,'Mortality Table'!$A$3:$C$128,2+AF$2,FALSE))</f>
        <v>0</v>
      </c>
      <c r="G467">
        <f>F467*Assumptions!$B$1</f>
        <v>0</v>
      </c>
      <c r="H467">
        <f t="shared" si="335"/>
        <v>0</v>
      </c>
      <c r="I467">
        <f t="shared" si="336"/>
        <v>0</v>
      </c>
      <c r="J467">
        <f>IF(B467&gt;$AJ$2,0,HLOOKUP(C467,Assumptions!$A$6:$J$7,2,TRUE))</f>
        <v>0</v>
      </c>
      <c r="K467" s="4">
        <f t="shared" si="337"/>
        <v>0</v>
      </c>
      <c r="L467" s="4">
        <f t="shared" si="350"/>
        <v>0</v>
      </c>
      <c r="M467" s="4">
        <f t="shared" si="338"/>
        <v>0</v>
      </c>
      <c r="N467">
        <f t="shared" si="339"/>
        <v>0</v>
      </c>
      <c r="O467" s="21">
        <f t="shared" si="340"/>
        <v>0</v>
      </c>
      <c r="P467">
        <f>IF(B467&gt;$AJ$2,0,HLOOKUP(C467,Assumptions!$A$12:$J$13,2,TRUE))</f>
        <v>0</v>
      </c>
      <c r="Q467">
        <f t="shared" si="341"/>
        <v>0</v>
      </c>
      <c r="R467">
        <f t="shared" si="351"/>
        <v>0</v>
      </c>
      <c r="S467">
        <f t="shared" si="342"/>
        <v>0</v>
      </c>
      <c r="T467">
        <f t="shared" si="343"/>
        <v>0</v>
      </c>
      <c r="U467">
        <f t="shared" si="352"/>
        <v>0</v>
      </c>
      <c r="V467">
        <f t="shared" si="353"/>
        <v>0</v>
      </c>
      <c r="W467">
        <f t="shared" si="354"/>
        <v>0</v>
      </c>
      <c r="X467">
        <f t="shared" si="344"/>
        <v>0</v>
      </c>
      <c r="Y467">
        <f t="shared" si="355"/>
        <v>0</v>
      </c>
      <c r="Z467">
        <f t="shared" si="356"/>
        <v>0</v>
      </c>
      <c r="AA467">
        <f t="shared" si="357"/>
        <v>0</v>
      </c>
      <c r="AB467">
        <f t="shared" si="358"/>
        <v>0</v>
      </c>
      <c r="AC467" s="23">
        <f>IF(B467&gt;$AJ$2,0,HLOOKUP(YEAR(A467),Assumptions!$A$25:$AL$29,4,TRUE)/100)</f>
        <v>0</v>
      </c>
      <c r="AD467">
        <f t="shared" si="359"/>
        <v>0</v>
      </c>
      <c r="AE467">
        <f t="shared" si="360"/>
        <v>0</v>
      </c>
      <c r="AF467">
        <f t="shared" si="361"/>
        <v>0</v>
      </c>
      <c r="AG467">
        <f t="shared" si="362"/>
        <v>0</v>
      </c>
      <c r="AH467">
        <f t="shared" si="363"/>
        <v>0</v>
      </c>
      <c r="AI467">
        <f t="shared" si="364"/>
        <v>0</v>
      </c>
      <c r="AJ467">
        <f t="shared" si="365"/>
        <v>0</v>
      </c>
      <c r="AK467">
        <f t="shared" si="345"/>
        <v>0</v>
      </c>
      <c r="AL467">
        <f t="shared" si="366"/>
        <v>0</v>
      </c>
      <c r="AM467">
        <f t="shared" si="348"/>
        <v>0</v>
      </c>
      <c r="AN467">
        <f>IF($S$2=0,0,(SUMPRODUCT($K$2:$R$2,Assumptions!$B$34:$I$34)/$U$2+$J$2/$U$2*Assumptions!$A$34*G467)*K467*O466)</f>
        <v>0</v>
      </c>
      <c r="AO467">
        <f t="shared" si="367"/>
        <v>0</v>
      </c>
      <c r="AP467">
        <f t="shared" si="368"/>
        <v>0</v>
      </c>
      <c r="AQ467">
        <f>IF(B467&gt;$AJ$2,0,AQ466*(1+Assumptions!$B$43)^(1/12))</f>
        <v>0</v>
      </c>
      <c r="AR467" s="27">
        <f>IF(B467&gt;$AJ$2,0,(O466+R466)*Assumptions!$B$39/12*AQ466+AV467*Assumptions!$B$41/12)</f>
        <v>0</v>
      </c>
      <c r="AS467">
        <f t="shared" si="369"/>
        <v>0</v>
      </c>
      <c r="AT467" s="28">
        <f t="shared" si="370"/>
        <v>0</v>
      </c>
      <c r="AU467">
        <f t="shared" si="371"/>
        <v>0</v>
      </c>
      <c r="AV467" s="28">
        <f t="shared" si="372"/>
        <v>0</v>
      </c>
      <c r="AW467" s="28">
        <f t="shared" si="373"/>
        <v>0</v>
      </c>
      <c r="AX467" s="23">
        <f>HLOOKUP(YEAR(A467),Assumptions!$A$25:$AL$29,2,TRUE)/100</f>
        <v>1.1332999999999999E-2</v>
      </c>
      <c r="AY467" s="29">
        <f>1/(1+HLOOKUP(YEAR(A467),Assumptions!$A$18:$AL$20,3,TRUE))^(1/12)</f>
        <v>0.99906100631170314</v>
      </c>
      <c r="AZ467" s="26">
        <f t="shared" si="374"/>
        <v>0</v>
      </c>
      <c r="BA467">
        <f t="shared" si="375"/>
        <v>0</v>
      </c>
      <c r="BB467">
        <f t="shared" si="376"/>
        <v>0</v>
      </c>
      <c r="BC467">
        <f t="shared" si="377"/>
        <v>0</v>
      </c>
    </row>
    <row r="468" spans="1:55" x14ac:dyDescent="0.2">
      <c r="A468" s="3">
        <f t="shared" si="349"/>
        <v>57010</v>
      </c>
      <c r="B468">
        <f t="shared" si="346"/>
        <v>470</v>
      </c>
      <c r="C468">
        <f t="shared" si="333"/>
        <v>39.083333333333336</v>
      </c>
      <c r="D468">
        <f t="shared" si="334"/>
        <v>0</v>
      </c>
      <c r="E468">
        <f t="shared" si="347"/>
        <v>95</v>
      </c>
      <c r="F468">
        <f>IF(C468&gt;=$T$2,0,VLOOKUP($E468,'Mortality Table'!$A$3:$C$128,2+AF$2,FALSE))</f>
        <v>0</v>
      </c>
      <c r="G468">
        <f>F468*Assumptions!$B$1</f>
        <v>0</v>
      </c>
      <c r="H468">
        <f t="shared" si="335"/>
        <v>0</v>
      </c>
      <c r="I468">
        <f t="shared" si="336"/>
        <v>0</v>
      </c>
      <c r="J468">
        <f>IF(B468&gt;$AJ$2,0,HLOOKUP(C468,Assumptions!$A$6:$J$7,2,TRUE))</f>
        <v>0</v>
      </c>
      <c r="K468" s="4">
        <f t="shared" si="337"/>
        <v>0</v>
      </c>
      <c r="L468" s="4">
        <f t="shared" si="350"/>
        <v>0</v>
      </c>
      <c r="M468" s="4">
        <f t="shared" si="338"/>
        <v>0</v>
      </c>
      <c r="N468">
        <f t="shared" si="339"/>
        <v>0</v>
      </c>
      <c r="O468" s="21">
        <f t="shared" si="340"/>
        <v>0</v>
      </c>
      <c r="P468">
        <f>IF(B468&gt;$AJ$2,0,HLOOKUP(C468,Assumptions!$A$12:$J$13,2,TRUE))</f>
        <v>0</v>
      </c>
      <c r="Q468">
        <f t="shared" si="341"/>
        <v>0</v>
      </c>
      <c r="R468">
        <f t="shared" si="351"/>
        <v>0</v>
      </c>
      <c r="S468">
        <f t="shared" si="342"/>
        <v>0</v>
      </c>
      <c r="T468">
        <f t="shared" si="343"/>
        <v>0</v>
      </c>
      <c r="U468">
        <f t="shared" si="352"/>
        <v>0</v>
      </c>
      <c r="V468">
        <f t="shared" si="353"/>
        <v>0</v>
      </c>
      <c r="W468">
        <f t="shared" si="354"/>
        <v>0</v>
      </c>
      <c r="X468">
        <f t="shared" si="344"/>
        <v>0</v>
      </c>
      <c r="Y468">
        <f t="shared" si="355"/>
        <v>0</v>
      </c>
      <c r="Z468">
        <f t="shared" si="356"/>
        <v>0</v>
      </c>
      <c r="AA468">
        <f t="shared" si="357"/>
        <v>0</v>
      </c>
      <c r="AB468">
        <f t="shared" si="358"/>
        <v>0</v>
      </c>
      <c r="AC468" s="23">
        <f>IF(B468&gt;$AJ$2,0,HLOOKUP(YEAR(A468),Assumptions!$A$25:$AL$29,4,TRUE)/100)</f>
        <v>0</v>
      </c>
      <c r="AD468">
        <f t="shared" si="359"/>
        <v>0</v>
      </c>
      <c r="AE468">
        <f t="shared" si="360"/>
        <v>0</v>
      </c>
      <c r="AF468">
        <f t="shared" si="361"/>
        <v>0</v>
      </c>
      <c r="AG468">
        <f t="shared" si="362"/>
        <v>0</v>
      </c>
      <c r="AH468">
        <f t="shared" si="363"/>
        <v>0</v>
      </c>
      <c r="AI468">
        <f t="shared" si="364"/>
        <v>0</v>
      </c>
      <c r="AJ468">
        <f t="shared" si="365"/>
        <v>0</v>
      </c>
      <c r="AK468">
        <f t="shared" si="345"/>
        <v>0</v>
      </c>
      <c r="AL468">
        <f t="shared" si="366"/>
        <v>0</v>
      </c>
      <c r="AM468">
        <f t="shared" si="348"/>
        <v>0</v>
      </c>
      <c r="AN468">
        <f>IF($S$2=0,0,(SUMPRODUCT($K$2:$R$2,Assumptions!$B$34:$I$34)/$U$2+$J$2/$U$2*Assumptions!$A$34*G468)*K468*O467)</f>
        <v>0</v>
      </c>
      <c r="AO468">
        <f t="shared" si="367"/>
        <v>0</v>
      </c>
      <c r="AP468">
        <f t="shared" si="368"/>
        <v>0</v>
      </c>
      <c r="AQ468">
        <f>IF(B468&gt;$AJ$2,0,AQ467*(1+Assumptions!$B$43)^(1/12))</f>
        <v>0</v>
      </c>
      <c r="AR468" s="27">
        <f>IF(B468&gt;$AJ$2,0,(O467+R467)*Assumptions!$B$39/12*AQ467+AV468*Assumptions!$B$41/12)</f>
        <v>0</v>
      </c>
      <c r="AS468">
        <f t="shared" si="369"/>
        <v>0</v>
      </c>
      <c r="AT468" s="28">
        <f t="shared" si="370"/>
        <v>0</v>
      </c>
      <c r="AU468">
        <f t="shared" si="371"/>
        <v>0</v>
      </c>
      <c r="AV468" s="28">
        <f t="shared" si="372"/>
        <v>0</v>
      </c>
      <c r="AW468" s="28">
        <f t="shared" si="373"/>
        <v>0</v>
      </c>
      <c r="AX468" s="23">
        <f>HLOOKUP(YEAR(A468),Assumptions!$A$25:$AL$29,2,TRUE)/100</f>
        <v>1.1332999999999999E-2</v>
      </c>
      <c r="AY468" s="29">
        <f>1/(1+HLOOKUP(YEAR(A468),Assumptions!$A$18:$AL$20,3,TRUE))^(1/12)</f>
        <v>0.99906100631170314</v>
      </c>
      <c r="AZ468" s="26">
        <f t="shared" si="374"/>
        <v>0</v>
      </c>
      <c r="BA468">
        <f t="shared" si="375"/>
        <v>0</v>
      </c>
      <c r="BB468">
        <f t="shared" si="376"/>
        <v>0</v>
      </c>
      <c r="BC468">
        <f t="shared" si="377"/>
        <v>0</v>
      </c>
    </row>
    <row r="469" spans="1:55" x14ac:dyDescent="0.2">
      <c r="A469" s="3">
        <f t="shared" si="349"/>
        <v>57039</v>
      </c>
      <c r="B469">
        <f t="shared" si="346"/>
        <v>471</v>
      </c>
      <c r="C469">
        <f t="shared" si="333"/>
        <v>39.166666666666664</v>
      </c>
      <c r="D469">
        <f t="shared" si="334"/>
        <v>0</v>
      </c>
      <c r="E469">
        <f t="shared" si="347"/>
        <v>95</v>
      </c>
      <c r="F469">
        <f>IF(C469&gt;=$T$2,0,VLOOKUP($E469,'Mortality Table'!$A$3:$C$128,2+AF$2,FALSE))</f>
        <v>0</v>
      </c>
      <c r="G469">
        <f>F469*Assumptions!$B$1</f>
        <v>0</v>
      </c>
      <c r="H469">
        <f t="shared" si="335"/>
        <v>0</v>
      </c>
      <c r="I469">
        <f t="shared" si="336"/>
        <v>0</v>
      </c>
      <c r="J469">
        <f>IF(B469&gt;$AJ$2,0,HLOOKUP(C469,Assumptions!$A$6:$J$7,2,TRUE))</f>
        <v>0</v>
      </c>
      <c r="K469" s="4">
        <f t="shared" si="337"/>
        <v>0</v>
      </c>
      <c r="L469" s="4">
        <f t="shared" si="350"/>
        <v>0</v>
      </c>
      <c r="M469" s="4">
        <f t="shared" si="338"/>
        <v>0</v>
      </c>
      <c r="N469">
        <f t="shared" si="339"/>
        <v>0</v>
      </c>
      <c r="O469" s="21">
        <f t="shared" si="340"/>
        <v>0</v>
      </c>
      <c r="P469">
        <f>IF(B469&gt;$AJ$2,0,HLOOKUP(C469,Assumptions!$A$12:$J$13,2,TRUE))</f>
        <v>0</v>
      </c>
      <c r="Q469">
        <f t="shared" si="341"/>
        <v>0</v>
      </c>
      <c r="R469">
        <f t="shared" si="351"/>
        <v>0</v>
      </c>
      <c r="S469">
        <f t="shared" si="342"/>
        <v>0</v>
      </c>
      <c r="T469">
        <f t="shared" si="343"/>
        <v>0</v>
      </c>
      <c r="U469">
        <f t="shared" si="352"/>
        <v>0</v>
      </c>
      <c r="V469">
        <f t="shared" si="353"/>
        <v>0</v>
      </c>
      <c r="W469">
        <f t="shared" si="354"/>
        <v>0</v>
      </c>
      <c r="X469">
        <f t="shared" si="344"/>
        <v>0</v>
      </c>
      <c r="Y469">
        <f t="shared" si="355"/>
        <v>0</v>
      </c>
      <c r="Z469">
        <f t="shared" si="356"/>
        <v>0</v>
      </c>
      <c r="AA469">
        <f t="shared" si="357"/>
        <v>0</v>
      </c>
      <c r="AB469">
        <f t="shared" si="358"/>
        <v>0</v>
      </c>
      <c r="AC469" s="23">
        <f>IF(B469&gt;$AJ$2,0,HLOOKUP(YEAR(A469),Assumptions!$A$25:$AL$29,4,TRUE)/100)</f>
        <v>0</v>
      </c>
      <c r="AD469">
        <f t="shared" si="359"/>
        <v>0</v>
      </c>
      <c r="AE469">
        <f t="shared" si="360"/>
        <v>0</v>
      </c>
      <c r="AF469">
        <f t="shared" si="361"/>
        <v>0</v>
      </c>
      <c r="AG469">
        <f t="shared" si="362"/>
        <v>0</v>
      </c>
      <c r="AH469">
        <f t="shared" si="363"/>
        <v>0</v>
      </c>
      <c r="AI469">
        <f t="shared" si="364"/>
        <v>0</v>
      </c>
      <c r="AJ469">
        <f t="shared" si="365"/>
        <v>0</v>
      </c>
      <c r="AK469">
        <f t="shared" si="345"/>
        <v>0</v>
      </c>
      <c r="AL469">
        <f t="shared" si="366"/>
        <v>0</v>
      </c>
      <c r="AM469">
        <f t="shared" si="348"/>
        <v>0</v>
      </c>
      <c r="AN469">
        <f>IF($S$2=0,0,(SUMPRODUCT($K$2:$R$2,Assumptions!$B$34:$I$34)/$U$2+$J$2/$U$2*Assumptions!$A$34*G469)*K469*O468)</f>
        <v>0</v>
      </c>
      <c r="AO469">
        <f t="shared" si="367"/>
        <v>0</v>
      </c>
      <c r="AP469">
        <f t="shared" si="368"/>
        <v>0</v>
      </c>
      <c r="AQ469">
        <f>IF(B469&gt;$AJ$2,0,AQ468*(1+Assumptions!$B$43)^(1/12))</f>
        <v>0</v>
      </c>
      <c r="AR469" s="27">
        <f>IF(B469&gt;$AJ$2,0,(O468+R468)*Assumptions!$B$39/12*AQ468+AV469*Assumptions!$B$41/12)</f>
        <v>0</v>
      </c>
      <c r="AS469">
        <f t="shared" si="369"/>
        <v>0</v>
      </c>
      <c r="AT469" s="28">
        <f t="shared" si="370"/>
        <v>0</v>
      </c>
      <c r="AU469">
        <f t="shared" si="371"/>
        <v>0</v>
      </c>
      <c r="AV469" s="28">
        <f t="shared" si="372"/>
        <v>0</v>
      </c>
      <c r="AW469" s="28">
        <f t="shared" si="373"/>
        <v>0</v>
      </c>
      <c r="AX469" s="23">
        <f>HLOOKUP(YEAR(A469),Assumptions!$A$25:$AL$29,2,TRUE)/100</f>
        <v>1.1332999999999999E-2</v>
      </c>
      <c r="AY469" s="29">
        <f>1/(1+HLOOKUP(YEAR(A469),Assumptions!$A$18:$AL$20,3,TRUE))^(1/12)</f>
        <v>0.99906100631170314</v>
      </c>
      <c r="AZ469" s="26">
        <f t="shared" si="374"/>
        <v>0</v>
      </c>
      <c r="BA469">
        <f t="shared" si="375"/>
        <v>0</v>
      </c>
      <c r="BB469">
        <f t="shared" si="376"/>
        <v>0</v>
      </c>
      <c r="BC469">
        <f t="shared" si="377"/>
        <v>0</v>
      </c>
    </row>
    <row r="470" spans="1:55" x14ac:dyDescent="0.2">
      <c r="A470" s="3">
        <f t="shared" si="349"/>
        <v>57070</v>
      </c>
      <c r="B470">
        <f t="shared" si="346"/>
        <v>472</v>
      </c>
      <c r="C470">
        <f t="shared" si="333"/>
        <v>39.25</v>
      </c>
      <c r="D470">
        <f t="shared" si="334"/>
        <v>0</v>
      </c>
      <c r="E470">
        <f t="shared" si="347"/>
        <v>95</v>
      </c>
      <c r="F470">
        <f>IF(C470&gt;=$T$2,0,VLOOKUP($E470,'Mortality Table'!$A$3:$C$128,2+AF$2,FALSE))</f>
        <v>0</v>
      </c>
      <c r="G470">
        <f>F470*Assumptions!$B$1</f>
        <v>0</v>
      </c>
      <c r="H470">
        <f t="shared" si="335"/>
        <v>0</v>
      </c>
      <c r="I470">
        <f t="shared" si="336"/>
        <v>0</v>
      </c>
      <c r="J470">
        <f>IF(B470&gt;$AJ$2,0,HLOOKUP(C470,Assumptions!$A$6:$J$7,2,TRUE))</f>
        <v>0</v>
      </c>
      <c r="K470" s="4">
        <f t="shared" si="337"/>
        <v>0</v>
      </c>
      <c r="L470" s="4">
        <f t="shared" si="350"/>
        <v>0</v>
      </c>
      <c r="M470" s="4">
        <f t="shared" si="338"/>
        <v>0</v>
      </c>
      <c r="N470">
        <f t="shared" si="339"/>
        <v>0</v>
      </c>
      <c r="O470" s="21">
        <f t="shared" si="340"/>
        <v>0</v>
      </c>
      <c r="P470">
        <f>IF(B470&gt;$AJ$2,0,HLOOKUP(C470,Assumptions!$A$12:$J$13,2,TRUE))</f>
        <v>0</v>
      </c>
      <c r="Q470">
        <f t="shared" si="341"/>
        <v>0</v>
      </c>
      <c r="R470">
        <f t="shared" si="351"/>
        <v>0</v>
      </c>
      <c r="S470">
        <f t="shared" si="342"/>
        <v>0</v>
      </c>
      <c r="T470">
        <f t="shared" si="343"/>
        <v>0</v>
      </c>
      <c r="U470">
        <f t="shared" si="352"/>
        <v>0</v>
      </c>
      <c r="V470">
        <f t="shared" si="353"/>
        <v>0</v>
      </c>
      <c r="W470">
        <f t="shared" si="354"/>
        <v>0</v>
      </c>
      <c r="X470">
        <f t="shared" si="344"/>
        <v>0</v>
      </c>
      <c r="Y470">
        <f t="shared" si="355"/>
        <v>0</v>
      </c>
      <c r="Z470">
        <f t="shared" si="356"/>
        <v>0</v>
      </c>
      <c r="AA470">
        <f t="shared" si="357"/>
        <v>0</v>
      </c>
      <c r="AB470">
        <f t="shared" si="358"/>
        <v>0</v>
      </c>
      <c r="AC470" s="23">
        <f>IF(B470&gt;$AJ$2,0,HLOOKUP(YEAR(A470),Assumptions!$A$25:$AL$29,4,TRUE)/100)</f>
        <v>0</v>
      </c>
      <c r="AD470">
        <f t="shared" si="359"/>
        <v>0</v>
      </c>
      <c r="AE470">
        <f t="shared" si="360"/>
        <v>0</v>
      </c>
      <c r="AF470">
        <f t="shared" si="361"/>
        <v>0</v>
      </c>
      <c r="AG470">
        <f t="shared" si="362"/>
        <v>0</v>
      </c>
      <c r="AH470">
        <f t="shared" si="363"/>
        <v>0</v>
      </c>
      <c r="AI470">
        <f t="shared" si="364"/>
        <v>0</v>
      </c>
      <c r="AJ470">
        <f t="shared" si="365"/>
        <v>0</v>
      </c>
      <c r="AK470">
        <f t="shared" si="345"/>
        <v>0</v>
      </c>
      <c r="AL470">
        <f t="shared" si="366"/>
        <v>0</v>
      </c>
      <c r="AM470">
        <f t="shared" si="348"/>
        <v>0</v>
      </c>
      <c r="AN470">
        <f>IF($S$2=0,0,(SUMPRODUCT($K$2:$R$2,Assumptions!$B$34:$I$34)/$U$2+$J$2/$U$2*Assumptions!$A$34*G470)*K470*O469)</f>
        <v>0</v>
      </c>
      <c r="AO470">
        <f t="shared" si="367"/>
        <v>0</v>
      </c>
      <c r="AP470">
        <f t="shared" si="368"/>
        <v>0</v>
      </c>
      <c r="AQ470">
        <f>IF(B470&gt;$AJ$2,0,AQ469*(1+Assumptions!$B$43)^(1/12))</f>
        <v>0</v>
      </c>
      <c r="AR470" s="27">
        <f>IF(B470&gt;$AJ$2,0,(O469+R469)*Assumptions!$B$39/12*AQ469+AV470*Assumptions!$B$41/12)</f>
        <v>0</v>
      </c>
      <c r="AS470">
        <f t="shared" si="369"/>
        <v>0</v>
      </c>
      <c r="AT470" s="28">
        <f t="shared" si="370"/>
        <v>0</v>
      </c>
      <c r="AU470">
        <f t="shared" si="371"/>
        <v>0</v>
      </c>
      <c r="AV470" s="28">
        <f t="shared" si="372"/>
        <v>0</v>
      </c>
      <c r="AW470" s="28">
        <f t="shared" si="373"/>
        <v>0</v>
      </c>
      <c r="AX470" s="23">
        <f>HLOOKUP(YEAR(A470),Assumptions!$A$25:$AL$29,2,TRUE)/100</f>
        <v>1.1332999999999999E-2</v>
      </c>
      <c r="AY470" s="29">
        <f>1/(1+HLOOKUP(YEAR(A470),Assumptions!$A$18:$AL$20,3,TRUE))^(1/12)</f>
        <v>0.99906100631170314</v>
      </c>
      <c r="AZ470" s="26">
        <f t="shared" si="374"/>
        <v>0</v>
      </c>
      <c r="BA470">
        <f t="shared" si="375"/>
        <v>0</v>
      </c>
      <c r="BB470">
        <f t="shared" si="376"/>
        <v>0</v>
      </c>
      <c r="BC470">
        <f t="shared" si="377"/>
        <v>0</v>
      </c>
    </row>
    <row r="471" spans="1:55" x14ac:dyDescent="0.2">
      <c r="A471" s="3">
        <f t="shared" si="349"/>
        <v>57100</v>
      </c>
      <c r="B471">
        <f t="shared" si="346"/>
        <v>473</v>
      </c>
      <c r="C471">
        <f t="shared" si="333"/>
        <v>39.333333333333336</v>
      </c>
      <c r="D471">
        <f t="shared" si="334"/>
        <v>0</v>
      </c>
      <c r="E471">
        <f t="shared" si="347"/>
        <v>95</v>
      </c>
      <c r="F471">
        <f>IF(C471&gt;=$T$2,0,VLOOKUP($E471,'Mortality Table'!$A$3:$C$128,2+AF$2,FALSE))</f>
        <v>0</v>
      </c>
      <c r="G471">
        <f>F471*Assumptions!$B$1</f>
        <v>0</v>
      </c>
      <c r="H471">
        <f t="shared" si="335"/>
        <v>0</v>
      </c>
      <c r="I471">
        <f t="shared" si="336"/>
        <v>0</v>
      </c>
      <c r="J471">
        <f>IF(B471&gt;$AJ$2,0,HLOOKUP(C471,Assumptions!$A$6:$J$7,2,TRUE))</f>
        <v>0</v>
      </c>
      <c r="K471" s="4">
        <f t="shared" si="337"/>
        <v>0</v>
      </c>
      <c r="L471" s="4">
        <f t="shared" si="350"/>
        <v>0</v>
      </c>
      <c r="M471" s="4">
        <f t="shared" si="338"/>
        <v>0</v>
      </c>
      <c r="N471">
        <f t="shared" si="339"/>
        <v>0</v>
      </c>
      <c r="O471" s="21">
        <f t="shared" si="340"/>
        <v>0</v>
      </c>
      <c r="P471">
        <f>IF(B471&gt;$AJ$2,0,HLOOKUP(C471,Assumptions!$A$12:$J$13,2,TRUE))</f>
        <v>0</v>
      </c>
      <c r="Q471">
        <f t="shared" si="341"/>
        <v>0</v>
      </c>
      <c r="R471">
        <f t="shared" si="351"/>
        <v>0</v>
      </c>
      <c r="S471">
        <f t="shared" si="342"/>
        <v>0</v>
      </c>
      <c r="T471">
        <f t="shared" si="343"/>
        <v>0</v>
      </c>
      <c r="U471">
        <f t="shared" si="352"/>
        <v>0</v>
      </c>
      <c r="V471">
        <f t="shared" si="353"/>
        <v>0</v>
      </c>
      <c r="W471">
        <f t="shared" si="354"/>
        <v>0</v>
      </c>
      <c r="X471">
        <f t="shared" si="344"/>
        <v>0</v>
      </c>
      <c r="Y471">
        <f t="shared" si="355"/>
        <v>0</v>
      </c>
      <c r="Z471">
        <f t="shared" si="356"/>
        <v>0</v>
      </c>
      <c r="AA471">
        <f t="shared" si="357"/>
        <v>0</v>
      </c>
      <c r="AB471">
        <f t="shared" si="358"/>
        <v>0</v>
      </c>
      <c r="AC471" s="23">
        <f>IF(B471&gt;$AJ$2,0,HLOOKUP(YEAR(A471),Assumptions!$A$25:$AL$29,4,TRUE)/100)</f>
        <v>0</v>
      </c>
      <c r="AD471">
        <f t="shared" si="359"/>
        <v>0</v>
      </c>
      <c r="AE471">
        <f t="shared" si="360"/>
        <v>0</v>
      </c>
      <c r="AF471">
        <f t="shared" si="361"/>
        <v>0</v>
      </c>
      <c r="AG471">
        <f t="shared" si="362"/>
        <v>0</v>
      </c>
      <c r="AH471">
        <f t="shared" si="363"/>
        <v>0</v>
      </c>
      <c r="AI471">
        <f t="shared" si="364"/>
        <v>0</v>
      </c>
      <c r="AJ471">
        <f t="shared" si="365"/>
        <v>0</v>
      </c>
      <c r="AK471">
        <f t="shared" si="345"/>
        <v>0</v>
      </c>
      <c r="AL471">
        <f t="shared" si="366"/>
        <v>0</v>
      </c>
      <c r="AM471">
        <f t="shared" si="348"/>
        <v>0</v>
      </c>
      <c r="AN471">
        <f>IF($S$2=0,0,(SUMPRODUCT($K$2:$R$2,Assumptions!$B$34:$I$34)/$U$2+$J$2/$U$2*Assumptions!$A$34*G471)*K471*O470)</f>
        <v>0</v>
      </c>
      <c r="AO471">
        <f t="shared" si="367"/>
        <v>0</v>
      </c>
      <c r="AP471">
        <f t="shared" si="368"/>
        <v>0</v>
      </c>
      <c r="AQ471">
        <f>IF(B471&gt;$AJ$2,0,AQ470*(1+Assumptions!$B$43)^(1/12))</f>
        <v>0</v>
      </c>
      <c r="AR471" s="27">
        <f>IF(B471&gt;$AJ$2,0,(O470+R470)*Assumptions!$B$39/12*AQ470+AV471*Assumptions!$B$41/12)</f>
        <v>0</v>
      </c>
      <c r="AS471">
        <f t="shared" si="369"/>
        <v>0</v>
      </c>
      <c r="AT471" s="28">
        <f t="shared" si="370"/>
        <v>0</v>
      </c>
      <c r="AU471">
        <f t="shared" si="371"/>
        <v>0</v>
      </c>
      <c r="AV471" s="28">
        <f t="shared" si="372"/>
        <v>0</v>
      </c>
      <c r="AW471" s="28">
        <f t="shared" si="373"/>
        <v>0</v>
      </c>
      <c r="AX471" s="23">
        <f>HLOOKUP(YEAR(A471),Assumptions!$A$25:$AL$29,2,TRUE)/100</f>
        <v>1.1332999999999999E-2</v>
      </c>
      <c r="AY471" s="29">
        <f>1/(1+HLOOKUP(YEAR(A471),Assumptions!$A$18:$AL$20,3,TRUE))^(1/12)</f>
        <v>0.99906100631170314</v>
      </c>
      <c r="AZ471" s="26">
        <f t="shared" si="374"/>
        <v>0</v>
      </c>
      <c r="BA471">
        <f t="shared" si="375"/>
        <v>0</v>
      </c>
      <c r="BB471">
        <f t="shared" si="376"/>
        <v>0</v>
      </c>
      <c r="BC471">
        <f t="shared" si="377"/>
        <v>0</v>
      </c>
    </row>
    <row r="472" spans="1:55" x14ac:dyDescent="0.2">
      <c r="A472" s="3">
        <f t="shared" si="349"/>
        <v>57131</v>
      </c>
      <c r="B472">
        <f t="shared" si="346"/>
        <v>474</v>
      </c>
      <c r="C472">
        <f t="shared" si="333"/>
        <v>39.416666666666664</v>
      </c>
      <c r="D472">
        <f t="shared" si="334"/>
        <v>0</v>
      </c>
      <c r="E472">
        <f t="shared" si="347"/>
        <v>95</v>
      </c>
      <c r="F472">
        <f>IF(C472&gt;=$T$2,0,VLOOKUP($E472,'Mortality Table'!$A$3:$C$128,2+AF$2,FALSE))</f>
        <v>0</v>
      </c>
      <c r="G472">
        <f>F472*Assumptions!$B$1</f>
        <v>0</v>
      </c>
      <c r="H472">
        <f t="shared" si="335"/>
        <v>0</v>
      </c>
      <c r="I472">
        <f t="shared" si="336"/>
        <v>0</v>
      </c>
      <c r="J472">
        <f>IF(B472&gt;$AJ$2,0,HLOOKUP(C472,Assumptions!$A$6:$J$7,2,TRUE))</f>
        <v>0</v>
      </c>
      <c r="K472" s="4">
        <f t="shared" si="337"/>
        <v>0</v>
      </c>
      <c r="L472" s="4">
        <f t="shared" si="350"/>
        <v>0</v>
      </c>
      <c r="M472" s="4">
        <f t="shared" si="338"/>
        <v>0</v>
      </c>
      <c r="N472">
        <f t="shared" si="339"/>
        <v>0</v>
      </c>
      <c r="O472" s="21">
        <f t="shared" si="340"/>
        <v>0</v>
      </c>
      <c r="P472">
        <f>IF(B472&gt;$AJ$2,0,HLOOKUP(C472,Assumptions!$A$12:$J$13,2,TRUE))</f>
        <v>0</v>
      </c>
      <c r="Q472">
        <f t="shared" si="341"/>
        <v>0</v>
      </c>
      <c r="R472">
        <f t="shared" si="351"/>
        <v>0</v>
      </c>
      <c r="S472">
        <f t="shared" si="342"/>
        <v>0</v>
      </c>
      <c r="T472">
        <f t="shared" si="343"/>
        <v>0</v>
      </c>
      <c r="U472">
        <f t="shared" si="352"/>
        <v>0</v>
      </c>
      <c r="V472">
        <f t="shared" si="353"/>
        <v>0</v>
      </c>
      <c r="W472">
        <f t="shared" si="354"/>
        <v>0</v>
      </c>
      <c r="X472">
        <f t="shared" si="344"/>
        <v>0</v>
      </c>
      <c r="Y472">
        <f t="shared" si="355"/>
        <v>0</v>
      </c>
      <c r="Z472">
        <f t="shared" si="356"/>
        <v>0</v>
      </c>
      <c r="AA472">
        <f t="shared" si="357"/>
        <v>0</v>
      </c>
      <c r="AB472">
        <f t="shared" si="358"/>
        <v>0</v>
      </c>
      <c r="AC472" s="23">
        <f>IF(B472&gt;$AJ$2,0,HLOOKUP(YEAR(A472),Assumptions!$A$25:$AL$29,4,TRUE)/100)</f>
        <v>0</v>
      </c>
      <c r="AD472">
        <f t="shared" si="359"/>
        <v>0</v>
      </c>
      <c r="AE472">
        <f t="shared" si="360"/>
        <v>0</v>
      </c>
      <c r="AF472">
        <f t="shared" si="361"/>
        <v>0</v>
      </c>
      <c r="AG472">
        <f t="shared" si="362"/>
        <v>0</v>
      </c>
      <c r="AH472">
        <f t="shared" si="363"/>
        <v>0</v>
      </c>
      <c r="AI472">
        <f t="shared" si="364"/>
        <v>0</v>
      </c>
      <c r="AJ472">
        <f t="shared" si="365"/>
        <v>0</v>
      </c>
      <c r="AK472">
        <f t="shared" si="345"/>
        <v>0</v>
      </c>
      <c r="AL472">
        <f t="shared" si="366"/>
        <v>0</v>
      </c>
      <c r="AM472">
        <f t="shared" si="348"/>
        <v>0</v>
      </c>
      <c r="AN472">
        <f>IF($S$2=0,0,(SUMPRODUCT($K$2:$R$2,Assumptions!$B$34:$I$34)/$U$2+$J$2/$U$2*Assumptions!$A$34*G472)*K472*O471)</f>
        <v>0</v>
      </c>
      <c r="AO472">
        <f t="shared" si="367"/>
        <v>0</v>
      </c>
      <c r="AP472">
        <f t="shared" si="368"/>
        <v>0</v>
      </c>
      <c r="AQ472">
        <f>IF(B472&gt;$AJ$2,0,AQ471*(1+Assumptions!$B$43)^(1/12))</f>
        <v>0</v>
      </c>
      <c r="AR472" s="27">
        <f>IF(B472&gt;$AJ$2,0,(O471+R471)*Assumptions!$B$39/12*AQ471+AV472*Assumptions!$B$41/12)</f>
        <v>0</v>
      </c>
      <c r="AS472">
        <f t="shared" si="369"/>
        <v>0</v>
      </c>
      <c r="AT472" s="28">
        <f t="shared" si="370"/>
        <v>0</v>
      </c>
      <c r="AU472">
        <f t="shared" si="371"/>
        <v>0</v>
      </c>
      <c r="AV472" s="28">
        <f t="shared" si="372"/>
        <v>0</v>
      </c>
      <c r="AW472" s="28">
        <f t="shared" si="373"/>
        <v>0</v>
      </c>
      <c r="AX472" s="23">
        <f>HLOOKUP(YEAR(A472),Assumptions!$A$25:$AL$29,2,TRUE)/100</f>
        <v>1.1332999999999999E-2</v>
      </c>
      <c r="AY472" s="29">
        <f>1/(1+HLOOKUP(YEAR(A472),Assumptions!$A$18:$AL$20,3,TRUE))^(1/12)</f>
        <v>0.99906100631170314</v>
      </c>
      <c r="AZ472" s="26">
        <f t="shared" si="374"/>
        <v>0</v>
      </c>
      <c r="BA472">
        <f t="shared" si="375"/>
        <v>0</v>
      </c>
      <c r="BB472">
        <f t="shared" si="376"/>
        <v>0</v>
      </c>
      <c r="BC472">
        <f t="shared" si="377"/>
        <v>0</v>
      </c>
    </row>
    <row r="473" spans="1:55" x14ac:dyDescent="0.2">
      <c r="A473" s="3">
        <f t="shared" si="349"/>
        <v>57161</v>
      </c>
      <c r="B473">
        <f t="shared" si="346"/>
        <v>475</v>
      </c>
      <c r="C473">
        <f t="shared" si="333"/>
        <v>39.5</v>
      </c>
      <c r="D473">
        <f t="shared" si="334"/>
        <v>0</v>
      </c>
      <c r="E473">
        <f t="shared" si="347"/>
        <v>95</v>
      </c>
      <c r="F473">
        <f>IF(C473&gt;=$T$2,0,VLOOKUP($E473,'Mortality Table'!$A$3:$C$128,2+AF$2,FALSE))</f>
        <v>0</v>
      </c>
      <c r="G473">
        <f>F473*Assumptions!$B$1</f>
        <v>0</v>
      </c>
      <c r="H473">
        <f t="shared" si="335"/>
        <v>0</v>
      </c>
      <c r="I473">
        <f t="shared" si="336"/>
        <v>0</v>
      </c>
      <c r="J473">
        <f>IF(B473&gt;$AJ$2,0,HLOOKUP(C473,Assumptions!$A$6:$J$7,2,TRUE))</f>
        <v>0</v>
      </c>
      <c r="K473" s="4">
        <f t="shared" si="337"/>
        <v>0</v>
      </c>
      <c r="L473" s="4">
        <f t="shared" si="350"/>
        <v>0</v>
      </c>
      <c r="M473" s="4">
        <f t="shared" si="338"/>
        <v>0</v>
      </c>
      <c r="N473">
        <f t="shared" si="339"/>
        <v>0</v>
      </c>
      <c r="O473" s="21">
        <f t="shared" si="340"/>
        <v>0</v>
      </c>
      <c r="P473">
        <f>IF(B473&gt;$AJ$2,0,HLOOKUP(C473,Assumptions!$A$12:$J$13,2,TRUE))</f>
        <v>0</v>
      </c>
      <c r="Q473">
        <f t="shared" si="341"/>
        <v>0</v>
      </c>
      <c r="R473">
        <f t="shared" si="351"/>
        <v>0</v>
      </c>
      <c r="S473">
        <f t="shared" si="342"/>
        <v>0</v>
      </c>
      <c r="T473">
        <f t="shared" si="343"/>
        <v>0</v>
      </c>
      <c r="U473">
        <f t="shared" si="352"/>
        <v>0</v>
      </c>
      <c r="V473">
        <f t="shared" si="353"/>
        <v>0</v>
      </c>
      <c r="W473">
        <f t="shared" si="354"/>
        <v>0</v>
      </c>
      <c r="X473">
        <f t="shared" si="344"/>
        <v>0</v>
      </c>
      <c r="Y473">
        <f t="shared" si="355"/>
        <v>0</v>
      </c>
      <c r="Z473">
        <f t="shared" si="356"/>
        <v>0</v>
      </c>
      <c r="AA473">
        <f t="shared" si="357"/>
        <v>0</v>
      </c>
      <c r="AB473">
        <f t="shared" si="358"/>
        <v>0</v>
      </c>
      <c r="AC473" s="23">
        <f>IF(B473&gt;$AJ$2,0,HLOOKUP(YEAR(A473),Assumptions!$A$25:$AL$29,4,TRUE)/100)</f>
        <v>0</v>
      </c>
      <c r="AD473">
        <f t="shared" si="359"/>
        <v>0</v>
      </c>
      <c r="AE473">
        <f t="shared" si="360"/>
        <v>0</v>
      </c>
      <c r="AF473">
        <f t="shared" si="361"/>
        <v>0</v>
      </c>
      <c r="AG473">
        <f t="shared" si="362"/>
        <v>0</v>
      </c>
      <c r="AH473">
        <f t="shared" si="363"/>
        <v>0</v>
      </c>
      <c r="AI473">
        <f t="shared" si="364"/>
        <v>0</v>
      </c>
      <c r="AJ473">
        <f t="shared" si="365"/>
        <v>0</v>
      </c>
      <c r="AK473">
        <f t="shared" si="345"/>
        <v>0</v>
      </c>
      <c r="AL473">
        <f t="shared" si="366"/>
        <v>0</v>
      </c>
      <c r="AM473">
        <f t="shared" si="348"/>
        <v>0</v>
      </c>
      <c r="AN473">
        <f>IF($S$2=0,0,(SUMPRODUCT($K$2:$R$2,Assumptions!$B$34:$I$34)/$U$2+$J$2/$U$2*Assumptions!$A$34*G473)*K473*O472)</f>
        <v>0</v>
      </c>
      <c r="AO473">
        <f t="shared" si="367"/>
        <v>0</v>
      </c>
      <c r="AP473">
        <f t="shared" si="368"/>
        <v>0</v>
      </c>
      <c r="AQ473">
        <f>IF(B473&gt;$AJ$2,0,AQ472*(1+Assumptions!$B$43)^(1/12))</f>
        <v>0</v>
      </c>
      <c r="AR473" s="27">
        <f>IF(B473&gt;$AJ$2,0,(O472+R472)*Assumptions!$B$39/12*AQ472+AV473*Assumptions!$B$41/12)</f>
        <v>0</v>
      </c>
      <c r="AS473">
        <f t="shared" si="369"/>
        <v>0</v>
      </c>
      <c r="AT473" s="28">
        <f t="shared" si="370"/>
        <v>0</v>
      </c>
      <c r="AU473">
        <f t="shared" si="371"/>
        <v>0</v>
      </c>
      <c r="AV473" s="28">
        <f t="shared" si="372"/>
        <v>0</v>
      </c>
      <c r="AW473" s="28">
        <f t="shared" si="373"/>
        <v>0</v>
      </c>
      <c r="AX473" s="23">
        <f>HLOOKUP(YEAR(A473),Assumptions!$A$25:$AL$29,2,TRUE)/100</f>
        <v>1.1332999999999999E-2</v>
      </c>
      <c r="AY473" s="29">
        <f>1/(1+HLOOKUP(YEAR(A473),Assumptions!$A$18:$AL$20,3,TRUE))^(1/12)</f>
        <v>0.99906100631170314</v>
      </c>
      <c r="AZ473" s="26">
        <f t="shared" si="374"/>
        <v>0</v>
      </c>
      <c r="BA473">
        <f t="shared" si="375"/>
        <v>0</v>
      </c>
      <c r="BB473">
        <f t="shared" si="376"/>
        <v>0</v>
      </c>
      <c r="BC473">
        <f t="shared" si="377"/>
        <v>0</v>
      </c>
    </row>
    <row r="474" spans="1:55" x14ac:dyDescent="0.2">
      <c r="A474" s="3">
        <f t="shared" si="349"/>
        <v>57192</v>
      </c>
      <c r="B474">
        <f t="shared" si="346"/>
        <v>476</v>
      </c>
      <c r="C474">
        <f t="shared" si="333"/>
        <v>39.583333333333336</v>
      </c>
      <c r="D474">
        <f t="shared" si="334"/>
        <v>0</v>
      </c>
      <c r="E474">
        <f t="shared" si="347"/>
        <v>95</v>
      </c>
      <c r="F474">
        <f>IF(C474&gt;=$T$2,0,VLOOKUP($E474,'Mortality Table'!$A$3:$C$128,2+AF$2,FALSE))</f>
        <v>0</v>
      </c>
      <c r="G474">
        <f>F474*Assumptions!$B$1</f>
        <v>0</v>
      </c>
      <c r="H474">
        <f t="shared" si="335"/>
        <v>0</v>
      </c>
      <c r="I474">
        <f t="shared" si="336"/>
        <v>0</v>
      </c>
      <c r="J474">
        <f>IF(B474&gt;$AJ$2,0,HLOOKUP(C474,Assumptions!$A$6:$J$7,2,TRUE))</f>
        <v>0</v>
      </c>
      <c r="K474" s="4">
        <f t="shared" si="337"/>
        <v>0</v>
      </c>
      <c r="L474" s="4">
        <f t="shared" si="350"/>
        <v>0</v>
      </c>
      <c r="M474" s="4">
        <f t="shared" si="338"/>
        <v>0</v>
      </c>
      <c r="N474">
        <f t="shared" si="339"/>
        <v>0</v>
      </c>
      <c r="O474" s="21">
        <f t="shared" si="340"/>
        <v>0</v>
      </c>
      <c r="P474">
        <f>IF(B474&gt;$AJ$2,0,HLOOKUP(C474,Assumptions!$A$12:$J$13,2,TRUE))</f>
        <v>0</v>
      </c>
      <c r="Q474">
        <f t="shared" si="341"/>
        <v>0</v>
      </c>
      <c r="R474">
        <f t="shared" si="351"/>
        <v>0</v>
      </c>
      <c r="S474">
        <f t="shared" si="342"/>
        <v>0</v>
      </c>
      <c r="T474">
        <f t="shared" si="343"/>
        <v>0</v>
      </c>
      <c r="U474">
        <f t="shared" si="352"/>
        <v>0</v>
      </c>
      <c r="V474">
        <f t="shared" si="353"/>
        <v>0</v>
      </c>
      <c r="W474">
        <f t="shared" si="354"/>
        <v>0</v>
      </c>
      <c r="X474">
        <f t="shared" si="344"/>
        <v>0</v>
      </c>
      <c r="Y474">
        <f t="shared" si="355"/>
        <v>0</v>
      </c>
      <c r="Z474">
        <f t="shared" si="356"/>
        <v>0</v>
      </c>
      <c r="AA474">
        <f t="shared" si="357"/>
        <v>0</v>
      </c>
      <c r="AB474">
        <f t="shared" si="358"/>
        <v>0</v>
      </c>
      <c r="AC474" s="23">
        <f>IF(B474&gt;$AJ$2,0,HLOOKUP(YEAR(A474),Assumptions!$A$25:$AL$29,4,TRUE)/100)</f>
        <v>0</v>
      </c>
      <c r="AD474">
        <f t="shared" si="359"/>
        <v>0</v>
      </c>
      <c r="AE474">
        <f t="shared" si="360"/>
        <v>0</v>
      </c>
      <c r="AF474">
        <f t="shared" si="361"/>
        <v>0</v>
      </c>
      <c r="AG474">
        <f t="shared" si="362"/>
        <v>0</v>
      </c>
      <c r="AH474">
        <f t="shared" si="363"/>
        <v>0</v>
      </c>
      <c r="AI474">
        <f t="shared" si="364"/>
        <v>0</v>
      </c>
      <c r="AJ474">
        <f t="shared" si="365"/>
        <v>0</v>
      </c>
      <c r="AK474">
        <f t="shared" si="345"/>
        <v>0</v>
      </c>
      <c r="AL474">
        <f t="shared" si="366"/>
        <v>0</v>
      </c>
      <c r="AM474">
        <f t="shared" si="348"/>
        <v>0</v>
      </c>
      <c r="AN474">
        <f>IF($S$2=0,0,(SUMPRODUCT($K$2:$R$2,Assumptions!$B$34:$I$34)/$U$2+$J$2/$U$2*Assumptions!$A$34*G474)*K474*O473)</f>
        <v>0</v>
      </c>
      <c r="AO474">
        <f t="shared" si="367"/>
        <v>0</v>
      </c>
      <c r="AP474">
        <f t="shared" si="368"/>
        <v>0</v>
      </c>
      <c r="AQ474">
        <f>IF(B474&gt;$AJ$2,0,AQ473*(1+Assumptions!$B$43)^(1/12))</f>
        <v>0</v>
      </c>
      <c r="AR474" s="27">
        <f>IF(B474&gt;$AJ$2,0,(O473+R473)*Assumptions!$B$39/12*AQ473+AV474*Assumptions!$B$41/12)</f>
        <v>0</v>
      </c>
      <c r="AS474">
        <f t="shared" si="369"/>
        <v>0</v>
      </c>
      <c r="AT474" s="28">
        <f t="shared" si="370"/>
        <v>0</v>
      </c>
      <c r="AU474">
        <f t="shared" si="371"/>
        <v>0</v>
      </c>
      <c r="AV474" s="28">
        <f t="shared" si="372"/>
        <v>0</v>
      </c>
      <c r="AW474" s="28">
        <f t="shared" si="373"/>
        <v>0</v>
      </c>
      <c r="AX474" s="23">
        <f>HLOOKUP(YEAR(A474),Assumptions!$A$25:$AL$29,2,TRUE)/100</f>
        <v>1.1332999999999999E-2</v>
      </c>
      <c r="AY474" s="29">
        <f>1/(1+HLOOKUP(YEAR(A474),Assumptions!$A$18:$AL$20,3,TRUE))^(1/12)</f>
        <v>0.99906100631170314</v>
      </c>
      <c r="AZ474" s="26">
        <f t="shared" si="374"/>
        <v>0</v>
      </c>
      <c r="BA474">
        <f t="shared" si="375"/>
        <v>0</v>
      </c>
      <c r="BB474">
        <f t="shared" si="376"/>
        <v>0</v>
      </c>
      <c r="BC474">
        <f t="shared" si="377"/>
        <v>0</v>
      </c>
    </row>
    <row r="475" spans="1:55" x14ac:dyDescent="0.2">
      <c r="A475" s="3">
        <f t="shared" si="349"/>
        <v>57223</v>
      </c>
      <c r="B475">
        <f t="shared" si="346"/>
        <v>477</v>
      </c>
      <c r="C475">
        <f t="shared" si="333"/>
        <v>39.666666666666664</v>
      </c>
      <c r="D475">
        <f t="shared" si="334"/>
        <v>0</v>
      </c>
      <c r="E475">
        <f t="shared" si="347"/>
        <v>95</v>
      </c>
      <c r="F475">
        <f>IF(C475&gt;=$T$2,0,VLOOKUP($E475,'Mortality Table'!$A$3:$C$128,2+AF$2,FALSE))</f>
        <v>0</v>
      </c>
      <c r="G475">
        <f>F475*Assumptions!$B$1</f>
        <v>0</v>
      </c>
      <c r="H475">
        <f t="shared" si="335"/>
        <v>0</v>
      </c>
      <c r="I475">
        <f t="shared" si="336"/>
        <v>0</v>
      </c>
      <c r="J475">
        <f>IF(B475&gt;$AJ$2,0,HLOOKUP(C475,Assumptions!$A$6:$J$7,2,TRUE))</f>
        <v>0</v>
      </c>
      <c r="K475" s="4">
        <f t="shared" si="337"/>
        <v>0</v>
      </c>
      <c r="L475" s="4">
        <f t="shared" si="350"/>
        <v>0</v>
      </c>
      <c r="M475" s="4">
        <f t="shared" si="338"/>
        <v>0</v>
      </c>
      <c r="N475">
        <f t="shared" si="339"/>
        <v>0</v>
      </c>
      <c r="O475" s="21">
        <f t="shared" si="340"/>
        <v>0</v>
      </c>
      <c r="P475">
        <f>IF(B475&gt;$AJ$2,0,HLOOKUP(C475,Assumptions!$A$12:$J$13,2,TRUE))</f>
        <v>0</v>
      </c>
      <c r="Q475">
        <f t="shared" si="341"/>
        <v>0</v>
      </c>
      <c r="R475">
        <f t="shared" si="351"/>
        <v>0</v>
      </c>
      <c r="S475">
        <f t="shared" si="342"/>
        <v>0</v>
      </c>
      <c r="T475">
        <f t="shared" si="343"/>
        <v>0</v>
      </c>
      <c r="U475">
        <f t="shared" si="352"/>
        <v>0</v>
      </c>
      <c r="V475">
        <f t="shared" si="353"/>
        <v>0</v>
      </c>
      <c r="W475">
        <f t="shared" si="354"/>
        <v>0</v>
      </c>
      <c r="X475">
        <f t="shared" si="344"/>
        <v>0</v>
      </c>
      <c r="Y475">
        <f t="shared" si="355"/>
        <v>0</v>
      </c>
      <c r="Z475">
        <f t="shared" si="356"/>
        <v>0</v>
      </c>
      <c r="AA475">
        <f t="shared" si="357"/>
        <v>0</v>
      </c>
      <c r="AB475">
        <f t="shared" si="358"/>
        <v>0</v>
      </c>
      <c r="AC475" s="23">
        <f>IF(B475&gt;$AJ$2,0,HLOOKUP(YEAR(A475),Assumptions!$A$25:$AL$29,4,TRUE)/100)</f>
        <v>0</v>
      </c>
      <c r="AD475">
        <f t="shared" si="359"/>
        <v>0</v>
      </c>
      <c r="AE475">
        <f t="shared" si="360"/>
        <v>0</v>
      </c>
      <c r="AF475">
        <f t="shared" si="361"/>
        <v>0</v>
      </c>
      <c r="AG475">
        <f t="shared" si="362"/>
        <v>0</v>
      </c>
      <c r="AH475">
        <f t="shared" si="363"/>
        <v>0</v>
      </c>
      <c r="AI475">
        <f t="shared" si="364"/>
        <v>0</v>
      </c>
      <c r="AJ475">
        <f t="shared" si="365"/>
        <v>0</v>
      </c>
      <c r="AK475">
        <f t="shared" si="345"/>
        <v>0</v>
      </c>
      <c r="AL475">
        <f t="shared" si="366"/>
        <v>0</v>
      </c>
      <c r="AM475">
        <f t="shared" si="348"/>
        <v>0</v>
      </c>
      <c r="AN475">
        <f>IF($S$2=0,0,(SUMPRODUCT($K$2:$R$2,Assumptions!$B$34:$I$34)/$U$2+$J$2/$U$2*Assumptions!$A$34*G475)*K475*O474)</f>
        <v>0</v>
      </c>
      <c r="AO475">
        <f t="shared" si="367"/>
        <v>0</v>
      </c>
      <c r="AP475">
        <f t="shared" si="368"/>
        <v>0</v>
      </c>
      <c r="AQ475">
        <f>IF(B475&gt;$AJ$2,0,AQ474*(1+Assumptions!$B$43)^(1/12))</f>
        <v>0</v>
      </c>
      <c r="AR475" s="27">
        <f>IF(B475&gt;$AJ$2,0,(O474+R474)*Assumptions!$B$39/12*AQ474+AV475*Assumptions!$B$41/12)</f>
        <v>0</v>
      </c>
      <c r="AS475">
        <f t="shared" si="369"/>
        <v>0</v>
      </c>
      <c r="AT475" s="28">
        <f t="shared" si="370"/>
        <v>0</v>
      </c>
      <c r="AU475">
        <f t="shared" si="371"/>
        <v>0</v>
      </c>
      <c r="AV475" s="28">
        <f t="shared" si="372"/>
        <v>0</v>
      </c>
      <c r="AW475" s="28">
        <f t="shared" si="373"/>
        <v>0</v>
      </c>
      <c r="AX475" s="23">
        <f>HLOOKUP(YEAR(A475),Assumptions!$A$25:$AL$29,2,TRUE)/100</f>
        <v>1.1332999999999999E-2</v>
      </c>
      <c r="AY475" s="29">
        <f>1/(1+HLOOKUP(YEAR(A475),Assumptions!$A$18:$AL$20,3,TRUE))^(1/12)</f>
        <v>0.99906100631170314</v>
      </c>
      <c r="AZ475" s="26">
        <f t="shared" si="374"/>
        <v>0</v>
      </c>
      <c r="BA475">
        <f t="shared" si="375"/>
        <v>0</v>
      </c>
      <c r="BB475">
        <f t="shared" si="376"/>
        <v>0</v>
      </c>
      <c r="BC475">
        <f t="shared" si="377"/>
        <v>0</v>
      </c>
    </row>
    <row r="476" spans="1:55" x14ac:dyDescent="0.2">
      <c r="A476" s="3">
        <f t="shared" si="349"/>
        <v>57253</v>
      </c>
      <c r="B476">
        <f t="shared" si="346"/>
        <v>478</v>
      </c>
      <c r="C476">
        <f t="shared" si="333"/>
        <v>39.75</v>
      </c>
      <c r="D476">
        <f t="shared" si="334"/>
        <v>0</v>
      </c>
      <c r="E476">
        <f t="shared" si="347"/>
        <v>95</v>
      </c>
      <c r="F476">
        <f>IF(C476&gt;=$T$2,0,VLOOKUP($E476,'Mortality Table'!$A$3:$C$128,2+AF$2,FALSE))</f>
        <v>0</v>
      </c>
      <c r="G476">
        <f>F476*Assumptions!$B$1</f>
        <v>0</v>
      </c>
      <c r="H476">
        <f t="shared" si="335"/>
        <v>0</v>
      </c>
      <c r="I476">
        <f t="shared" si="336"/>
        <v>0</v>
      </c>
      <c r="J476">
        <f>IF(B476&gt;$AJ$2,0,HLOOKUP(C476,Assumptions!$A$6:$J$7,2,TRUE))</f>
        <v>0</v>
      </c>
      <c r="K476" s="4">
        <f t="shared" si="337"/>
        <v>0</v>
      </c>
      <c r="L476" s="4">
        <f t="shared" si="350"/>
        <v>0</v>
      </c>
      <c r="M476" s="4">
        <f t="shared" si="338"/>
        <v>0</v>
      </c>
      <c r="N476">
        <f t="shared" si="339"/>
        <v>0</v>
      </c>
      <c r="O476" s="21">
        <f t="shared" si="340"/>
        <v>0</v>
      </c>
      <c r="P476">
        <f>IF(B476&gt;$AJ$2,0,HLOOKUP(C476,Assumptions!$A$12:$J$13,2,TRUE))</f>
        <v>0</v>
      </c>
      <c r="Q476">
        <f t="shared" si="341"/>
        <v>0</v>
      </c>
      <c r="R476">
        <f t="shared" si="351"/>
        <v>0</v>
      </c>
      <c r="S476">
        <f t="shared" si="342"/>
        <v>0</v>
      </c>
      <c r="T476">
        <f t="shared" si="343"/>
        <v>0</v>
      </c>
      <c r="U476">
        <f t="shared" si="352"/>
        <v>0</v>
      </c>
      <c r="V476">
        <f t="shared" si="353"/>
        <v>0</v>
      </c>
      <c r="W476">
        <f t="shared" si="354"/>
        <v>0</v>
      </c>
      <c r="X476">
        <f t="shared" si="344"/>
        <v>0</v>
      </c>
      <c r="Y476">
        <f t="shared" si="355"/>
        <v>0</v>
      </c>
      <c r="Z476">
        <f t="shared" si="356"/>
        <v>0</v>
      </c>
      <c r="AA476">
        <f t="shared" si="357"/>
        <v>0</v>
      </c>
      <c r="AB476">
        <f t="shared" si="358"/>
        <v>0</v>
      </c>
      <c r="AC476" s="23">
        <f>IF(B476&gt;$AJ$2,0,HLOOKUP(YEAR(A476),Assumptions!$A$25:$AL$29,4,TRUE)/100)</f>
        <v>0</v>
      </c>
      <c r="AD476">
        <f t="shared" si="359"/>
        <v>0</v>
      </c>
      <c r="AE476">
        <f t="shared" si="360"/>
        <v>0</v>
      </c>
      <c r="AF476">
        <f t="shared" si="361"/>
        <v>0</v>
      </c>
      <c r="AG476">
        <f t="shared" si="362"/>
        <v>0</v>
      </c>
      <c r="AH476">
        <f t="shared" si="363"/>
        <v>0</v>
      </c>
      <c r="AI476">
        <f t="shared" si="364"/>
        <v>0</v>
      </c>
      <c r="AJ476">
        <f t="shared" si="365"/>
        <v>0</v>
      </c>
      <c r="AK476">
        <f t="shared" si="345"/>
        <v>0</v>
      </c>
      <c r="AL476">
        <f t="shared" si="366"/>
        <v>0</v>
      </c>
      <c r="AM476">
        <f t="shared" si="348"/>
        <v>0</v>
      </c>
      <c r="AN476">
        <f>IF($S$2=0,0,(SUMPRODUCT($K$2:$R$2,Assumptions!$B$34:$I$34)/$U$2+$J$2/$U$2*Assumptions!$A$34*G476)*K476*O475)</f>
        <v>0</v>
      </c>
      <c r="AO476">
        <f t="shared" si="367"/>
        <v>0</v>
      </c>
      <c r="AP476">
        <f t="shared" si="368"/>
        <v>0</v>
      </c>
      <c r="AQ476">
        <f>IF(B476&gt;$AJ$2,0,AQ475*(1+Assumptions!$B$43)^(1/12))</f>
        <v>0</v>
      </c>
      <c r="AR476" s="27">
        <f>IF(B476&gt;$AJ$2,0,(O475+R475)*Assumptions!$B$39/12*AQ475+AV476*Assumptions!$B$41/12)</f>
        <v>0</v>
      </c>
      <c r="AS476">
        <f t="shared" si="369"/>
        <v>0</v>
      </c>
      <c r="AT476" s="28">
        <f t="shared" si="370"/>
        <v>0</v>
      </c>
      <c r="AU476">
        <f t="shared" si="371"/>
        <v>0</v>
      </c>
      <c r="AV476" s="28">
        <f t="shared" si="372"/>
        <v>0</v>
      </c>
      <c r="AW476" s="28">
        <f t="shared" si="373"/>
        <v>0</v>
      </c>
      <c r="AX476" s="23">
        <f>HLOOKUP(YEAR(A476),Assumptions!$A$25:$AL$29,2,TRUE)/100</f>
        <v>1.1332999999999999E-2</v>
      </c>
      <c r="AY476" s="29">
        <f>1/(1+HLOOKUP(YEAR(A476),Assumptions!$A$18:$AL$20,3,TRUE))^(1/12)</f>
        <v>0.99906100631170314</v>
      </c>
      <c r="AZ476" s="26">
        <f t="shared" si="374"/>
        <v>0</v>
      </c>
      <c r="BA476">
        <f t="shared" si="375"/>
        <v>0</v>
      </c>
      <c r="BB476">
        <f t="shared" si="376"/>
        <v>0</v>
      </c>
      <c r="BC476">
        <f t="shared" si="377"/>
        <v>0</v>
      </c>
    </row>
    <row r="477" spans="1:55" x14ac:dyDescent="0.2">
      <c r="A477" s="3">
        <f t="shared" si="349"/>
        <v>57284</v>
      </c>
      <c r="B477">
        <f t="shared" si="346"/>
        <v>479</v>
      </c>
      <c r="C477">
        <f t="shared" si="333"/>
        <v>39.833333333333336</v>
      </c>
      <c r="D477">
        <f t="shared" si="334"/>
        <v>0</v>
      </c>
      <c r="E477">
        <f t="shared" si="347"/>
        <v>95</v>
      </c>
      <c r="F477">
        <f>IF(C477&gt;=$T$2,0,VLOOKUP($E477,'Mortality Table'!$A$3:$C$128,2+AF$2,FALSE))</f>
        <v>0</v>
      </c>
      <c r="G477">
        <f>F477*Assumptions!$B$1</f>
        <v>0</v>
      </c>
      <c r="H477">
        <f t="shared" si="335"/>
        <v>0</v>
      </c>
      <c r="I477">
        <f t="shared" si="336"/>
        <v>0</v>
      </c>
      <c r="J477">
        <f>IF(B477&gt;$AJ$2,0,HLOOKUP(C477,Assumptions!$A$6:$J$7,2,TRUE))</f>
        <v>0</v>
      </c>
      <c r="K477" s="4">
        <f t="shared" si="337"/>
        <v>0</v>
      </c>
      <c r="L477" s="4">
        <f t="shared" si="350"/>
        <v>0</v>
      </c>
      <c r="M477" s="4">
        <f t="shared" si="338"/>
        <v>0</v>
      </c>
      <c r="N477">
        <f t="shared" si="339"/>
        <v>0</v>
      </c>
      <c r="O477" s="21">
        <f t="shared" si="340"/>
        <v>0</v>
      </c>
      <c r="P477">
        <f>IF(B477&gt;$AJ$2,0,HLOOKUP(C477,Assumptions!$A$12:$J$13,2,TRUE))</f>
        <v>0</v>
      </c>
      <c r="Q477">
        <f t="shared" si="341"/>
        <v>0</v>
      </c>
      <c r="R477">
        <f t="shared" si="351"/>
        <v>0</v>
      </c>
      <c r="S477">
        <f t="shared" si="342"/>
        <v>0</v>
      </c>
      <c r="T477">
        <f t="shared" si="343"/>
        <v>0</v>
      </c>
      <c r="U477">
        <f t="shared" si="352"/>
        <v>0</v>
      </c>
      <c r="V477">
        <f t="shared" si="353"/>
        <v>0</v>
      </c>
      <c r="W477">
        <f t="shared" si="354"/>
        <v>0</v>
      </c>
      <c r="X477">
        <f t="shared" si="344"/>
        <v>0</v>
      </c>
      <c r="Y477">
        <f t="shared" si="355"/>
        <v>0</v>
      </c>
      <c r="Z477">
        <f t="shared" si="356"/>
        <v>0</v>
      </c>
      <c r="AA477">
        <f t="shared" si="357"/>
        <v>0</v>
      </c>
      <c r="AB477">
        <f t="shared" si="358"/>
        <v>0</v>
      </c>
      <c r="AC477" s="23">
        <f>IF(B477&gt;$AJ$2,0,HLOOKUP(YEAR(A477),Assumptions!$A$25:$AL$29,4,TRUE)/100)</f>
        <v>0</v>
      </c>
      <c r="AD477">
        <f t="shared" si="359"/>
        <v>0</v>
      </c>
      <c r="AE477">
        <f t="shared" si="360"/>
        <v>0</v>
      </c>
      <c r="AF477">
        <f t="shared" si="361"/>
        <v>0</v>
      </c>
      <c r="AG477">
        <f t="shared" si="362"/>
        <v>0</v>
      </c>
      <c r="AH477">
        <f t="shared" si="363"/>
        <v>0</v>
      </c>
      <c r="AI477">
        <f t="shared" si="364"/>
        <v>0</v>
      </c>
      <c r="AJ477">
        <f t="shared" si="365"/>
        <v>0</v>
      </c>
      <c r="AK477">
        <f t="shared" si="345"/>
        <v>0</v>
      </c>
      <c r="AL477">
        <f t="shared" si="366"/>
        <v>0</v>
      </c>
      <c r="AM477">
        <f t="shared" si="348"/>
        <v>0</v>
      </c>
      <c r="AN477">
        <f>IF($S$2=0,0,(SUMPRODUCT($K$2:$R$2,Assumptions!$B$34:$I$34)/$U$2+$J$2/$U$2*Assumptions!$A$34*G477)*K477*O476)</f>
        <v>0</v>
      </c>
      <c r="AO477">
        <f t="shared" si="367"/>
        <v>0</v>
      </c>
      <c r="AP477">
        <f t="shared" si="368"/>
        <v>0</v>
      </c>
      <c r="AQ477">
        <f>IF(B477&gt;$AJ$2,0,AQ476*(1+Assumptions!$B$43)^(1/12))</f>
        <v>0</v>
      </c>
      <c r="AR477" s="27">
        <f>IF(B477&gt;$AJ$2,0,(O476+R476)*Assumptions!$B$39/12*AQ476+AV477*Assumptions!$B$41/12)</f>
        <v>0</v>
      </c>
      <c r="AS477">
        <f t="shared" si="369"/>
        <v>0</v>
      </c>
      <c r="AT477" s="28">
        <f t="shared" si="370"/>
        <v>0</v>
      </c>
      <c r="AU477">
        <f t="shared" si="371"/>
        <v>0</v>
      </c>
      <c r="AV477" s="28">
        <f t="shared" si="372"/>
        <v>0</v>
      </c>
      <c r="AW477" s="28">
        <f t="shared" si="373"/>
        <v>0</v>
      </c>
      <c r="AX477" s="23">
        <f>HLOOKUP(YEAR(A477),Assumptions!$A$25:$AL$29,2,TRUE)/100</f>
        <v>1.1332999999999999E-2</v>
      </c>
      <c r="AY477" s="29">
        <f>1/(1+HLOOKUP(YEAR(A477),Assumptions!$A$18:$AL$20,3,TRUE))^(1/12)</f>
        <v>0.99906100631170314</v>
      </c>
      <c r="AZ477" s="26">
        <f t="shared" si="374"/>
        <v>0</v>
      </c>
      <c r="BA477">
        <f t="shared" si="375"/>
        <v>0</v>
      </c>
      <c r="BB477">
        <f t="shared" si="376"/>
        <v>0</v>
      </c>
      <c r="BC477">
        <f t="shared" si="377"/>
        <v>0</v>
      </c>
    </row>
    <row r="478" spans="1:55" x14ac:dyDescent="0.2">
      <c r="A478" s="3">
        <f t="shared" si="349"/>
        <v>57314</v>
      </c>
      <c r="B478">
        <f t="shared" si="346"/>
        <v>480</v>
      </c>
      <c r="C478">
        <f t="shared" si="333"/>
        <v>39.916666666666664</v>
      </c>
      <c r="D478">
        <f t="shared" si="334"/>
        <v>0</v>
      </c>
      <c r="E478">
        <f t="shared" si="347"/>
        <v>95</v>
      </c>
      <c r="F478">
        <f>IF(C478&gt;=$T$2,0,VLOOKUP($E478,'Mortality Table'!$A$3:$C$128,2+AF$2,FALSE))</f>
        <v>0</v>
      </c>
      <c r="G478">
        <f>F478*Assumptions!$B$1</f>
        <v>0</v>
      </c>
      <c r="H478">
        <f t="shared" si="335"/>
        <v>0</v>
      </c>
      <c r="I478">
        <f t="shared" si="336"/>
        <v>0</v>
      </c>
      <c r="J478">
        <f>IF(B478&gt;$AJ$2,0,HLOOKUP(C478,Assumptions!$A$6:$J$7,2,TRUE))</f>
        <v>0</v>
      </c>
      <c r="K478" s="4">
        <f t="shared" si="337"/>
        <v>0</v>
      </c>
      <c r="L478" s="4">
        <f t="shared" si="350"/>
        <v>0</v>
      </c>
      <c r="M478" s="4">
        <f t="shared" si="338"/>
        <v>0</v>
      </c>
      <c r="N478">
        <f t="shared" si="339"/>
        <v>0</v>
      </c>
      <c r="O478" s="21">
        <f t="shared" si="340"/>
        <v>0</v>
      </c>
      <c r="P478">
        <f>IF(B478&gt;$AJ$2,0,HLOOKUP(C478,Assumptions!$A$12:$J$13,2,TRUE))</f>
        <v>0</v>
      </c>
      <c r="Q478">
        <f t="shared" si="341"/>
        <v>0</v>
      </c>
      <c r="R478">
        <f t="shared" si="351"/>
        <v>0</v>
      </c>
      <c r="S478">
        <f t="shared" si="342"/>
        <v>0</v>
      </c>
      <c r="T478">
        <f t="shared" si="343"/>
        <v>0</v>
      </c>
      <c r="U478">
        <f t="shared" si="352"/>
        <v>0</v>
      </c>
      <c r="V478">
        <f t="shared" si="353"/>
        <v>0</v>
      </c>
      <c r="W478">
        <f t="shared" si="354"/>
        <v>0</v>
      </c>
      <c r="X478">
        <f t="shared" si="344"/>
        <v>0</v>
      </c>
      <c r="Y478">
        <f t="shared" si="355"/>
        <v>0</v>
      </c>
      <c r="Z478">
        <f t="shared" si="356"/>
        <v>0</v>
      </c>
      <c r="AA478">
        <f t="shared" si="357"/>
        <v>0</v>
      </c>
      <c r="AB478">
        <f t="shared" si="358"/>
        <v>0</v>
      </c>
      <c r="AC478" s="23">
        <f>IF(B478&gt;$AJ$2,0,HLOOKUP(YEAR(A478),Assumptions!$A$25:$AL$29,4,TRUE)/100)</f>
        <v>0</v>
      </c>
      <c r="AD478">
        <f t="shared" si="359"/>
        <v>0</v>
      </c>
      <c r="AE478">
        <f t="shared" si="360"/>
        <v>0</v>
      </c>
      <c r="AF478">
        <f t="shared" si="361"/>
        <v>0</v>
      </c>
      <c r="AG478">
        <f t="shared" si="362"/>
        <v>0</v>
      </c>
      <c r="AH478">
        <f t="shared" si="363"/>
        <v>0</v>
      </c>
      <c r="AI478">
        <f t="shared" si="364"/>
        <v>0</v>
      </c>
      <c r="AJ478">
        <f t="shared" si="365"/>
        <v>0</v>
      </c>
      <c r="AK478">
        <f t="shared" si="345"/>
        <v>0</v>
      </c>
      <c r="AL478">
        <f t="shared" si="366"/>
        <v>0</v>
      </c>
      <c r="AM478">
        <f t="shared" si="348"/>
        <v>0</v>
      </c>
      <c r="AN478">
        <f>IF($S$2=0,0,(SUMPRODUCT($K$2:$R$2,Assumptions!$B$34:$I$34)/$U$2+$J$2/$U$2*Assumptions!$A$34*G478)*K478*O477)</f>
        <v>0</v>
      </c>
      <c r="AO478">
        <f t="shared" si="367"/>
        <v>0</v>
      </c>
      <c r="AP478">
        <f t="shared" si="368"/>
        <v>0</v>
      </c>
      <c r="AQ478">
        <f>IF(B478&gt;$AJ$2,0,AQ477*(1+Assumptions!$B$43)^(1/12))</f>
        <v>0</v>
      </c>
      <c r="AR478" s="27">
        <f>IF(B478&gt;$AJ$2,0,(O477+R477)*Assumptions!$B$39/12*AQ477+AV478*Assumptions!$B$41/12)</f>
        <v>0</v>
      </c>
      <c r="AS478">
        <f t="shared" si="369"/>
        <v>0</v>
      </c>
      <c r="AT478" s="28">
        <f t="shared" si="370"/>
        <v>0</v>
      </c>
      <c r="AU478">
        <f t="shared" si="371"/>
        <v>0</v>
      </c>
      <c r="AV478" s="28">
        <f t="shared" si="372"/>
        <v>0</v>
      </c>
      <c r="AW478" s="28">
        <f t="shared" si="373"/>
        <v>0</v>
      </c>
      <c r="AX478" s="23">
        <f>HLOOKUP(YEAR(A478),Assumptions!$A$25:$AL$29,2,TRUE)/100</f>
        <v>1.1332999999999999E-2</v>
      </c>
      <c r="AY478" s="29">
        <f>1/(1+HLOOKUP(YEAR(A478),Assumptions!$A$18:$AL$20,3,TRUE))^(1/12)</f>
        <v>0.99906100631170314</v>
      </c>
      <c r="AZ478" s="26">
        <f t="shared" si="374"/>
        <v>0</v>
      </c>
      <c r="BA478">
        <f t="shared" si="375"/>
        <v>0</v>
      </c>
      <c r="BB478">
        <f t="shared" si="376"/>
        <v>0</v>
      </c>
      <c r="BC478">
        <f t="shared" si="377"/>
        <v>0</v>
      </c>
    </row>
    <row r="479" spans="1:55" x14ac:dyDescent="0.2">
      <c r="A479" s="3">
        <f t="shared" si="349"/>
        <v>57345</v>
      </c>
      <c r="B479">
        <f t="shared" si="346"/>
        <v>481</v>
      </c>
      <c r="C479">
        <f t="shared" si="333"/>
        <v>40</v>
      </c>
      <c r="D479">
        <f t="shared" si="334"/>
        <v>1</v>
      </c>
      <c r="E479">
        <f t="shared" si="347"/>
        <v>96</v>
      </c>
      <c r="F479">
        <f>IF(C479&gt;=$T$2,0,VLOOKUP($E479,'Mortality Table'!$A$3:$C$128,2+AF$2,FALSE))</f>
        <v>0</v>
      </c>
      <c r="G479">
        <f>F479*Assumptions!$B$1</f>
        <v>0</v>
      </c>
      <c r="H479">
        <f t="shared" si="335"/>
        <v>0</v>
      </c>
      <c r="I479">
        <f t="shared" si="336"/>
        <v>0</v>
      </c>
      <c r="J479">
        <f>IF(B479&gt;$AJ$2,0,HLOOKUP(C479,Assumptions!$A$6:$J$7,2,TRUE))</f>
        <v>0</v>
      </c>
      <c r="K479" s="4">
        <f t="shared" si="337"/>
        <v>0</v>
      </c>
      <c r="L479" s="4">
        <f t="shared" si="350"/>
        <v>0</v>
      </c>
      <c r="M479" s="4">
        <f t="shared" si="338"/>
        <v>0</v>
      </c>
      <c r="N479">
        <f t="shared" si="339"/>
        <v>0</v>
      </c>
      <c r="O479" s="21">
        <f t="shared" si="340"/>
        <v>0</v>
      </c>
      <c r="P479">
        <f>IF(B479&gt;$AJ$2,0,HLOOKUP(C479,Assumptions!$A$12:$J$13,2,TRUE))</f>
        <v>0</v>
      </c>
      <c r="Q479">
        <f t="shared" si="341"/>
        <v>0</v>
      </c>
      <c r="R479">
        <f t="shared" si="351"/>
        <v>0</v>
      </c>
      <c r="S479">
        <f t="shared" si="342"/>
        <v>0</v>
      </c>
      <c r="T479">
        <f t="shared" si="343"/>
        <v>0</v>
      </c>
      <c r="U479">
        <f t="shared" si="352"/>
        <v>0</v>
      </c>
      <c r="V479">
        <f t="shared" si="353"/>
        <v>0</v>
      </c>
      <c r="W479">
        <f t="shared" si="354"/>
        <v>0</v>
      </c>
      <c r="X479">
        <f t="shared" si="344"/>
        <v>0</v>
      </c>
      <c r="Y479">
        <f t="shared" si="355"/>
        <v>0</v>
      </c>
      <c r="Z479">
        <f t="shared" si="356"/>
        <v>0</v>
      </c>
      <c r="AA479">
        <f t="shared" si="357"/>
        <v>0</v>
      </c>
      <c r="AB479">
        <f t="shared" si="358"/>
        <v>0</v>
      </c>
      <c r="AC479" s="23">
        <f>IF(B479&gt;$AJ$2,0,HLOOKUP(YEAR(A479),Assumptions!$A$25:$AL$29,4,TRUE)/100)</f>
        <v>0</v>
      </c>
      <c r="AD479">
        <f t="shared" si="359"/>
        <v>0</v>
      </c>
      <c r="AE479">
        <f t="shared" si="360"/>
        <v>0</v>
      </c>
      <c r="AF479">
        <f t="shared" si="361"/>
        <v>0</v>
      </c>
      <c r="AG479">
        <f t="shared" si="362"/>
        <v>0</v>
      </c>
      <c r="AH479">
        <f t="shared" si="363"/>
        <v>0</v>
      </c>
      <c r="AI479">
        <f t="shared" si="364"/>
        <v>0</v>
      </c>
      <c r="AJ479">
        <f t="shared" si="365"/>
        <v>0</v>
      </c>
      <c r="AK479">
        <f t="shared" si="345"/>
        <v>0</v>
      </c>
      <c r="AL479">
        <f t="shared" si="366"/>
        <v>0</v>
      </c>
      <c r="AM479">
        <f t="shared" si="348"/>
        <v>0</v>
      </c>
      <c r="AN479">
        <f>IF($S$2=0,0,(SUMPRODUCT($K$2:$R$2,Assumptions!$B$34:$I$34)/$U$2+$J$2/$U$2*Assumptions!$A$34*G479)*K479*O478)</f>
        <v>0</v>
      </c>
      <c r="AO479">
        <f t="shared" si="367"/>
        <v>0</v>
      </c>
      <c r="AP479">
        <f t="shared" si="368"/>
        <v>0</v>
      </c>
      <c r="AQ479">
        <f>IF(B479&gt;$AJ$2,0,AQ478*(1+Assumptions!$B$43)^(1/12))</f>
        <v>0</v>
      </c>
      <c r="AR479" s="27">
        <f>IF(B479&gt;$AJ$2,0,(O478+R478)*Assumptions!$B$39/12*AQ478+AV479*Assumptions!$B$41/12)</f>
        <v>0</v>
      </c>
      <c r="AS479">
        <f t="shared" si="369"/>
        <v>0</v>
      </c>
      <c r="AT479" s="28">
        <f t="shared" si="370"/>
        <v>0</v>
      </c>
      <c r="AU479">
        <f t="shared" si="371"/>
        <v>0</v>
      </c>
      <c r="AV479" s="28">
        <f t="shared" si="372"/>
        <v>0</v>
      </c>
      <c r="AW479" s="28">
        <f t="shared" si="373"/>
        <v>0</v>
      </c>
      <c r="AX479" s="23">
        <f>HLOOKUP(YEAR(A479),Assumptions!$A$25:$AL$29,2,TRUE)/100</f>
        <v>1.1332999999999999E-2</v>
      </c>
      <c r="AY479" s="29">
        <f>1/(1+HLOOKUP(YEAR(A479),Assumptions!$A$18:$AL$20,3,TRUE))^(1/12)</f>
        <v>0.99906100631170314</v>
      </c>
      <c r="AZ479" s="26">
        <f t="shared" si="374"/>
        <v>0</v>
      </c>
      <c r="BA479">
        <f t="shared" si="375"/>
        <v>0</v>
      </c>
      <c r="BB479">
        <f t="shared" si="376"/>
        <v>0</v>
      </c>
      <c r="BC479">
        <f t="shared" si="377"/>
        <v>0</v>
      </c>
    </row>
    <row r="480" spans="1:55" x14ac:dyDescent="0.2">
      <c r="A480" s="3">
        <f t="shared" si="349"/>
        <v>57376</v>
      </c>
      <c r="B480">
        <f t="shared" si="346"/>
        <v>482</v>
      </c>
      <c r="C480">
        <f t="shared" si="333"/>
        <v>40.083333333333336</v>
      </c>
      <c r="D480">
        <f t="shared" si="334"/>
        <v>0</v>
      </c>
      <c r="E480">
        <f t="shared" si="347"/>
        <v>96</v>
      </c>
      <c r="F480">
        <f>IF(C480&gt;=$T$2,0,VLOOKUP($E480,'Mortality Table'!$A$3:$C$128,2+AF$2,FALSE))</f>
        <v>0</v>
      </c>
      <c r="G480">
        <f>F480*Assumptions!$B$1</f>
        <v>0</v>
      </c>
      <c r="H480">
        <f t="shared" si="335"/>
        <v>0</v>
      </c>
      <c r="I480">
        <f t="shared" si="336"/>
        <v>0</v>
      </c>
      <c r="J480">
        <f>IF(B480&gt;$AJ$2,0,HLOOKUP(C480,Assumptions!$A$6:$J$7,2,TRUE))</f>
        <v>0</v>
      </c>
      <c r="K480" s="4">
        <f t="shared" si="337"/>
        <v>0</v>
      </c>
      <c r="L480" s="4">
        <f t="shared" si="350"/>
        <v>0</v>
      </c>
      <c r="M480" s="4">
        <f t="shared" si="338"/>
        <v>0</v>
      </c>
      <c r="N480">
        <f t="shared" si="339"/>
        <v>0</v>
      </c>
      <c r="O480" s="21">
        <f t="shared" si="340"/>
        <v>0</v>
      </c>
      <c r="P480">
        <f>IF(B480&gt;$AJ$2,0,HLOOKUP(C480,Assumptions!$A$12:$J$13,2,TRUE))</f>
        <v>0</v>
      </c>
      <c r="Q480">
        <f t="shared" si="341"/>
        <v>0</v>
      </c>
      <c r="R480">
        <f t="shared" si="351"/>
        <v>0</v>
      </c>
      <c r="S480">
        <f t="shared" si="342"/>
        <v>0</v>
      </c>
      <c r="T480">
        <f t="shared" si="343"/>
        <v>0</v>
      </c>
      <c r="U480">
        <f t="shared" si="352"/>
        <v>0</v>
      </c>
      <c r="V480">
        <f t="shared" si="353"/>
        <v>0</v>
      </c>
      <c r="W480">
        <f t="shared" si="354"/>
        <v>0</v>
      </c>
      <c r="X480">
        <f t="shared" si="344"/>
        <v>0</v>
      </c>
      <c r="Y480">
        <f t="shared" si="355"/>
        <v>0</v>
      </c>
      <c r="Z480">
        <f t="shared" si="356"/>
        <v>0</v>
      </c>
      <c r="AA480">
        <f t="shared" si="357"/>
        <v>0</v>
      </c>
      <c r="AB480">
        <f t="shared" si="358"/>
        <v>0</v>
      </c>
      <c r="AC480" s="23">
        <f>IF(B480&gt;$AJ$2,0,HLOOKUP(YEAR(A480),Assumptions!$A$25:$AL$29,4,TRUE)/100)</f>
        <v>0</v>
      </c>
      <c r="AD480">
        <f t="shared" si="359"/>
        <v>0</v>
      </c>
      <c r="AE480">
        <f t="shared" si="360"/>
        <v>0</v>
      </c>
      <c r="AF480">
        <f t="shared" si="361"/>
        <v>0</v>
      </c>
      <c r="AG480">
        <f t="shared" si="362"/>
        <v>0</v>
      </c>
      <c r="AH480">
        <f t="shared" si="363"/>
        <v>0</v>
      </c>
      <c r="AI480">
        <f t="shared" si="364"/>
        <v>0</v>
      </c>
      <c r="AJ480">
        <f t="shared" si="365"/>
        <v>0</v>
      </c>
      <c r="AK480">
        <f t="shared" si="345"/>
        <v>0</v>
      </c>
      <c r="AL480">
        <f t="shared" si="366"/>
        <v>0</v>
      </c>
      <c r="AM480">
        <f t="shared" si="348"/>
        <v>0</v>
      </c>
      <c r="AN480">
        <f>IF($S$2=0,0,(SUMPRODUCT($K$2:$R$2,Assumptions!$B$34:$I$34)/$U$2+$J$2/$U$2*Assumptions!$A$34*G480)*K480*O479)</f>
        <v>0</v>
      </c>
      <c r="AO480">
        <f t="shared" si="367"/>
        <v>0</v>
      </c>
      <c r="AP480">
        <f t="shared" si="368"/>
        <v>0</v>
      </c>
      <c r="AQ480">
        <f>IF(B480&gt;$AJ$2,0,AQ479*(1+Assumptions!$B$43)^(1/12))</f>
        <v>0</v>
      </c>
      <c r="AR480" s="27">
        <f>IF(B480&gt;$AJ$2,0,(O479+R479)*Assumptions!$B$39/12*AQ479+AV480*Assumptions!$B$41/12)</f>
        <v>0</v>
      </c>
      <c r="AS480">
        <f t="shared" si="369"/>
        <v>0</v>
      </c>
      <c r="AT480" s="28">
        <f t="shared" si="370"/>
        <v>0</v>
      </c>
      <c r="AU480">
        <f t="shared" si="371"/>
        <v>0</v>
      </c>
      <c r="AV480" s="28">
        <f t="shared" si="372"/>
        <v>0</v>
      </c>
      <c r="AW480" s="28">
        <f t="shared" si="373"/>
        <v>0</v>
      </c>
      <c r="AX480" s="23">
        <f>HLOOKUP(YEAR(A480),Assumptions!$A$25:$AL$29,2,TRUE)/100</f>
        <v>1.1332999999999999E-2</v>
      </c>
      <c r="AY480" s="29">
        <f>1/(1+HLOOKUP(YEAR(A480),Assumptions!$A$18:$AL$20,3,TRUE))^(1/12)</f>
        <v>0.99906100631170314</v>
      </c>
      <c r="AZ480" s="26">
        <f t="shared" si="374"/>
        <v>0</v>
      </c>
      <c r="BA480">
        <f t="shared" si="375"/>
        <v>0</v>
      </c>
      <c r="BB480">
        <f t="shared" si="376"/>
        <v>0</v>
      </c>
      <c r="BC480">
        <f t="shared" si="377"/>
        <v>0</v>
      </c>
    </row>
    <row r="481" spans="1:55" x14ac:dyDescent="0.2">
      <c r="A481" s="3">
        <f t="shared" si="349"/>
        <v>57404</v>
      </c>
      <c r="B481">
        <f t="shared" si="346"/>
        <v>483</v>
      </c>
      <c r="C481">
        <f t="shared" si="333"/>
        <v>40.166666666666664</v>
      </c>
      <c r="D481">
        <f t="shared" si="334"/>
        <v>0</v>
      </c>
      <c r="E481">
        <f t="shared" si="347"/>
        <v>96</v>
      </c>
      <c r="F481">
        <f>IF(C481&gt;=$T$2,0,VLOOKUP($E481,'Mortality Table'!$A$3:$C$128,2+AF$2,FALSE))</f>
        <v>0</v>
      </c>
      <c r="G481">
        <f>F481*Assumptions!$B$1</f>
        <v>0</v>
      </c>
      <c r="H481">
        <f t="shared" si="335"/>
        <v>0</v>
      </c>
      <c r="I481">
        <f t="shared" si="336"/>
        <v>0</v>
      </c>
      <c r="J481">
        <f>IF(B481&gt;$AJ$2,0,HLOOKUP(C481,Assumptions!$A$6:$J$7,2,TRUE))</f>
        <v>0</v>
      </c>
      <c r="K481" s="4">
        <f t="shared" si="337"/>
        <v>0</v>
      </c>
      <c r="L481" s="4">
        <f t="shared" si="350"/>
        <v>0</v>
      </c>
      <c r="M481" s="4">
        <f t="shared" si="338"/>
        <v>0</v>
      </c>
      <c r="N481">
        <f t="shared" si="339"/>
        <v>0</v>
      </c>
      <c r="O481" s="21">
        <f t="shared" si="340"/>
        <v>0</v>
      </c>
      <c r="P481">
        <f>IF(B481&gt;$AJ$2,0,HLOOKUP(C481,Assumptions!$A$12:$J$13,2,TRUE))</f>
        <v>0</v>
      </c>
      <c r="Q481">
        <f t="shared" si="341"/>
        <v>0</v>
      </c>
      <c r="R481">
        <f t="shared" si="351"/>
        <v>0</v>
      </c>
      <c r="S481">
        <f t="shared" si="342"/>
        <v>0</v>
      </c>
      <c r="T481">
        <f t="shared" si="343"/>
        <v>0</v>
      </c>
      <c r="U481">
        <f t="shared" si="352"/>
        <v>0</v>
      </c>
      <c r="V481">
        <f t="shared" si="353"/>
        <v>0</v>
      </c>
      <c r="W481">
        <f t="shared" si="354"/>
        <v>0</v>
      </c>
      <c r="X481">
        <f t="shared" si="344"/>
        <v>0</v>
      </c>
      <c r="Y481">
        <f t="shared" si="355"/>
        <v>0</v>
      </c>
      <c r="Z481">
        <f t="shared" si="356"/>
        <v>0</v>
      </c>
      <c r="AA481">
        <f t="shared" si="357"/>
        <v>0</v>
      </c>
      <c r="AB481">
        <f t="shared" si="358"/>
        <v>0</v>
      </c>
      <c r="AC481" s="23">
        <f>IF(B481&gt;$AJ$2,0,HLOOKUP(YEAR(A481),Assumptions!$A$25:$AL$29,4,TRUE)/100)</f>
        <v>0</v>
      </c>
      <c r="AD481">
        <f t="shared" si="359"/>
        <v>0</v>
      </c>
      <c r="AE481">
        <f t="shared" si="360"/>
        <v>0</v>
      </c>
      <c r="AF481">
        <f t="shared" si="361"/>
        <v>0</v>
      </c>
      <c r="AG481">
        <f t="shared" si="362"/>
        <v>0</v>
      </c>
      <c r="AH481">
        <f t="shared" si="363"/>
        <v>0</v>
      </c>
      <c r="AI481">
        <f t="shared" si="364"/>
        <v>0</v>
      </c>
      <c r="AJ481">
        <f t="shared" si="365"/>
        <v>0</v>
      </c>
      <c r="AK481">
        <f t="shared" si="345"/>
        <v>0</v>
      </c>
      <c r="AL481">
        <f t="shared" si="366"/>
        <v>0</v>
      </c>
      <c r="AM481">
        <f t="shared" si="348"/>
        <v>0</v>
      </c>
      <c r="AN481">
        <f>IF($S$2=0,0,(SUMPRODUCT($K$2:$R$2,Assumptions!$B$34:$I$34)/$U$2+$J$2/$U$2*Assumptions!$A$34*G481)*K481*O480)</f>
        <v>0</v>
      </c>
      <c r="AO481">
        <f t="shared" si="367"/>
        <v>0</v>
      </c>
      <c r="AP481">
        <f t="shared" si="368"/>
        <v>0</v>
      </c>
      <c r="AQ481">
        <f>IF(B481&gt;$AJ$2,0,AQ480*(1+Assumptions!$B$43)^(1/12))</f>
        <v>0</v>
      </c>
      <c r="AR481" s="27">
        <f>IF(B481&gt;$AJ$2,0,(O480+R480)*Assumptions!$B$39/12*AQ480+AV481*Assumptions!$B$41/12)</f>
        <v>0</v>
      </c>
      <c r="AS481">
        <f t="shared" si="369"/>
        <v>0</v>
      </c>
      <c r="AT481" s="28">
        <f t="shared" si="370"/>
        <v>0</v>
      </c>
      <c r="AU481">
        <f t="shared" si="371"/>
        <v>0</v>
      </c>
      <c r="AV481" s="28">
        <f t="shared" si="372"/>
        <v>0</v>
      </c>
      <c r="AW481" s="28">
        <f t="shared" si="373"/>
        <v>0</v>
      </c>
      <c r="AX481" s="23">
        <f>HLOOKUP(YEAR(A481),Assumptions!$A$25:$AL$29,2,TRUE)/100</f>
        <v>1.1332999999999999E-2</v>
      </c>
      <c r="AY481" s="29">
        <f>1/(1+HLOOKUP(YEAR(A481),Assumptions!$A$18:$AL$20,3,TRUE))^(1/12)</f>
        <v>0.99906100631170314</v>
      </c>
      <c r="AZ481" s="26">
        <f t="shared" si="374"/>
        <v>0</v>
      </c>
      <c r="BA481">
        <f t="shared" si="375"/>
        <v>0</v>
      </c>
      <c r="BB481">
        <f t="shared" si="376"/>
        <v>0</v>
      </c>
      <c r="BC481">
        <f t="shared" si="377"/>
        <v>0</v>
      </c>
    </row>
    <row r="482" spans="1:55" x14ac:dyDescent="0.2">
      <c r="A482" s="3">
        <f t="shared" si="349"/>
        <v>57435</v>
      </c>
      <c r="B482">
        <f t="shared" si="346"/>
        <v>484</v>
      </c>
      <c r="C482">
        <f t="shared" si="333"/>
        <v>40.25</v>
      </c>
      <c r="D482">
        <f t="shared" si="334"/>
        <v>0</v>
      </c>
      <c r="E482">
        <f t="shared" si="347"/>
        <v>96</v>
      </c>
      <c r="F482">
        <f>IF(C482&gt;=$T$2,0,VLOOKUP($E482,'Mortality Table'!$A$3:$C$128,2+AF$2,FALSE))</f>
        <v>0</v>
      </c>
      <c r="G482">
        <f>F482*Assumptions!$B$1</f>
        <v>0</v>
      </c>
      <c r="H482">
        <f t="shared" si="335"/>
        <v>0</v>
      </c>
      <c r="I482">
        <f t="shared" si="336"/>
        <v>0</v>
      </c>
      <c r="J482">
        <f>IF(B482&gt;$AJ$2,0,HLOOKUP(C482,Assumptions!$A$6:$J$7,2,TRUE))</f>
        <v>0</v>
      </c>
      <c r="K482" s="4">
        <f t="shared" si="337"/>
        <v>0</v>
      </c>
      <c r="L482" s="4">
        <f t="shared" si="350"/>
        <v>0</v>
      </c>
      <c r="M482" s="4">
        <f t="shared" si="338"/>
        <v>0</v>
      </c>
      <c r="N482">
        <f t="shared" si="339"/>
        <v>0</v>
      </c>
      <c r="O482" s="21">
        <f t="shared" si="340"/>
        <v>0</v>
      </c>
      <c r="P482">
        <f>IF(B482&gt;$AJ$2,0,HLOOKUP(C482,Assumptions!$A$12:$J$13,2,TRUE))</f>
        <v>0</v>
      </c>
      <c r="Q482">
        <f t="shared" si="341"/>
        <v>0</v>
      </c>
      <c r="R482">
        <f t="shared" si="351"/>
        <v>0</v>
      </c>
      <c r="S482">
        <f t="shared" si="342"/>
        <v>0</v>
      </c>
      <c r="T482">
        <f t="shared" si="343"/>
        <v>0</v>
      </c>
      <c r="U482">
        <f t="shared" si="352"/>
        <v>0</v>
      </c>
      <c r="V482">
        <f t="shared" si="353"/>
        <v>0</v>
      </c>
      <c r="W482">
        <f t="shared" si="354"/>
        <v>0</v>
      </c>
      <c r="X482">
        <f t="shared" si="344"/>
        <v>0</v>
      </c>
      <c r="Y482">
        <f t="shared" si="355"/>
        <v>0</v>
      </c>
      <c r="Z482">
        <f t="shared" si="356"/>
        <v>0</v>
      </c>
      <c r="AA482">
        <f t="shared" si="357"/>
        <v>0</v>
      </c>
      <c r="AB482">
        <f t="shared" si="358"/>
        <v>0</v>
      </c>
      <c r="AC482" s="23">
        <f>IF(B482&gt;$AJ$2,0,HLOOKUP(YEAR(A482),Assumptions!$A$25:$AL$29,4,TRUE)/100)</f>
        <v>0</v>
      </c>
      <c r="AD482">
        <f t="shared" si="359"/>
        <v>0</v>
      </c>
      <c r="AE482">
        <f t="shared" si="360"/>
        <v>0</v>
      </c>
      <c r="AF482">
        <f t="shared" si="361"/>
        <v>0</v>
      </c>
      <c r="AG482">
        <f t="shared" si="362"/>
        <v>0</v>
      </c>
      <c r="AH482">
        <f t="shared" si="363"/>
        <v>0</v>
      </c>
      <c r="AI482">
        <f t="shared" si="364"/>
        <v>0</v>
      </c>
      <c r="AJ482">
        <f t="shared" si="365"/>
        <v>0</v>
      </c>
      <c r="AK482">
        <f t="shared" si="345"/>
        <v>0</v>
      </c>
      <c r="AL482">
        <f t="shared" si="366"/>
        <v>0</v>
      </c>
      <c r="AM482">
        <f t="shared" si="348"/>
        <v>0</v>
      </c>
      <c r="AN482">
        <f>IF($S$2=0,0,(SUMPRODUCT($K$2:$R$2,Assumptions!$B$34:$I$34)/$U$2+$J$2/$U$2*Assumptions!$A$34*G482)*K482*O481)</f>
        <v>0</v>
      </c>
      <c r="AO482">
        <f t="shared" si="367"/>
        <v>0</v>
      </c>
      <c r="AP482">
        <f t="shared" si="368"/>
        <v>0</v>
      </c>
      <c r="AQ482">
        <f>IF(B482&gt;$AJ$2,0,AQ481*(1+Assumptions!$B$43)^(1/12))</f>
        <v>0</v>
      </c>
      <c r="AR482" s="27">
        <f>IF(B482&gt;$AJ$2,0,(O481+R481)*Assumptions!$B$39/12*AQ481+AV482*Assumptions!$B$41/12)</f>
        <v>0</v>
      </c>
      <c r="AS482">
        <f t="shared" si="369"/>
        <v>0</v>
      </c>
      <c r="AT482" s="28">
        <f t="shared" si="370"/>
        <v>0</v>
      </c>
      <c r="AU482">
        <f t="shared" si="371"/>
        <v>0</v>
      </c>
      <c r="AV482" s="28">
        <f t="shared" si="372"/>
        <v>0</v>
      </c>
      <c r="AW482" s="28">
        <f t="shared" si="373"/>
        <v>0</v>
      </c>
      <c r="AX482" s="23">
        <f>HLOOKUP(YEAR(A482),Assumptions!$A$25:$AL$29,2,TRUE)/100</f>
        <v>1.1332999999999999E-2</v>
      </c>
      <c r="AY482" s="29">
        <f>1/(1+HLOOKUP(YEAR(A482),Assumptions!$A$18:$AL$20,3,TRUE))^(1/12)</f>
        <v>0.99906100631170314</v>
      </c>
      <c r="AZ482" s="26">
        <f t="shared" si="374"/>
        <v>0</v>
      </c>
      <c r="BA482">
        <f t="shared" si="375"/>
        <v>0</v>
      </c>
      <c r="BB482">
        <f t="shared" si="376"/>
        <v>0</v>
      </c>
      <c r="BC482">
        <f t="shared" si="377"/>
        <v>0</v>
      </c>
    </row>
    <row r="483" spans="1:55" x14ac:dyDescent="0.2">
      <c r="A483" s="3">
        <f t="shared" si="349"/>
        <v>57465</v>
      </c>
      <c r="B483">
        <f t="shared" si="346"/>
        <v>485</v>
      </c>
      <c r="C483">
        <f t="shared" si="333"/>
        <v>40.333333333333336</v>
      </c>
      <c r="D483">
        <f t="shared" si="334"/>
        <v>0</v>
      </c>
      <c r="E483">
        <f t="shared" si="347"/>
        <v>96</v>
      </c>
      <c r="F483">
        <f>IF(C483&gt;=$T$2,0,VLOOKUP($E483,'Mortality Table'!$A$3:$C$128,2+AF$2,FALSE))</f>
        <v>0</v>
      </c>
      <c r="G483">
        <f>F483*Assumptions!$B$1</f>
        <v>0</v>
      </c>
      <c r="H483">
        <f t="shared" si="335"/>
        <v>0</v>
      </c>
      <c r="I483">
        <f t="shared" si="336"/>
        <v>0</v>
      </c>
      <c r="J483">
        <f>IF(B483&gt;$AJ$2,0,HLOOKUP(C483,Assumptions!$A$6:$J$7,2,TRUE))</f>
        <v>0</v>
      </c>
      <c r="K483" s="4">
        <f t="shared" si="337"/>
        <v>0</v>
      </c>
      <c r="L483" s="4">
        <f t="shared" si="350"/>
        <v>0</v>
      </c>
      <c r="M483" s="4">
        <f t="shared" si="338"/>
        <v>0</v>
      </c>
      <c r="N483">
        <f t="shared" si="339"/>
        <v>0</v>
      </c>
      <c r="O483" s="21">
        <f t="shared" si="340"/>
        <v>0</v>
      </c>
      <c r="P483">
        <f>IF(B483&gt;$AJ$2,0,HLOOKUP(C483,Assumptions!$A$12:$J$13,2,TRUE))</f>
        <v>0</v>
      </c>
      <c r="Q483">
        <f t="shared" si="341"/>
        <v>0</v>
      </c>
      <c r="R483">
        <f t="shared" si="351"/>
        <v>0</v>
      </c>
      <c r="S483">
        <f t="shared" si="342"/>
        <v>0</v>
      </c>
      <c r="T483">
        <f t="shared" si="343"/>
        <v>0</v>
      </c>
      <c r="U483">
        <f t="shared" si="352"/>
        <v>0</v>
      </c>
      <c r="V483">
        <f t="shared" si="353"/>
        <v>0</v>
      </c>
      <c r="W483">
        <f t="shared" si="354"/>
        <v>0</v>
      </c>
      <c r="X483">
        <f t="shared" si="344"/>
        <v>0</v>
      </c>
      <c r="Y483">
        <f t="shared" si="355"/>
        <v>0</v>
      </c>
      <c r="Z483">
        <f t="shared" si="356"/>
        <v>0</v>
      </c>
      <c r="AA483">
        <f t="shared" si="357"/>
        <v>0</v>
      </c>
      <c r="AB483">
        <f t="shared" si="358"/>
        <v>0</v>
      </c>
      <c r="AC483" s="23">
        <f>IF(B483&gt;$AJ$2,0,HLOOKUP(YEAR(A483),Assumptions!$A$25:$AL$29,4,TRUE)/100)</f>
        <v>0</v>
      </c>
      <c r="AD483">
        <f t="shared" si="359"/>
        <v>0</v>
      </c>
      <c r="AE483">
        <f t="shared" si="360"/>
        <v>0</v>
      </c>
      <c r="AF483">
        <f t="shared" si="361"/>
        <v>0</v>
      </c>
      <c r="AG483">
        <f t="shared" si="362"/>
        <v>0</v>
      </c>
      <c r="AH483">
        <f t="shared" si="363"/>
        <v>0</v>
      </c>
      <c r="AI483">
        <f t="shared" si="364"/>
        <v>0</v>
      </c>
      <c r="AJ483">
        <f t="shared" si="365"/>
        <v>0</v>
      </c>
      <c r="AK483">
        <f t="shared" si="345"/>
        <v>0</v>
      </c>
      <c r="AL483">
        <f t="shared" si="366"/>
        <v>0</v>
      </c>
      <c r="AM483">
        <f t="shared" si="348"/>
        <v>0</v>
      </c>
      <c r="AN483">
        <f>IF($S$2=0,0,(SUMPRODUCT($K$2:$R$2,Assumptions!$B$34:$I$34)/$U$2+$J$2/$U$2*Assumptions!$A$34*G483)*K483*O482)</f>
        <v>0</v>
      </c>
      <c r="AO483">
        <f t="shared" si="367"/>
        <v>0</v>
      </c>
      <c r="AP483">
        <f t="shared" si="368"/>
        <v>0</v>
      </c>
      <c r="AQ483">
        <f>IF(B483&gt;$AJ$2,0,AQ482*(1+Assumptions!$B$43)^(1/12))</f>
        <v>0</v>
      </c>
      <c r="AR483" s="27">
        <f>IF(B483&gt;$AJ$2,0,(O482+R482)*Assumptions!$B$39/12*AQ482+AV483*Assumptions!$B$41/12)</f>
        <v>0</v>
      </c>
      <c r="AS483">
        <f t="shared" si="369"/>
        <v>0</v>
      </c>
      <c r="AT483" s="28">
        <f t="shared" si="370"/>
        <v>0</v>
      </c>
      <c r="AU483">
        <f t="shared" si="371"/>
        <v>0</v>
      </c>
      <c r="AV483" s="28">
        <f t="shared" si="372"/>
        <v>0</v>
      </c>
      <c r="AW483" s="28">
        <f t="shared" si="373"/>
        <v>0</v>
      </c>
      <c r="AX483" s="23">
        <f>HLOOKUP(YEAR(A483),Assumptions!$A$25:$AL$29,2,TRUE)/100</f>
        <v>1.1332999999999999E-2</v>
      </c>
      <c r="AY483" s="29">
        <f>1/(1+HLOOKUP(YEAR(A483),Assumptions!$A$18:$AL$20,3,TRUE))^(1/12)</f>
        <v>0.99906100631170314</v>
      </c>
      <c r="AZ483" s="26">
        <f t="shared" si="374"/>
        <v>0</v>
      </c>
      <c r="BA483">
        <f t="shared" si="375"/>
        <v>0</v>
      </c>
      <c r="BB483">
        <f t="shared" si="376"/>
        <v>0</v>
      </c>
      <c r="BC483">
        <f t="shared" si="377"/>
        <v>0</v>
      </c>
    </row>
    <row r="484" spans="1:55" x14ac:dyDescent="0.2">
      <c r="A484" s="3">
        <f t="shared" si="349"/>
        <v>57496</v>
      </c>
      <c r="B484">
        <f t="shared" si="346"/>
        <v>486</v>
      </c>
      <c r="C484">
        <f t="shared" si="333"/>
        <v>40.416666666666664</v>
      </c>
      <c r="D484">
        <f t="shared" si="334"/>
        <v>0</v>
      </c>
      <c r="E484">
        <f t="shared" si="347"/>
        <v>96</v>
      </c>
      <c r="F484">
        <f>IF(C484&gt;=$T$2,0,VLOOKUP($E484,'Mortality Table'!$A$3:$C$128,2+AF$2,FALSE))</f>
        <v>0</v>
      </c>
      <c r="G484">
        <f>F484*Assumptions!$B$1</f>
        <v>0</v>
      </c>
      <c r="H484">
        <f t="shared" si="335"/>
        <v>0</v>
      </c>
      <c r="I484">
        <f t="shared" si="336"/>
        <v>0</v>
      </c>
      <c r="J484">
        <f>IF(B484&gt;$AJ$2,0,HLOOKUP(C484,Assumptions!$A$6:$J$7,2,TRUE))</f>
        <v>0</v>
      </c>
      <c r="K484" s="4">
        <f t="shared" si="337"/>
        <v>0</v>
      </c>
      <c r="L484" s="4">
        <f t="shared" si="350"/>
        <v>0</v>
      </c>
      <c r="M484" s="4">
        <f t="shared" si="338"/>
        <v>0</v>
      </c>
      <c r="N484">
        <f t="shared" si="339"/>
        <v>0</v>
      </c>
      <c r="O484" s="21">
        <f t="shared" si="340"/>
        <v>0</v>
      </c>
      <c r="P484">
        <f>IF(B484&gt;$AJ$2,0,HLOOKUP(C484,Assumptions!$A$12:$J$13,2,TRUE))</f>
        <v>0</v>
      </c>
      <c r="Q484">
        <f t="shared" si="341"/>
        <v>0</v>
      </c>
      <c r="R484">
        <f t="shared" si="351"/>
        <v>0</v>
      </c>
      <c r="S484">
        <f t="shared" si="342"/>
        <v>0</v>
      </c>
      <c r="T484">
        <f t="shared" si="343"/>
        <v>0</v>
      </c>
      <c r="U484">
        <f t="shared" si="352"/>
        <v>0</v>
      </c>
      <c r="V484">
        <f t="shared" si="353"/>
        <v>0</v>
      </c>
      <c r="W484">
        <f t="shared" si="354"/>
        <v>0</v>
      </c>
      <c r="X484">
        <f t="shared" si="344"/>
        <v>0</v>
      </c>
      <c r="Y484">
        <f t="shared" si="355"/>
        <v>0</v>
      </c>
      <c r="Z484">
        <f t="shared" si="356"/>
        <v>0</v>
      </c>
      <c r="AA484">
        <f t="shared" si="357"/>
        <v>0</v>
      </c>
      <c r="AB484">
        <f t="shared" si="358"/>
        <v>0</v>
      </c>
      <c r="AC484" s="23">
        <f>IF(B484&gt;$AJ$2,0,HLOOKUP(YEAR(A484),Assumptions!$A$25:$AL$29,4,TRUE)/100)</f>
        <v>0</v>
      </c>
      <c r="AD484">
        <f t="shared" si="359"/>
        <v>0</v>
      </c>
      <c r="AE484">
        <f t="shared" si="360"/>
        <v>0</v>
      </c>
      <c r="AF484">
        <f t="shared" si="361"/>
        <v>0</v>
      </c>
      <c r="AG484">
        <f t="shared" si="362"/>
        <v>0</v>
      </c>
      <c r="AH484">
        <f t="shared" si="363"/>
        <v>0</v>
      </c>
      <c r="AI484">
        <f t="shared" si="364"/>
        <v>0</v>
      </c>
      <c r="AJ484">
        <f t="shared" si="365"/>
        <v>0</v>
      </c>
      <c r="AK484">
        <f t="shared" si="345"/>
        <v>0</v>
      </c>
      <c r="AL484">
        <f t="shared" si="366"/>
        <v>0</v>
      </c>
      <c r="AM484">
        <f t="shared" si="348"/>
        <v>0</v>
      </c>
      <c r="AN484">
        <f>IF($S$2=0,0,(SUMPRODUCT($K$2:$R$2,Assumptions!$B$34:$I$34)/$U$2+$J$2/$U$2*Assumptions!$A$34*G484)*K484*O483)</f>
        <v>0</v>
      </c>
      <c r="AO484">
        <f t="shared" si="367"/>
        <v>0</v>
      </c>
      <c r="AP484">
        <f t="shared" si="368"/>
        <v>0</v>
      </c>
      <c r="AQ484">
        <f>IF(B484&gt;$AJ$2,0,AQ483*(1+Assumptions!$B$43)^(1/12))</f>
        <v>0</v>
      </c>
      <c r="AR484" s="27">
        <f>IF(B484&gt;$AJ$2,0,(O483+R483)*Assumptions!$B$39/12*AQ483+AV484*Assumptions!$B$41/12)</f>
        <v>0</v>
      </c>
      <c r="AS484">
        <f t="shared" si="369"/>
        <v>0</v>
      </c>
      <c r="AT484" s="28">
        <f t="shared" si="370"/>
        <v>0</v>
      </c>
      <c r="AU484">
        <f t="shared" si="371"/>
        <v>0</v>
      </c>
      <c r="AV484" s="28">
        <f t="shared" si="372"/>
        <v>0</v>
      </c>
      <c r="AW484" s="28">
        <f t="shared" si="373"/>
        <v>0</v>
      </c>
      <c r="AX484" s="23">
        <f>HLOOKUP(YEAR(A484),Assumptions!$A$25:$AL$29,2,TRUE)/100</f>
        <v>1.1332999999999999E-2</v>
      </c>
      <c r="AY484" s="29">
        <f>1/(1+HLOOKUP(YEAR(A484),Assumptions!$A$18:$AL$20,3,TRUE))^(1/12)</f>
        <v>0.99906100631170314</v>
      </c>
      <c r="AZ484" s="26">
        <f t="shared" si="374"/>
        <v>0</v>
      </c>
      <c r="BA484">
        <f t="shared" si="375"/>
        <v>0</v>
      </c>
      <c r="BB484">
        <f t="shared" si="376"/>
        <v>0</v>
      </c>
      <c r="BC484">
        <f t="shared" si="377"/>
        <v>0</v>
      </c>
    </row>
    <row r="485" spans="1:55" x14ac:dyDescent="0.2">
      <c r="A485" s="3">
        <f t="shared" si="349"/>
        <v>57526</v>
      </c>
      <c r="B485">
        <f t="shared" si="346"/>
        <v>487</v>
      </c>
      <c r="C485">
        <f t="shared" ref="C485:C548" si="378">(B485+11)/12-1</f>
        <v>40.5</v>
      </c>
      <c r="D485">
        <f t="shared" ref="D485:D548" si="379">IF(C485-INT(C485)=0,1,0)</f>
        <v>0</v>
      </c>
      <c r="E485">
        <f t="shared" si="347"/>
        <v>96</v>
      </c>
      <c r="F485">
        <f>IF(C485&gt;=$T$2,0,VLOOKUP($E485,'Mortality Table'!$A$3:$C$128,2+AF$2,FALSE))</f>
        <v>0</v>
      </c>
      <c r="G485">
        <f>F485*Assumptions!$B$1</f>
        <v>0</v>
      </c>
      <c r="H485">
        <f t="shared" ref="H485:H548" si="380">(1-(1-G485)^(1/12))</f>
        <v>0</v>
      </c>
      <c r="I485">
        <f t="shared" ref="I485:I548" si="381">H485*O484*(1-M485/2)</f>
        <v>0</v>
      </c>
      <c r="J485">
        <f>IF(B485&gt;$AJ$2,0,HLOOKUP(C485,Assumptions!$A$6:$J$7,2,TRUE))</f>
        <v>0</v>
      </c>
      <c r="K485" s="4">
        <f t="shared" ref="K485:K548" si="382">IF(B485&gt;$AJ$2,0,IF(($U$2*(B485+11))/12-INT(($U$2*(B485+11))/12)=0,1,0))</f>
        <v>0</v>
      </c>
      <c r="L485" s="4">
        <f t="shared" si="350"/>
        <v>0</v>
      </c>
      <c r="M485" s="4">
        <f t="shared" ref="M485:M548" si="383">(1-(1-J485)^L485)</f>
        <v>0</v>
      </c>
      <c r="N485">
        <f t="shared" ref="N485:N548" si="384">M485*O484*(1-H485/2)</f>
        <v>0</v>
      </c>
      <c r="O485" s="21">
        <f t="shared" ref="O485:O548" si="385">IF(B485&gt;$AJ$2,0,O484-I485-N485-Q485)</f>
        <v>0</v>
      </c>
      <c r="P485">
        <f>IF(B485&gt;$AJ$2,0,HLOOKUP(C485,Assumptions!$A$12:$J$13,2,TRUE))</f>
        <v>0</v>
      </c>
      <c r="Q485">
        <f t="shared" ref="Q485:Q548" si="386">(1-(1-P485)^L485)*(O484-I485-N485)</f>
        <v>0</v>
      </c>
      <c r="R485">
        <f t="shared" si="351"/>
        <v>0</v>
      </c>
      <c r="S485">
        <f t="shared" ref="S485:S548" si="387">H485*R484*(1-M485/2)</f>
        <v>0</v>
      </c>
      <c r="T485">
        <f t="shared" ref="T485:T548" si="388">M485*R484*(1-H485/2)</f>
        <v>0</v>
      </c>
      <c r="U485">
        <f t="shared" si="352"/>
        <v>0</v>
      </c>
      <c r="V485">
        <f t="shared" si="353"/>
        <v>0</v>
      </c>
      <c r="W485">
        <f t="shared" si="354"/>
        <v>0</v>
      </c>
      <c r="X485">
        <f t="shared" ref="X485:X548" si="389">U485/$U$2*K485*O484</f>
        <v>0</v>
      </c>
      <c r="Y485">
        <f t="shared" si="355"/>
        <v>0</v>
      </c>
      <c r="Z485">
        <f t="shared" si="356"/>
        <v>0</v>
      </c>
      <c r="AA485">
        <f t="shared" si="357"/>
        <v>0</v>
      </c>
      <c r="AB485">
        <f t="shared" si="358"/>
        <v>0</v>
      </c>
      <c r="AC485" s="23">
        <f>IF(B485&gt;$AJ$2,0,HLOOKUP(YEAR(A485),Assumptions!$A$25:$AL$29,4,TRUE)/100)</f>
        <v>0</v>
      </c>
      <c r="AD485">
        <f t="shared" si="359"/>
        <v>0</v>
      </c>
      <c r="AE485">
        <f t="shared" si="360"/>
        <v>0</v>
      </c>
      <c r="AF485">
        <f t="shared" si="361"/>
        <v>0</v>
      </c>
      <c r="AG485">
        <f t="shared" si="362"/>
        <v>0</v>
      </c>
      <c r="AH485">
        <f t="shared" si="363"/>
        <v>0</v>
      </c>
      <c r="AI485">
        <f t="shared" si="364"/>
        <v>0</v>
      </c>
      <c r="AJ485">
        <f t="shared" si="365"/>
        <v>0</v>
      </c>
      <c r="AK485">
        <f t="shared" ref="AK485:AK548" si="390">I485*(Z485+AD485)+S485*(AF485+AI485)</f>
        <v>0</v>
      </c>
      <c r="AL485">
        <f t="shared" si="366"/>
        <v>0</v>
      </c>
      <c r="AM485">
        <f t="shared" si="348"/>
        <v>0</v>
      </c>
      <c r="AN485">
        <f>IF($S$2=0,0,(SUMPRODUCT($K$2:$R$2,Assumptions!$B$34:$I$34)/$U$2+$J$2/$U$2*Assumptions!$A$34*G485)*K485*O484)</f>
        <v>0</v>
      </c>
      <c r="AO485">
        <f t="shared" si="367"/>
        <v>0</v>
      </c>
      <c r="AP485">
        <f t="shared" si="368"/>
        <v>0</v>
      </c>
      <c r="AQ485">
        <f>IF(B485&gt;$AJ$2,0,AQ484*(1+Assumptions!$B$43)^(1/12))</f>
        <v>0</v>
      </c>
      <c r="AR485" s="27">
        <f>IF(B485&gt;$AJ$2,0,(O484+R484)*Assumptions!$B$39/12*AQ484+AV485*Assumptions!$B$41/12)</f>
        <v>0</v>
      </c>
      <c r="AS485">
        <f t="shared" si="369"/>
        <v>0</v>
      </c>
      <c r="AT485" s="28">
        <f t="shared" si="370"/>
        <v>0</v>
      </c>
      <c r="AU485">
        <f t="shared" si="371"/>
        <v>0</v>
      </c>
      <c r="AV485" s="28">
        <f t="shared" si="372"/>
        <v>0</v>
      </c>
      <c r="AW485" s="28">
        <f t="shared" si="373"/>
        <v>0</v>
      </c>
      <c r="AX485" s="23">
        <f>HLOOKUP(YEAR(A485),Assumptions!$A$25:$AL$29,2,TRUE)/100</f>
        <v>1.1332999999999999E-2</v>
      </c>
      <c r="AY485" s="29">
        <f>1/(1+HLOOKUP(YEAR(A485),Assumptions!$A$18:$AL$20,3,TRUE))^(1/12)</f>
        <v>0.99906100631170314</v>
      </c>
      <c r="AZ485" s="26">
        <f t="shared" si="374"/>
        <v>0</v>
      </c>
      <c r="BA485">
        <f t="shared" si="375"/>
        <v>0</v>
      </c>
      <c r="BB485">
        <f t="shared" si="376"/>
        <v>0</v>
      </c>
      <c r="BC485">
        <f t="shared" si="377"/>
        <v>0</v>
      </c>
    </row>
    <row r="486" spans="1:55" x14ac:dyDescent="0.2">
      <c r="A486" s="3">
        <f t="shared" si="349"/>
        <v>57557</v>
      </c>
      <c r="B486">
        <f t="shared" si="346"/>
        <v>488</v>
      </c>
      <c r="C486">
        <f t="shared" si="378"/>
        <v>40.583333333333336</v>
      </c>
      <c r="D486">
        <f t="shared" si="379"/>
        <v>0</v>
      </c>
      <c r="E486">
        <f t="shared" si="347"/>
        <v>96</v>
      </c>
      <c r="F486">
        <f>IF(C486&gt;=$T$2,0,VLOOKUP($E486,'Mortality Table'!$A$3:$C$128,2+AF$2,FALSE))</f>
        <v>0</v>
      </c>
      <c r="G486">
        <f>F486*Assumptions!$B$1</f>
        <v>0</v>
      </c>
      <c r="H486">
        <f t="shared" si="380"/>
        <v>0</v>
      </c>
      <c r="I486">
        <f t="shared" si="381"/>
        <v>0</v>
      </c>
      <c r="J486">
        <f>IF(B486&gt;$AJ$2,0,HLOOKUP(C486,Assumptions!$A$6:$J$7,2,TRUE))</f>
        <v>0</v>
      </c>
      <c r="K486" s="4">
        <f t="shared" si="382"/>
        <v>0</v>
      </c>
      <c r="L486" s="4">
        <f t="shared" si="350"/>
        <v>0</v>
      </c>
      <c r="M486" s="4">
        <f t="shared" si="383"/>
        <v>0</v>
      </c>
      <c r="N486">
        <f t="shared" si="384"/>
        <v>0</v>
      </c>
      <c r="O486" s="21">
        <f t="shared" si="385"/>
        <v>0</v>
      </c>
      <c r="P486">
        <f>IF(B486&gt;$AJ$2,0,HLOOKUP(C486,Assumptions!$A$12:$J$13,2,TRUE))</f>
        <v>0</v>
      </c>
      <c r="Q486">
        <f t="shared" si="386"/>
        <v>0</v>
      </c>
      <c r="R486">
        <f t="shared" si="351"/>
        <v>0</v>
      </c>
      <c r="S486">
        <f t="shared" si="387"/>
        <v>0</v>
      </c>
      <c r="T486">
        <f t="shared" si="388"/>
        <v>0</v>
      </c>
      <c r="U486">
        <f t="shared" si="352"/>
        <v>0</v>
      </c>
      <c r="V486">
        <f t="shared" si="353"/>
        <v>0</v>
      </c>
      <c r="W486">
        <f t="shared" si="354"/>
        <v>0</v>
      </c>
      <c r="X486">
        <f t="shared" si="389"/>
        <v>0</v>
      </c>
      <c r="Y486">
        <f t="shared" si="355"/>
        <v>0</v>
      </c>
      <c r="Z486">
        <f t="shared" si="356"/>
        <v>0</v>
      </c>
      <c r="AA486">
        <f t="shared" si="357"/>
        <v>0</v>
      </c>
      <c r="AB486">
        <f t="shared" si="358"/>
        <v>0</v>
      </c>
      <c r="AC486" s="23">
        <f>IF(B486&gt;$AJ$2,0,HLOOKUP(YEAR(A486),Assumptions!$A$25:$AL$29,4,TRUE)/100)</f>
        <v>0</v>
      </c>
      <c r="AD486">
        <f t="shared" si="359"/>
        <v>0</v>
      </c>
      <c r="AE486">
        <f t="shared" si="360"/>
        <v>0</v>
      </c>
      <c r="AF486">
        <f t="shared" si="361"/>
        <v>0</v>
      </c>
      <c r="AG486">
        <f t="shared" si="362"/>
        <v>0</v>
      </c>
      <c r="AH486">
        <f t="shared" si="363"/>
        <v>0</v>
      </c>
      <c r="AI486">
        <f t="shared" si="364"/>
        <v>0</v>
      </c>
      <c r="AJ486">
        <f t="shared" si="365"/>
        <v>0</v>
      </c>
      <c r="AK486">
        <f t="shared" si="390"/>
        <v>0</v>
      </c>
      <c r="AL486">
        <f t="shared" si="366"/>
        <v>0</v>
      </c>
      <c r="AM486">
        <f t="shared" si="348"/>
        <v>0</v>
      </c>
      <c r="AN486">
        <f>IF($S$2=0,0,(SUMPRODUCT($K$2:$R$2,Assumptions!$B$34:$I$34)/$U$2+$J$2/$U$2*Assumptions!$A$34*G486)*K486*O485)</f>
        <v>0</v>
      </c>
      <c r="AO486">
        <f t="shared" si="367"/>
        <v>0</v>
      </c>
      <c r="AP486">
        <f t="shared" si="368"/>
        <v>0</v>
      </c>
      <c r="AQ486">
        <f>IF(B486&gt;$AJ$2,0,AQ485*(1+Assumptions!$B$43)^(1/12))</f>
        <v>0</v>
      </c>
      <c r="AR486" s="27">
        <f>IF(B486&gt;$AJ$2,0,(O485+R485)*Assumptions!$B$39/12*AQ485+AV486*Assumptions!$B$41/12)</f>
        <v>0</v>
      </c>
      <c r="AS486">
        <f t="shared" si="369"/>
        <v>0</v>
      </c>
      <c r="AT486" s="28">
        <f t="shared" si="370"/>
        <v>0</v>
      </c>
      <c r="AU486">
        <f t="shared" si="371"/>
        <v>0</v>
      </c>
      <c r="AV486" s="28">
        <f t="shared" si="372"/>
        <v>0</v>
      </c>
      <c r="AW486" s="28">
        <f t="shared" si="373"/>
        <v>0</v>
      </c>
      <c r="AX486" s="23">
        <f>HLOOKUP(YEAR(A486),Assumptions!$A$25:$AL$29,2,TRUE)/100</f>
        <v>1.1332999999999999E-2</v>
      </c>
      <c r="AY486" s="29">
        <f>1/(1+HLOOKUP(YEAR(A486),Assumptions!$A$18:$AL$20,3,TRUE))^(1/12)</f>
        <v>0.99906100631170314</v>
      </c>
      <c r="AZ486" s="26">
        <f t="shared" si="374"/>
        <v>0</v>
      </c>
      <c r="BA486">
        <f t="shared" si="375"/>
        <v>0</v>
      </c>
      <c r="BB486">
        <f t="shared" si="376"/>
        <v>0</v>
      </c>
      <c r="BC486">
        <f t="shared" si="377"/>
        <v>0</v>
      </c>
    </row>
    <row r="487" spans="1:55" x14ac:dyDescent="0.2">
      <c r="A487" s="3">
        <f t="shared" si="349"/>
        <v>57588</v>
      </c>
      <c r="B487">
        <f t="shared" si="346"/>
        <v>489</v>
      </c>
      <c r="C487">
        <f t="shared" si="378"/>
        <v>40.666666666666664</v>
      </c>
      <c r="D487">
        <f t="shared" si="379"/>
        <v>0</v>
      </c>
      <c r="E487">
        <f t="shared" si="347"/>
        <v>96</v>
      </c>
      <c r="F487">
        <f>IF(C487&gt;=$T$2,0,VLOOKUP($E487,'Mortality Table'!$A$3:$C$128,2+AF$2,FALSE))</f>
        <v>0</v>
      </c>
      <c r="G487">
        <f>F487*Assumptions!$B$1</f>
        <v>0</v>
      </c>
      <c r="H487">
        <f t="shared" si="380"/>
        <v>0</v>
      </c>
      <c r="I487">
        <f t="shared" si="381"/>
        <v>0</v>
      </c>
      <c r="J487">
        <f>IF(B487&gt;$AJ$2,0,HLOOKUP(C487,Assumptions!$A$6:$J$7,2,TRUE))</f>
        <v>0</v>
      </c>
      <c r="K487" s="4">
        <f t="shared" si="382"/>
        <v>0</v>
      </c>
      <c r="L487" s="4">
        <f t="shared" si="350"/>
        <v>0</v>
      </c>
      <c r="M487" s="4">
        <f t="shared" si="383"/>
        <v>0</v>
      </c>
      <c r="N487">
        <f t="shared" si="384"/>
        <v>0</v>
      </c>
      <c r="O487" s="21">
        <f t="shared" si="385"/>
        <v>0</v>
      </c>
      <c r="P487">
        <f>IF(B487&gt;$AJ$2,0,HLOOKUP(C487,Assumptions!$A$12:$J$13,2,TRUE))</f>
        <v>0</v>
      </c>
      <c r="Q487">
        <f t="shared" si="386"/>
        <v>0</v>
      </c>
      <c r="R487">
        <f t="shared" si="351"/>
        <v>0</v>
      </c>
      <c r="S487">
        <f t="shared" si="387"/>
        <v>0</v>
      </c>
      <c r="T487">
        <f t="shared" si="388"/>
        <v>0</v>
      </c>
      <c r="U487">
        <f t="shared" si="352"/>
        <v>0</v>
      </c>
      <c r="V487">
        <f t="shared" si="353"/>
        <v>0</v>
      </c>
      <c r="W487">
        <f t="shared" si="354"/>
        <v>0</v>
      </c>
      <c r="X487">
        <f t="shared" si="389"/>
        <v>0</v>
      </c>
      <c r="Y487">
        <f t="shared" si="355"/>
        <v>0</v>
      </c>
      <c r="Z487">
        <f t="shared" si="356"/>
        <v>0</v>
      </c>
      <c r="AA487">
        <f t="shared" si="357"/>
        <v>0</v>
      </c>
      <c r="AB487">
        <f t="shared" si="358"/>
        <v>0</v>
      </c>
      <c r="AC487" s="23">
        <f>IF(B487&gt;$AJ$2,0,HLOOKUP(YEAR(A487),Assumptions!$A$25:$AL$29,4,TRUE)/100)</f>
        <v>0</v>
      </c>
      <c r="AD487">
        <f t="shared" si="359"/>
        <v>0</v>
      </c>
      <c r="AE487">
        <f t="shared" si="360"/>
        <v>0</v>
      </c>
      <c r="AF487">
        <f t="shared" si="361"/>
        <v>0</v>
      </c>
      <c r="AG487">
        <f t="shared" si="362"/>
        <v>0</v>
      </c>
      <c r="AH487">
        <f t="shared" si="363"/>
        <v>0</v>
      </c>
      <c r="AI487">
        <f t="shared" si="364"/>
        <v>0</v>
      </c>
      <c r="AJ487">
        <f t="shared" si="365"/>
        <v>0</v>
      </c>
      <c r="AK487">
        <f t="shared" si="390"/>
        <v>0</v>
      </c>
      <c r="AL487">
        <f t="shared" si="366"/>
        <v>0</v>
      </c>
      <c r="AM487">
        <f t="shared" si="348"/>
        <v>0</v>
      </c>
      <c r="AN487">
        <f>IF($S$2=0,0,(SUMPRODUCT($K$2:$R$2,Assumptions!$B$34:$I$34)/$U$2+$J$2/$U$2*Assumptions!$A$34*G487)*K487*O486)</f>
        <v>0</v>
      </c>
      <c r="AO487">
        <f t="shared" si="367"/>
        <v>0</v>
      </c>
      <c r="AP487">
        <f t="shared" si="368"/>
        <v>0</v>
      </c>
      <c r="AQ487">
        <f>IF(B487&gt;$AJ$2,0,AQ486*(1+Assumptions!$B$43)^(1/12))</f>
        <v>0</v>
      </c>
      <c r="AR487" s="27">
        <f>IF(B487&gt;$AJ$2,0,(O486+R486)*Assumptions!$B$39/12*AQ486+AV487*Assumptions!$B$41/12)</f>
        <v>0</v>
      </c>
      <c r="AS487">
        <f t="shared" si="369"/>
        <v>0</v>
      </c>
      <c r="AT487" s="28">
        <f t="shared" si="370"/>
        <v>0</v>
      </c>
      <c r="AU487">
        <f t="shared" si="371"/>
        <v>0</v>
      </c>
      <c r="AV487" s="28">
        <f t="shared" si="372"/>
        <v>0</v>
      </c>
      <c r="AW487" s="28">
        <f t="shared" si="373"/>
        <v>0</v>
      </c>
      <c r="AX487" s="23">
        <f>HLOOKUP(YEAR(A487),Assumptions!$A$25:$AL$29,2,TRUE)/100</f>
        <v>1.1332999999999999E-2</v>
      </c>
      <c r="AY487" s="29">
        <f>1/(1+HLOOKUP(YEAR(A487),Assumptions!$A$18:$AL$20,3,TRUE))^(1/12)</f>
        <v>0.99906100631170314</v>
      </c>
      <c r="AZ487" s="26">
        <f t="shared" si="374"/>
        <v>0</v>
      </c>
      <c r="BA487">
        <f t="shared" si="375"/>
        <v>0</v>
      </c>
      <c r="BB487">
        <f t="shared" si="376"/>
        <v>0</v>
      </c>
      <c r="BC487">
        <f t="shared" si="377"/>
        <v>0</v>
      </c>
    </row>
    <row r="488" spans="1:55" x14ac:dyDescent="0.2">
      <c r="A488" s="3">
        <f t="shared" si="349"/>
        <v>57618</v>
      </c>
      <c r="B488">
        <f t="shared" si="346"/>
        <v>490</v>
      </c>
      <c r="C488">
        <f t="shared" si="378"/>
        <v>40.75</v>
      </c>
      <c r="D488">
        <f t="shared" si="379"/>
        <v>0</v>
      </c>
      <c r="E488">
        <f t="shared" si="347"/>
        <v>96</v>
      </c>
      <c r="F488">
        <f>IF(C488&gt;=$T$2,0,VLOOKUP($E488,'Mortality Table'!$A$3:$C$128,2+AF$2,FALSE))</f>
        <v>0</v>
      </c>
      <c r="G488">
        <f>F488*Assumptions!$B$1</f>
        <v>0</v>
      </c>
      <c r="H488">
        <f t="shared" si="380"/>
        <v>0</v>
      </c>
      <c r="I488">
        <f t="shared" si="381"/>
        <v>0</v>
      </c>
      <c r="J488">
        <f>IF(B488&gt;$AJ$2,0,HLOOKUP(C488,Assumptions!$A$6:$J$7,2,TRUE))</f>
        <v>0</v>
      </c>
      <c r="K488" s="4">
        <f t="shared" si="382"/>
        <v>0</v>
      </c>
      <c r="L488" s="4">
        <f t="shared" si="350"/>
        <v>0</v>
      </c>
      <c r="M488" s="4">
        <f t="shared" si="383"/>
        <v>0</v>
      </c>
      <c r="N488">
        <f t="shared" si="384"/>
        <v>0</v>
      </c>
      <c r="O488" s="21">
        <f t="shared" si="385"/>
        <v>0</v>
      </c>
      <c r="P488">
        <f>IF(B488&gt;$AJ$2,0,HLOOKUP(C488,Assumptions!$A$12:$J$13,2,TRUE))</f>
        <v>0</v>
      </c>
      <c r="Q488">
        <f t="shared" si="386"/>
        <v>0</v>
      </c>
      <c r="R488">
        <f t="shared" si="351"/>
        <v>0</v>
      </c>
      <c r="S488">
        <f t="shared" si="387"/>
        <v>0</v>
      </c>
      <c r="T488">
        <f t="shared" si="388"/>
        <v>0</v>
      </c>
      <c r="U488">
        <f t="shared" si="352"/>
        <v>0</v>
      </c>
      <c r="V488">
        <f t="shared" si="353"/>
        <v>0</v>
      </c>
      <c r="W488">
        <f t="shared" si="354"/>
        <v>0</v>
      </c>
      <c r="X488">
        <f t="shared" si="389"/>
        <v>0</v>
      </c>
      <c r="Y488">
        <f t="shared" si="355"/>
        <v>0</v>
      </c>
      <c r="Z488">
        <f t="shared" si="356"/>
        <v>0</v>
      </c>
      <c r="AA488">
        <f t="shared" si="357"/>
        <v>0</v>
      </c>
      <c r="AB488">
        <f t="shared" si="358"/>
        <v>0</v>
      </c>
      <c r="AC488" s="23">
        <f>IF(B488&gt;$AJ$2,0,HLOOKUP(YEAR(A488),Assumptions!$A$25:$AL$29,4,TRUE)/100)</f>
        <v>0</v>
      </c>
      <c r="AD488">
        <f t="shared" si="359"/>
        <v>0</v>
      </c>
      <c r="AE488">
        <f t="shared" si="360"/>
        <v>0</v>
      </c>
      <c r="AF488">
        <f t="shared" si="361"/>
        <v>0</v>
      </c>
      <c r="AG488">
        <f t="shared" si="362"/>
        <v>0</v>
      </c>
      <c r="AH488">
        <f t="shared" si="363"/>
        <v>0</v>
      </c>
      <c r="AI488">
        <f t="shared" si="364"/>
        <v>0</v>
      </c>
      <c r="AJ488">
        <f t="shared" si="365"/>
        <v>0</v>
      </c>
      <c r="AK488">
        <f t="shared" si="390"/>
        <v>0</v>
      </c>
      <c r="AL488">
        <f t="shared" si="366"/>
        <v>0</v>
      </c>
      <c r="AM488">
        <f t="shared" si="348"/>
        <v>0</v>
      </c>
      <c r="AN488">
        <f>IF($S$2=0,0,(SUMPRODUCT($K$2:$R$2,Assumptions!$B$34:$I$34)/$U$2+$J$2/$U$2*Assumptions!$A$34*G488)*K488*O487)</f>
        <v>0</v>
      </c>
      <c r="AO488">
        <f t="shared" si="367"/>
        <v>0</v>
      </c>
      <c r="AP488">
        <f t="shared" si="368"/>
        <v>0</v>
      </c>
      <c r="AQ488">
        <f>IF(B488&gt;$AJ$2,0,AQ487*(1+Assumptions!$B$43)^(1/12))</f>
        <v>0</v>
      </c>
      <c r="AR488" s="27">
        <f>IF(B488&gt;$AJ$2,0,(O487+R487)*Assumptions!$B$39/12*AQ487+AV488*Assumptions!$B$41/12)</f>
        <v>0</v>
      </c>
      <c r="AS488">
        <f t="shared" si="369"/>
        <v>0</v>
      </c>
      <c r="AT488" s="28">
        <f t="shared" si="370"/>
        <v>0</v>
      </c>
      <c r="AU488">
        <f t="shared" si="371"/>
        <v>0</v>
      </c>
      <c r="AV488" s="28">
        <f t="shared" si="372"/>
        <v>0</v>
      </c>
      <c r="AW488" s="28">
        <f t="shared" si="373"/>
        <v>0</v>
      </c>
      <c r="AX488" s="23">
        <f>HLOOKUP(YEAR(A488),Assumptions!$A$25:$AL$29,2,TRUE)/100</f>
        <v>1.1332999999999999E-2</v>
      </c>
      <c r="AY488" s="29">
        <f>1/(1+HLOOKUP(YEAR(A488),Assumptions!$A$18:$AL$20,3,TRUE))^(1/12)</f>
        <v>0.99906100631170314</v>
      </c>
      <c r="AZ488" s="26">
        <f t="shared" si="374"/>
        <v>0</v>
      </c>
      <c r="BA488">
        <f t="shared" si="375"/>
        <v>0</v>
      </c>
      <c r="BB488">
        <f t="shared" si="376"/>
        <v>0</v>
      </c>
      <c r="BC488">
        <f t="shared" si="377"/>
        <v>0</v>
      </c>
    </row>
    <row r="489" spans="1:55" x14ac:dyDescent="0.2">
      <c r="A489" s="3">
        <f t="shared" si="349"/>
        <v>57649</v>
      </c>
      <c r="B489">
        <f t="shared" si="346"/>
        <v>491</v>
      </c>
      <c r="C489">
        <f t="shared" si="378"/>
        <v>40.833333333333336</v>
      </c>
      <c r="D489">
        <f t="shared" si="379"/>
        <v>0</v>
      </c>
      <c r="E489">
        <f t="shared" si="347"/>
        <v>96</v>
      </c>
      <c r="F489">
        <f>IF(C489&gt;=$T$2,0,VLOOKUP($E489,'Mortality Table'!$A$3:$C$128,2+AF$2,FALSE))</f>
        <v>0</v>
      </c>
      <c r="G489">
        <f>F489*Assumptions!$B$1</f>
        <v>0</v>
      </c>
      <c r="H489">
        <f t="shared" si="380"/>
        <v>0</v>
      </c>
      <c r="I489">
        <f t="shared" si="381"/>
        <v>0</v>
      </c>
      <c r="J489">
        <f>IF(B489&gt;$AJ$2,0,HLOOKUP(C489,Assumptions!$A$6:$J$7,2,TRUE))</f>
        <v>0</v>
      </c>
      <c r="K489" s="4">
        <f t="shared" si="382"/>
        <v>0</v>
      </c>
      <c r="L489" s="4">
        <f t="shared" si="350"/>
        <v>0</v>
      </c>
      <c r="M489" s="4">
        <f t="shared" si="383"/>
        <v>0</v>
      </c>
      <c r="N489">
        <f t="shared" si="384"/>
        <v>0</v>
      </c>
      <c r="O489" s="21">
        <f t="shared" si="385"/>
        <v>0</v>
      </c>
      <c r="P489">
        <f>IF(B489&gt;$AJ$2,0,HLOOKUP(C489,Assumptions!$A$12:$J$13,2,TRUE))</f>
        <v>0</v>
      </c>
      <c r="Q489">
        <f t="shared" si="386"/>
        <v>0</v>
      </c>
      <c r="R489">
        <f t="shared" si="351"/>
        <v>0</v>
      </c>
      <c r="S489">
        <f t="shared" si="387"/>
        <v>0</v>
      </c>
      <c r="T489">
        <f t="shared" si="388"/>
        <v>0</v>
      </c>
      <c r="U489">
        <f t="shared" si="352"/>
        <v>0</v>
      </c>
      <c r="V489">
        <f t="shared" si="353"/>
        <v>0</v>
      </c>
      <c r="W489">
        <f t="shared" si="354"/>
        <v>0</v>
      </c>
      <c r="X489">
        <f t="shared" si="389"/>
        <v>0</v>
      </c>
      <c r="Y489">
        <f t="shared" si="355"/>
        <v>0</v>
      </c>
      <c r="Z489">
        <f t="shared" si="356"/>
        <v>0</v>
      </c>
      <c r="AA489">
        <f t="shared" si="357"/>
        <v>0</v>
      </c>
      <c r="AB489">
        <f t="shared" si="358"/>
        <v>0</v>
      </c>
      <c r="AC489" s="23">
        <f>IF(B489&gt;$AJ$2,0,HLOOKUP(YEAR(A489),Assumptions!$A$25:$AL$29,4,TRUE)/100)</f>
        <v>0</v>
      </c>
      <c r="AD489">
        <f t="shared" si="359"/>
        <v>0</v>
      </c>
      <c r="AE489">
        <f t="shared" si="360"/>
        <v>0</v>
      </c>
      <c r="AF489">
        <f t="shared" si="361"/>
        <v>0</v>
      </c>
      <c r="AG489">
        <f t="shared" si="362"/>
        <v>0</v>
      </c>
      <c r="AH489">
        <f t="shared" si="363"/>
        <v>0</v>
      </c>
      <c r="AI489">
        <f t="shared" si="364"/>
        <v>0</v>
      </c>
      <c r="AJ489">
        <f t="shared" si="365"/>
        <v>0</v>
      </c>
      <c r="AK489">
        <f t="shared" si="390"/>
        <v>0</v>
      </c>
      <c r="AL489">
        <f t="shared" si="366"/>
        <v>0</v>
      </c>
      <c r="AM489">
        <f t="shared" si="348"/>
        <v>0</v>
      </c>
      <c r="AN489">
        <f>IF($S$2=0,0,(SUMPRODUCT($K$2:$R$2,Assumptions!$B$34:$I$34)/$U$2+$J$2/$U$2*Assumptions!$A$34*G489)*K489*O488)</f>
        <v>0</v>
      </c>
      <c r="AO489">
        <f t="shared" si="367"/>
        <v>0</v>
      </c>
      <c r="AP489">
        <f t="shared" si="368"/>
        <v>0</v>
      </c>
      <c r="AQ489">
        <f>IF(B489&gt;$AJ$2,0,AQ488*(1+Assumptions!$B$43)^(1/12))</f>
        <v>0</v>
      </c>
      <c r="AR489" s="27">
        <f>IF(B489&gt;$AJ$2,0,(O488+R488)*Assumptions!$B$39/12*AQ488+AV489*Assumptions!$B$41/12)</f>
        <v>0</v>
      </c>
      <c r="AS489">
        <f t="shared" si="369"/>
        <v>0</v>
      </c>
      <c r="AT489" s="28">
        <f t="shared" si="370"/>
        <v>0</v>
      </c>
      <c r="AU489">
        <f t="shared" si="371"/>
        <v>0</v>
      </c>
      <c r="AV489" s="28">
        <f t="shared" si="372"/>
        <v>0</v>
      </c>
      <c r="AW489" s="28">
        <f t="shared" si="373"/>
        <v>0</v>
      </c>
      <c r="AX489" s="23">
        <f>HLOOKUP(YEAR(A489),Assumptions!$A$25:$AL$29,2,TRUE)/100</f>
        <v>1.1332999999999999E-2</v>
      </c>
      <c r="AY489" s="29">
        <f>1/(1+HLOOKUP(YEAR(A489),Assumptions!$A$18:$AL$20,3,TRUE))^(1/12)</f>
        <v>0.99906100631170314</v>
      </c>
      <c r="AZ489" s="26">
        <f t="shared" si="374"/>
        <v>0</v>
      </c>
      <c r="BA489">
        <f t="shared" si="375"/>
        <v>0</v>
      </c>
      <c r="BB489">
        <f t="shared" si="376"/>
        <v>0</v>
      </c>
      <c r="BC489">
        <f t="shared" si="377"/>
        <v>0</v>
      </c>
    </row>
    <row r="490" spans="1:55" x14ac:dyDescent="0.2">
      <c r="A490" s="3">
        <f t="shared" si="349"/>
        <v>57679</v>
      </c>
      <c r="B490">
        <f t="shared" si="346"/>
        <v>492</v>
      </c>
      <c r="C490">
        <f t="shared" si="378"/>
        <v>40.916666666666664</v>
      </c>
      <c r="D490">
        <f t="shared" si="379"/>
        <v>0</v>
      </c>
      <c r="E490">
        <f t="shared" si="347"/>
        <v>96</v>
      </c>
      <c r="F490">
        <f>IF(C490&gt;=$T$2,0,VLOOKUP($E490,'Mortality Table'!$A$3:$C$128,2+AF$2,FALSE))</f>
        <v>0</v>
      </c>
      <c r="G490">
        <f>F490*Assumptions!$B$1</f>
        <v>0</v>
      </c>
      <c r="H490">
        <f t="shared" si="380"/>
        <v>0</v>
      </c>
      <c r="I490">
        <f t="shared" si="381"/>
        <v>0</v>
      </c>
      <c r="J490">
        <f>IF(B490&gt;$AJ$2,0,HLOOKUP(C490,Assumptions!$A$6:$J$7,2,TRUE))</f>
        <v>0</v>
      </c>
      <c r="K490" s="4">
        <f t="shared" si="382"/>
        <v>0</v>
      </c>
      <c r="L490" s="4">
        <f t="shared" si="350"/>
        <v>0</v>
      </c>
      <c r="M490" s="4">
        <f t="shared" si="383"/>
        <v>0</v>
      </c>
      <c r="N490">
        <f t="shared" si="384"/>
        <v>0</v>
      </c>
      <c r="O490" s="21">
        <f t="shared" si="385"/>
        <v>0</v>
      </c>
      <c r="P490">
        <f>IF(B490&gt;$AJ$2,0,HLOOKUP(C490,Assumptions!$A$12:$J$13,2,TRUE))</f>
        <v>0</v>
      </c>
      <c r="Q490">
        <f t="shared" si="386"/>
        <v>0</v>
      </c>
      <c r="R490">
        <f t="shared" si="351"/>
        <v>0</v>
      </c>
      <c r="S490">
        <f t="shared" si="387"/>
        <v>0</v>
      </c>
      <c r="T490">
        <f t="shared" si="388"/>
        <v>0</v>
      </c>
      <c r="U490">
        <f t="shared" si="352"/>
        <v>0</v>
      </c>
      <c r="V490">
        <f t="shared" si="353"/>
        <v>0</v>
      </c>
      <c r="W490">
        <f t="shared" si="354"/>
        <v>0</v>
      </c>
      <c r="X490">
        <f t="shared" si="389"/>
        <v>0</v>
      </c>
      <c r="Y490">
        <f t="shared" si="355"/>
        <v>0</v>
      </c>
      <c r="Z490">
        <f t="shared" si="356"/>
        <v>0</v>
      </c>
      <c r="AA490">
        <f t="shared" si="357"/>
        <v>0</v>
      </c>
      <c r="AB490">
        <f t="shared" si="358"/>
        <v>0</v>
      </c>
      <c r="AC490" s="23">
        <f>IF(B490&gt;$AJ$2,0,HLOOKUP(YEAR(A490),Assumptions!$A$25:$AL$29,4,TRUE)/100)</f>
        <v>0</v>
      </c>
      <c r="AD490">
        <f t="shared" si="359"/>
        <v>0</v>
      </c>
      <c r="AE490">
        <f t="shared" si="360"/>
        <v>0</v>
      </c>
      <c r="AF490">
        <f t="shared" si="361"/>
        <v>0</v>
      </c>
      <c r="AG490">
        <f t="shared" si="362"/>
        <v>0</v>
      </c>
      <c r="AH490">
        <f t="shared" si="363"/>
        <v>0</v>
      </c>
      <c r="AI490">
        <f t="shared" si="364"/>
        <v>0</v>
      </c>
      <c r="AJ490">
        <f t="shared" si="365"/>
        <v>0</v>
      </c>
      <c r="AK490">
        <f t="shared" si="390"/>
        <v>0</v>
      </c>
      <c r="AL490">
        <f t="shared" si="366"/>
        <v>0</v>
      </c>
      <c r="AM490">
        <f t="shared" si="348"/>
        <v>0</v>
      </c>
      <c r="AN490">
        <f>IF($S$2=0,0,(SUMPRODUCT($K$2:$R$2,Assumptions!$B$34:$I$34)/$U$2+$J$2/$U$2*Assumptions!$A$34*G490)*K490*O489)</f>
        <v>0</v>
      </c>
      <c r="AO490">
        <f t="shared" si="367"/>
        <v>0</v>
      </c>
      <c r="AP490">
        <f t="shared" si="368"/>
        <v>0</v>
      </c>
      <c r="AQ490">
        <f>IF(B490&gt;$AJ$2,0,AQ489*(1+Assumptions!$B$43)^(1/12))</f>
        <v>0</v>
      </c>
      <c r="AR490" s="27">
        <f>IF(B490&gt;$AJ$2,0,(O489+R489)*Assumptions!$B$39/12*AQ489+AV490*Assumptions!$B$41/12)</f>
        <v>0</v>
      </c>
      <c r="AS490">
        <f t="shared" si="369"/>
        <v>0</v>
      </c>
      <c r="AT490" s="28">
        <f t="shared" si="370"/>
        <v>0</v>
      </c>
      <c r="AU490">
        <f t="shared" si="371"/>
        <v>0</v>
      </c>
      <c r="AV490" s="28">
        <f t="shared" si="372"/>
        <v>0</v>
      </c>
      <c r="AW490" s="28">
        <f t="shared" si="373"/>
        <v>0</v>
      </c>
      <c r="AX490" s="23">
        <f>HLOOKUP(YEAR(A490),Assumptions!$A$25:$AL$29,2,TRUE)/100</f>
        <v>1.1332999999999999E-2</v>
      </c>
      <c r="AY490" s="29">
        <f>1/(1+HLOOKUP(YEAR(A490),Assumptions!$A$18:$AL$20,3,TRUE))^(1/12)</f>
        <v>0.99906100631170314</v>
      </c>
      <c r="AZ490" s="26">
        <f t="shared" si="374"/>
        <v>0</v>
      </c>
      <c r="BA490">
        <f t="shared" si="375"/>
        <v>0</v>
      </c>
      <c r="BB490">
        <f t="shared" si="376"/>
        <v>0</v>
      </c>
      <c r="BC490">
        <f t="shared" si="377"/>
        <v>0</v>
      </c>
    </row>
    <row r="491" spans="1:55" x14ac:dyDescent="0.2">
      <c r="A491" s="3">
        <f t="shared" si="349"/>
        <v>57710</v>
      </c>
      <c r="B491">
        <f t="shared" si="346"/>
        <v>493</v>
      </c>
      <c r="C491">
        <f t="shared" si="378"/>
        <v>41</v>
      </c>
      <c r="D491">
        <f t="shared" si="379"/>
        <v>1</v>
      </c>
      <c r="E491">
        <f t="shared" si="347"/>
        <v>97</v>
      </c>
      <c r="F491">
        <f>IF(C491&gt;=$T$2,0,VLOOKUP($E491,'Mortality Table'!$A$3:$C$128,2+AF$2,FALSE))</f>
        <v>0</v>
      </c>
      <c r="G491">
        <f>F491*Assumptions!$B$1</f>
        <v>0</v>
      </c>
      <c r="H491">
        <f t="shared" si="380"/>
        <v>0</v>
      </c>
      <c r="I491">
        <f t="shared" si="381"/>
        <v>0</v>
      </c>
      <c r="J491">
        <f>IF(B491&gt;$AJ$2,0,HLOOKUP(C491,Assumptions!$A$6:$J$7,2,TRUE))</f>
        <v>0</v>
      </c>
      <c r="K491" s="4">
        <f t="shared" si="382"/>
        <v>0</v>
      </c>
      <c r="L491" s="4">
        <f t="shared" si="350"/>
        <v>0</v>
      </c>
      <c r="M491" s="4">
        <f t="shared" si="383"/>
        <v>0</v>
      </c>
      <c r="N491">
        <f t="shared" si="384"/>
        <v>0</v>
      </c>
      <c r="O491" s="21">
        <f t="shared" si="385"/>
        <v>0</v>
      </c>
      <c r="P491">
        <f>IF(B491&gt;$AJ$2,0,HLOOKUP(C491,Assumptions!$A$12:$J$13,2,TRUE))</f>
        <v>0</v>
      </c>
      <c r="Q491">
        <f t="shared" si="386"/>
        <v>0</v>
      </c>
      <c r="R491">
        <f t="shared" si="351"/>
        <v>0</v>
      </c>
      <c r="S491">
        <f t="shared" si="387"/>
        <v>0</v>
      </c>
      <c r="T491">
        <f t="shared" si="388"/>
        <v>0</v>
      </c>
      <c r="U491">
        <f t="shared" si="352"/>
        <v>0</v>
      </c>
      <c r="V491">
        <f t="shared" si="353"/>
        <v>0</v>
      </c>
      <c r="W491">
        <f t="shared" si="354"/>
        <v>0</v>
      </c>
      <c r="X491">
        <f t="shared" si="389"/>
        <v>0</v>
      </c>
      <c r="Y491">
        <f t="shared" si="355"/>
        <v>0</v>
      </c>
      <c r="Z491">
        <f t="shared" si="356"/>
        <v>0</v>
      </c>
      <c r="AA491">
        <f t="shared" si="357"/>
        <v>0</v>
      </c>
      <c r="AB491">
        <f t="shared" si="358"/>
        <v>0</v>
      </c>
      <c r="AC491" s="23">
        <f>IF(B491&gt;$AJ$2,0,HLOOKUP(YEAR(A491),Assumptions!$A$25:$AL$29,4,TRUE)/100)</f>
        <v>0</v>
      </c>
      <c r="AD491">
        <f t="shared" si="359"/>
        <v>0</v>
      </c>
      <c r="AE491">
        <f t="shared" si="360"/>
        <v>0</v>
      </c>
      <c r="AF491">
        <f t="shared" si="361"/>
        <v>0</v>
      </c>
      <c r="AG491">
        <f t="shared" si="362"/>
        <v>0</v>
      </c>
      <c r="AH491">
        <f t="shared" si="363"/>
        <v>0</v>
      </c>
      <c r="AI491">
        <f t="shared" si="364"/>
        <v>0</v>
      </c>
      <c r="AJ491">
        <f t="shared" si="365"/>
        <v>0</v>
      </c>
      <c r="AK491">
        <f t="shared" si="390"/>
        <v>0</v>
      </c>
      <c r="AL491">
        <f t="shared" si="366"/>
        <v>0</v>
      </c>
      <c r="AM491">
        <f t="shared" si="348"/>
        <v>0</v>
      </c>
      <c r="AN491">
        <f>IF($S$2=0,0,(SUMPRODUCT($K$2:$R$2,Assumptions!$B$34:$I$34)/$U$2+$J$2/$U$2*Assumptions!$A$34*G491)*K491*O490)</f>
        <v>0</v>
      </c>
      <c r="AO491">
        <f t="shared" si="367"/>
        <v>0</v>
      </c>
      <c r="AP491">
        <f t="shared" si="368"/>
        <v>0</v>
      </c>
      <c r="AQ491">
        <f>IF(B491&gt;$AJ$2,0,AQ490*(1+Assumptions!$B$43)^(1/12))</f>
        <v>0</v>
      </c>
      <c r="AR491" s="27">
        <f>IF(B491&gt;$AJ$2,0,(O490+R490)*Assumptions!$B$39/12*AQ490+AV491*Assumptions!$B$41/12)</f>
        <v>0</v>
      </c>
      <c r="AS491">
        <f t="shared" si="369"/>
        <v>0</v>
      </c>
      <c r="AT491" s="28">
        <f t="shared" si="370"/>
        <v>0</v>
      </c>
      <c r="AU491">
        <f t="shared" si="371"/>
        <v>0</v>
      </c>
      <c r="AV491" s="28">
        <f t="shared" si="372"/>
        <v>0</v>
      </c>
      <c r="AW491" s="28">
        <f t="shared" si="373"/>
        <v>0</v>
      </c>
      <c r="AX491" s="23">
        <f>HLOOKUP(YEAR(A491),Assumptions!$A$25:$AL$29,2,TRUE)/100</f>
        <v>1.1332999999999999E-2</v>
      </c>
      <c r="AY491" s="29">
        <f>1/(1+HLOOKUP(YEAR(A491),Assumptions!$A$18:$AL$20,3,TRUE))^(1/12)</f>
        <v>0.99906100631170314</v>
      </c>
      <c r="AZ491" s="26">
        <f t="shared" si="374"/>
        <v>0</v>
      </c>
      <c r="BA491">
        <f t="shared" si="375"/>
        <v>0</v>
      </c>
      <c r="BB491">
        <f t="shared" si="376"/>
        <v>0</v>
      </c>
      <c r="BC491">
        <f t="shared" si="377"/>
        <v>0</v>
      </c>
    </row>
    <row r="492" spans="1:55" x14ac:dyDescent="0.2">
      <c r="A492" s="3">
        <f t="shared" si="349"/>
        <v>57741</v>
      </c>
      <c r="B492">
        <f t="shared" si="346"/>
        <v>494</v>
      </c>
      <c r="C492">
        <f t="shared" si="378"/>
        <v>41.083333333333336</v>
      </c>
      <c r="D492">
        <f t="shared" si="379"/>
        <v>0</v>
      </c>
      <c r="E492">
        <f t="shared" si="347"/>
        <v>97</v>
      </c>
      <c r="F492">
        <f>IF(C492&gt;=$T$2,0,VLOOKUP($E492,'Mortality Table'!$A$3:$C$128,2+AF$2,FALSE))</f>
        <v>0</v>
      </c>
      <c r="G492">
        <f>F492*Assumptions!$B$1</f>
        <v>0</v>
      </c>
      <c r="H492">
        <f t="shared" si="380"/>
        <v>0</v>
      </c>
      <c r="I492">
        <f t="shared" si="381"/>
        <v>0</v>
      </c>
      <c r="J492">
        <f>IF(B492&gt;$AJ$2,0,HLOOKUP(C492,Assumptions!$A$6:$J$7,2,TRUE))</f>
        <v>0</v>
      </c>
      <c r="K492" s="4">
        <f t="shared" si="382"/>
        <v>0</v>
      </c>
      <c r="L492" s="4">
        <f t="shared" si="350"/>
        <v>0</v>
      </c>
      <c r="M492" s="4">
        <f t="shared" si="383"/>
        <v>0</v>
      </c>
      <c r="N492">
        <f t="shared" si="384"/>
        <v>0</v>
      </c>
      <c r="O492" s="21">
        <f t="shared" si="385"/>
        <v>0</v>
      </c>
      <c r="P492">
        <f>IF(B492&gt;$AJ$2,0,HLOOKUP(C492,Assumptions!$A$12:$J$13,2,TRUE))</f>
        <v>0</v>
      </c>
      <c r="Q492">
        <f t="shared" si="386"/>
        <v>0</v>
      </c>
      <c r="R492">
        <f t="shared" si="351"/>
        <v>0</v>
      </c>
      <c r="S492">
        <f t="shared" si="387"/>
        <v>0</v>
      </c>
      <c r="T492">
        <f t="shared" si="388"/>
        <v>0</v>
      </c>
      <c r="U492">
        <f t="shared" si="352"/>
        <v>0</v>
      </c>
      <c r="V492">
        <f t="shared" si="353"/>
        <v>0</v>
      </c>
      <c r="W492">
        <f t="shared" si="354"/>
        <v>0</v>
      </c>
      <c r="X492">
        <f t="shared" si="389"/>
        <v>0</v>
      </c>
      <c r="Y492">
        <f t="shared" si="355"/>
        <v>0</v>
      </c>
      <c r="Z492">
        <f t="shared" si="356"/>
        <v>0</v>
      </c>
      <c r="AA492">
        <f t="shared" si="357"/>
        <v>0</v>
      </c>
      <c r="AB492">
        <f t="shared" si="358"/>
        <v>0</v>
      </c>
      <c r="AC492" s="23">
        <f>IF(B492&gt;$AJ$2,0,HLOOKUP(YEAR(A492),Assumptions!$A$25:$AL$29,4,TRUE)/100)</f>
        <v>0</v>
      </c>
      <c r="AD492">
        <f t="shared" si="359"/>
        <v>0</v>
      </c>
      <c r="AE492">
        <f t="shared" si="360"/>
        <v>0</v>
      </c>
      <c r="AF492">
        <f t="shared" si="361"/>
        <v>0</v>
      </c>
      <c r="AG492">
        <f t="shared" si="362"/>
        <v>0</v>
      </c>
      <c r="AH492">
        <f t="shared" si="363"/>
        <v>0</v>
      </c>
      <c r="AI492">
        <f t="shared" si="364"/>
        <v>0</v>
      </c>
      <c r="AJ492">
        <f t="shared" si="365"/>
        <v>0</v>
      </c>
      <c r="AK492">
        <f t="shared" si="390"/>
        <v>0</v>
      </c>
      <c r="AL492">
        <f t="shared" si="366"/>
        <v>0</v>
      </c>
      <c r="AM492">
        <f t="shared" si="348"/>
        <v>0</v>
      </c>
      <c r="AN492">
        <f>IF($S$2=0,0,(SUMPRODUCT($K$2:$R$2,Assumptions!$B$34:$I$34)/$U$2+$J$2/$U$2*Assumptions!$A$34*G492)*K492*O491)</f>
        <v>0</v>
      </c>
      <c r="AO492">
        <f t="shared" si="367"/>
        <v>0</v>
      </c>
      <c r="AP492">
        <f t="shared" si="368"/>
        <v>0</v>
      </c>
      <c r="AQ492">
        <f>IF(B492&gt;$AJ$2,0,AQ491*(1+Assumptions!$B$43)^(1/12))</f>
        <v>0</v>
      </c>
      <c r="AR492" s="27">
        <f>IF(B492&gt;$AJ$2,0,(O491+R491)*Assumptions!$B$39/12*AQ491+AV492*Assumptions!$B$41/12)</f>
        <v>0</v>
      </c>
      <c r="AS492">
        <f t="shared" si="369"/>
        <v>0</v>
      </c>
      <c r="AT492" s="28">
        <f t="shared" si="370"/>
        <v>0</v>
      </c>
      <c r="AU492">
        <f t="shared" si="371"/>
        <v>0</v>
      </c>
      <c r="AV492" s="28">
        <f t="shared" si="372"/>
        <v>0</v>
      </c>
      <c r="AW492" s="28">
        <f t="shared" si="373"/>
        <v>0</v>
      </c>
      <c r="AX492" s="23">
        <f>HLOOKUP(YEAR(A492),Assumptions!$A$25:$AL$29,2,TRUE)/100</f>
        <v>1.1332999999999999E-2</v>
      </c>
      <c r="AY492" s="29">
        <f>1/(1+HLOOKUP(YEAR(A492),Assumptions!$A$18:$AL$20,3,TRUE))^(1/12)</f>
        <v>0.99906100631170314</v>
      </c>
      <c r="AZ492" s="26">
        <f t="shared" si="374"/>
        <v>0</v>
      </c>
      <c r="BA492">
        <f t="shared" si="375"/>
        <v>0</v>
      </c>
      <c r="BB492">
        <f t="shared" si="376"/>
        <v>0</v>
      </c>
      <c r="BC492">
        <f t="shared" si="377"/>
        <v>0</v>
      </c>
    </row>
    <row r="493" spans="1:55" x14ac:dyDescent="0.2">
      <c r="A493" s="3">
        <f t="shared" si="349"/>
        <v>57769</v>
      </c>
      <c r="B493">
        <f t="shared" si="346"/>
        <v>495</v>
      </c>
      <c r="C493">
        <f t="shared" si="378"/>
        <v>41.166666666666664</v>
      </c>
      <c r="D493">
        <f t="shared" si="379"/>
        <v>0</v>
      </c>
      <c r="E493">
        <f t="shared" si="347"/>
        <v>97</v>
      </c>
      <c r="F493">
        <f>IF(C493&gt;=$T$2,0,VLOOKUP($E493,'Mortality Table'!$A$3:$C$128,2+AF$2,FALSE))</f>
        <v>0</v>
      </c>
      <c r="G493">
        <f>F493*Assumptions!$B$1</f>
        <v>0</v>
      </c>
      <c r="H493">
        <f t="shared" si="380"/>
        <v>0</v>
      </c>
      <c r="I493">
        <f t="shared" si="381"/>
        <v>0</v>
      </c>
      <c r="J493">
        <f>IF(B493&gt;$AJ$2,0,HLOOKUP(C493,Assumptions!$A$6:$J$7,2,TRUE))</f>
        <v>0</v>
      </c>
      <c r="K493" s="4">
        <f t="shared" si="382"/>
        <v>0</v>
      </c>
      <c r="L493" s="4">
        <f t="shared" si="350"/>
        <v>0</v>
      </c>
      <c r="M493" s="4">
        <f t="shared" si="383"/>
        <v>0</v>
      </c>
      <c r="N493">
        <f t="shared" si="384"/>
        <v>0</v>
      </c>
      <c r="O493" s="21">
        <f t="shared" si="385"/>
        <v>0</v>
      </c>
      <c r="P493">
        <f>IF(B493&gt;$AJ$2,0,HLOOKUP(C493,Assumptions!$A$12:$J$13,2,TRUE))</f>
        <v>0</v>
      </c>
      <c r="Q493">
        <f t="shared" si="386"/>
        <v>0</v>
      </c>
      <c r="R493">
        <f t="shared" si="351"/>
        <v>0</v>
      </c>
      <c r="S493">
        <f t="shared" si="387"/>
        <v>0</v>
      </c>
      <c r="T493">
        <f t="shared" si="388"/>
        <v>0</v>
      </c>
      <c r="U493">
        <f t="shared" si="352"/>
        <v>0</v>
      </c>
      <c r="V493">
        <f t="shared" si="353"/>
        <v>0</v>
      </c>
      <c r="W493">
        <f t="shared" si="354"/>
        <v>0</v>
      </c>
      <c r="X493">
        <f t="shared" si="389"/>
        <v>0</v>
      </c>
      <c r="Y493">
        <f t="shared" si="355"/>
        <v>0</v>
      </c>
      <c r="Z493">
        <f t="shared" si="356"/>
        <v>0</v>
      </c>
      <c r="AA493">
        <f t="shared" si="357"/>
        <v>0</v>
      </c>
      <c r="AB493">
        <f t="shared" si="358"/>
        <v>0</v>
      </c>
      <c r="AC493" s="23">
        <f>IF(B493&gt;$AJ$2,0,HLOOKUP(YEAR(A493),Assumptions!$A$25:$AL$29,4,TRUE)/100)</f>
        <v>0</v>
      </c>
      <c r="AD493">
        <f t="shared" si="359"/>
        <v>0</v>
      </c>
      <c r="AE493">
        <f t="shared" si="360"/>
        <v>0</v>
      </c>
      <c r="AF493">
        <f t="shared" si="361"/>
        <v>0</v>
      </c>
      <c r="AG493">
        <f t="shared" si="362"/>
        <v>0</v>
      </c>
      <c r="AH493">
        <f t="shared" si="363"/>
        <v>0</v>
      </c>
      <c r="AI493">
        <f t="shared" si="364"/>
        <v>0</v>
      </c>
      <c r="AJ493">
        <f t="shared" si="365"/>
        <v>0</v>
      </c>
      <c r="AK493">
        <f t="shared" si="390"/>
        <v>0</v>
      </c>
      <c r="AL493">
        <f t="shared" si="366"/>
        <v>0</v>
      </c>
      <c r="AM493">
        <f t="shared" si="348"/>
        <v>0</v>
      </c>
      <c r="AN493">
        <f>IF($S$2=0,0,(SUMPRODUCT($K$2:$R$2,Assumptions!$B$34:$I$34)/$U$2+$J$2/$U$2*Assumptions!$A$34*G493)*K493*O492)</f>
        <v>0</v>
      </c>
      <c r="AO493">
        <f t="shared" si="367"/>
        <v>0</v>
      </c>
      <c r="AP493">
        <f t="shared" si="368"/>
        <v>0</v>
      </c>
      <c r="AQ493">
        <f>IF(B493&gt;$AJ$2,0,AQ492*(1+Assumptions!$B$43)^(1/12))</f>
        <v>0</v>
      </c>
      <c r="AR493" s="27">
        <f>IF(B493&gt;$AJ$2,0,(O492+R492)*Assumptions!$B$39/12*AQ492+AV493*Assumptions!$B$41/12)</f>
        <v>0</v>
      </c>
      <c r="AS493">
        <f t="shared" si="369"/>
        <v>0</v>
      </c>
      <c r="AT493" s="28">
        <f t="shared" si="370"/>
        <v>0</v>
      </c>
      <c r="AU493">
        <f t="shared" si="371"/>
        <v>0</v>
      </c>
      <c r="AV493" s="28">
        <f t="shared" si="372"/>
        <v>0</v>
      </c>
      <c r="AW493" s="28">
        <f t="shared" si="373"/>
        <v>0</v>
      </c>
      <c r="AX493" s="23">
        <f>HLOOKUP(YEAR(A493),Assumptions!$A$25:$AL$29,2,TRUE)/100</f>
        <v>1.1332999999999999E-2</v>
      </c>
      <c r="AY493" s="29">
        <f>1/(1+HLOOKUP(YEAR(A493),Assumptions!$A$18:$AL$20,3,TRUE))^(1/12)</f>
        <v>0.99906100631170314</v>
      </c>
      <c r="AZ493" s="26">
        <f t="shared" si="374"/>
        <v>0</v>
      </c>
      <c r="BA493">
        <f t="shared" si="375"/>
        <v>0</v>
      </c>
      <c r="BB493">
        <f t="shared" si="376"/>
        <v>0</v>
      </c>
      <c r="BC493">
        <f t="shared" si="377"/>
        <v>0</v>
      </c>
    </row>
    <row r="494" spans="1:55" x14ac:dyDescent="0.2">
      <c r="A494" s="3">
        <f t="shared" si="349"/>
        <v>57800</v>
      </c>
      <c r="B494">
        <f t="shared" si="346"/>
        <v>496</v>
      </c>
      <c r="C494">
        <f t="shared" si="378"/>
        <v>41.25</v>
      </c>
      <c r="D494">
        <f t="shared" si="379"/>
        <v>0</v>
      </c>
      <c r="E494">
        <f t="shared" si="347"/>
        <v>97</v>
      </c>
      <c r="F494">
        <f>IF(C494&gt;=$T$2,0,VLOOKUP($E494,'Mortality Table'!$A$3:$C$128,2+AF$2,FALSE))</f>
        <v>0</v>
      </c>
      <c r="G494">
        <f>F494*Assumptions!$B$1</f>
        <v>0</v>
      </c>
      <c r="H494">
        <f t="shared" si="380"/>
        <v>0</v>
      </c>
      <c r="I494">
        <f t="shared" si="381"/>
        <v>0</v>
      </c>
      <c r="J494">
        <f>IF(B494&gt;$AJ$2,0,HLOOKUP(C494,Assumptions!$A$6:$J$7,2,TRUE))</f>
        <v>0</v>
      </c>
      <c r="K494" s="4">
        <f t="shared" si="382"/>
        <v>0</v>
      </c>
      <c r="L494" s="4">
        <f t="shared" si="350"/>
        <v>0</v>
      </c>
      <c r="M494" s="4">
        <f t="shared" si="383"/>
        <v>0</v>
      </c>
      <c r="N494">
        <f t="shared" si="384"/>
        <v>0</v>
      </c>
      <c r="O494" s="21">
        <f t="shared" si="385"/>
        <v>0</v>
      </c>
      <c r="P494">
        <f>IF(B494&gt;$AJ$2,0,HLOOKUP(C494,Assumptions!$A$12:$J$13,2,TRUE))</f>
        <v>0</v>
      </c>
      <c r="Q494">
        <f t="shared" si="386"/>
        <v>0</v>
      </c>
      <c r="R494">
        <f t="shared" si="351"/>
        <v>0</v>
      </c>
      <c r="S494">
        <f t="shared" si="387"/>
        <v>0</v>
      </c>
      <c r="T494">
        <f t="shared" si="388"/>
        <v>0</v>
      </c>
      <c r="U494">
        <f t="shared" si="352"/>
        <v>0</v>
      </c>
      <c r="V494">
        <f t="shared" si="353"/>
        <v>0</v>
      </c>
      <c r="W494">
        <f t="shared" si="354"/>
        <v>0</v>
      </c>
      <c r="X494">
        <f t="shared" si="389"/>
        <v>0</v>
      </c>
      <c r="Y494">
        <f t="shared" si="355"/>
        <v>0</v>
      </c>
      <c r="Z494">
        <f t="shared" si="356"/>
        <v>0</v>
      </c>
      <c r="AA494">
        <f t="shared" si="357"/>
        <v>0</v>
      </c>
      <c r="AB494">
        <f t="shared" si="358"/>
        <v>0</v>
      </c>
      <c r="AC494" s="23">
        <f>IF(B494&gt;$AJ$2,0,HLOOKUP(YEAR(A494),Assumptions!$A$25:$AL$29,4,TRUE)/100)</f>
        <v>0</v>
      </c>
      <c r="AD494">
        <f t="shared" si="359"/>
        <v>0</v>
      </c>
      <c r="AE494">
        <f t="shared" si="360"/>
        <v>0</v>
      </c>
      <c r="AF494">
        <f t="shared" si="361"/>
        <v>0</v>
      </c>
      <c r="AG494">
        <f t="shared" si="362"/>
        <v>0</v>
      </c>
      <c r="AH494">
        <f t="shared" si="363"/>
        <v>0</v>
      </c>
      <c r="AI494">
        <f t="shared" si="364"/>
        <v>0</v>
      </c>
      <c r="AJ494">
        <f t="shared" si="365"/>
        <v>0</v>
      </c>
      <c r="AK494">
        <f t="shared" si="390"/>
        <v>0</v>
      </c>
      <c r="AL494">
        <f t="shared" si="366"/>
        <v>0</v>
      </c>
      <c r="AM494">
        <f t="shared" si="348"/>
        <v>0</v>
      </c>
      <c r="AN494">
        <f>IF($S$2=0,0,(SUMPRODUCT($K$2:$R$2,Assumptions!$B$34:$I$34)/$U$2+$J$2/$U$2*Assumptions!$A$34*G494)*K494*O493)</f>
        <v>0</v>
      </c>
      <c r="AO494">
        <f t="shared" si="367"/>
        <v>0</v>
      </c>
      <c r="AP494">
        <f t="shared" si="368"/>
        <v>0</v>
      </c>
      <c r="AQ494">
        <f>IF(B494&gt;$AJ$2,0,AQ493*(1+Assumptions!$B$43)^(1/12))</f>
        <v>0</v>
      </c>
      <c r="AR494" s="27">
        <f>IF(B494&gt;$AJ$2,0,(O493+R493)*Assumptions!$B$39/12*AQ493+AV494*Assumptions!$B$41/12)</f>
        <v>0</v>
      </c>
      <c r="AS494">
        <f t="shared" si="369"/>
        <v>0</v>
      </c>
      <c r="AT494" s="28">
        <f t="shared" si="370"/>
        <v>0</v>
      </c>
      <c r="AU494">
        <f t="shared" si="371"/>
        <v>0</v>
      </c>
      <c r="AV494" s="28">
        <f t="shared" si="372"/>
        <v>0</v>
      </c>
      <c r="AW494" s="28">
        <f t="shared" si="373"/>
        <v>0</v>
      </c>
      <c r="AX494" s="23">
        <f>HLOOKUP(YEAR(A494),Assumptions!$A$25:$AL$29,2,TRUE)/100</f>
        <v>1.1332999999999999E-2</v>
      </c>
      <c r="AY494" s="29">
        <f>1/(1+HLOOKUP(YEAR(A494),Assumptions!$A$18:$AL$20,3,TRUE))^(1/12)</f>
        <v>0.99906100631170314</v>
      </c>
      <c r="AZ494" s="26">
        <f t="shared" si="374"/>
        <v>0</v>
      </c>
      <c r="BA494">
        <f t="shared" si="375"/>
        <v>0</v>
      </c>
      <c r="BB494">
        <f t="shared" si="376"/>
        <v>0</v>
      </c>
      <c r="BC494">
        <f t="shared" si="377"/>
        <v>0</v>
      </c>
    </row>
    <row r="495" spans="1:55" x14ac:dyDescent="0.2">
      <c r="A495" s="3">
        <f t="shared" si="349"/>
        <v>57830</v>
      </c>
      <c r="B495">
        <f t="shared" si="346"/>
        <v>497</v>
      </c>
      <c r="C495">
        <f t="shared" si="378"/>
        <v>41.333333333333336</v>
      </c>
      <c r="D495">
        <f t="shared" si="379"/>
        <v>0</v>
      </c>
      <c r="E495">
        <f t="shared" si="347"/>
        <v>97</v>
      </c>
      <c r="F495">
        <f>IF(C495&gt;=$T$2,0,VLOOKUP($E495,'Mortality Table'!$A$3:$C$128,2+AF$2,FALSE))</f>
        <v>0</v>
      </c>
      <c r="G495">
        <f>F495*Assumptions!$B$1</f>
        <v>0</v>
      </c>
      <c r="H495">
        <f t="shared" si="380"/>
        <v>0</v>
      </c>
      <c r="I495">
        <f t="shared" si="381"/>
        <v>0</v>
      </c>
      <c r="J495">
        <f>IF(B495&gt;$AJ$2,0,HLOOKUP(C495,Assumptions!$A$6:$J$7,2,TRUE))</f>
        <v>0</v>
      </c>
      <c r="K495" s="4">
        <f t="shared" si="382"/>
        <v>0</v>
      </c>
      <c r="L495" s="4">
        <f t="shared" si="350"/>
        <v>0</v>
      </c>
      <c r="M495" s="4">
        <f t="shared" si="383"/>
        <v>0</v>
      </c>
      <c r="N495">
        <f t="shared" si="384"/>
        <v>0</v>
      </c>
      <c r="O495" s="21">
        <f t="shared" si="385"/>
        <v>0</v>
      </c>
      <c r="P495">
        <f>IF(B495&gt;$AJ$2,0,HLOOKUP(C495,Assumptions!$A$12:$J$13,2,TRUE))</f>
        <v>0</v>
      </c>
      <c r="Q495">
        <f t="shared" si="386"/>
        <v>0</v>
      </c>
      <c r="R495">
        <f t="shared" si="351"/>
        <v>0</v>
      </c>
      <c r="S495">
        <f t="shared" si="387"/>
        <v>0</v>
      </c>
      <c r="T495">
        <f t="shared" si="388"/>
        <v>0</v>
      </c>
      <c r="U495">
        <f t="shared" si="352"/>
        <v>0</v>
      </c>
      <c r="V495">
        <f t="shared" si="353"/>
        <v>0</v>
      </c>
      <c r="W495">
        <f t="shared" si="354"/>
        <v>0</v>
      </c>
      <c r="X495">
        <f t="shared" si="389"/>
        <v>0</v>
      </c>
      <c r="Y495">
        <f t="shared" si="355"/>
        <v>0</v>
      </c>
      <c r="Z495">
        <f t="shared" si="356"/>
        <v>0</v>
      </c>
      <c r="AA495">
        <f t="shared" si="357"/>
        <v>0</v>
      </c>
      <c r="AB495">
        <f t="shared" si="358"/>
        <v>0</v>
      </c>
      <c r="AC495" s="23">
        <f>IF(B495&gt;$AJ$2,0,HLOOKUP(YEAR(A495),Assumptions!$A$25:$AL$29,4,TRUE)/100)</f>
        <v>0</v>
      </c>
      <c r="AD495">
        <f t="shared" si="359"/>
        <v>0</v>
      </c>
      <c r="AE495">
        <f t="shared" si="360"/>
        <v>0</v>
      </c>
      <c r="AF495">
        <f t="shared" si="361"/>
        <v>0</v>
      </c>
      <c r="AG495">
        <f t="shared" si="362"/>
        <v>0</v>
      </c>
      <c r="AH495">
        <f t="shared" si="363"/>
        <v>0</v>
      </c>
      <c r="AI495">
        <f t="shared" si="364"/>
        <v>0</v>
      </c>
      <c r="AJ495">
        <f t="shared" si="365"/>
        <v>0</v>
      </c>
      <c r="AK495">
        <f t="shared" si="390"/>
        <v>0</v>
      </c>
      <c r="AL495">
        <f t="shared" si="366"/>
        <v>0</v>
      </c>
      <c r="AM495">
        <f t="shared" si="348"/>
        <v>0</v>
      </c>
      <c r="AN495">
        <f>IF($S$2=0,0,(SUMPRODUCT($K$2:$R$2,Assumptions!$B$34:$I$34)/$U$2+$J$2/$U$2*Assumptions!$A$34*G495)*K495*O494)</f>
        <v>0</v>
      </c>
      <c r="AO495">
        <f t="shared" si="367"/>
        <v>0</v>
      </c>
      <c r="AP495">
        <f t="shared" si="368"/>
        <v>0</v>
      </c>
      <c r="AQ495">
        <f>IF(B495&gt;$AJ$2,0,AQ494*(1+Assumptions!$B$43)^(1/12))</f>
        <v>0</v>
      </c>
      <c r="AR495" s="27">
        <f>IF(B495&gt;$AJ$2,0,(O494+R494)*Assumptions!$B$39/12*AQ494+AV495*Assumptions!$B$41/12)</f>
        <v>0</v>
      </c>
      <c r="AS495">
        <f t="shared" si="369"/>
        <v>0</v>
      </c>
      <c r="AT495" s="28">
        <f t="shared" si="370"/>
        <v>0</v>
      </c>
      <c r="AU495">
        <f t="shared" si="371"/>
        <v>0</v>
      </c>
      <c r="AV495" s="28">
        <f t="shared" si="372"/>
        <v>0</v>
      </c>
      <c r="AW495" s="28">
        <f t="shared" si="373"/>
        <v>0</v>
      </c>
      <c r="AX495" s="23">
        <f>HLOOKUP(YEAR(A495),Assumptions!$A$25:$AL$29,2,TRUE)/100</f>
        <v>1.1332999999999999E-2</v>
      </c>
      <c r="AY495" s="29">
        <f>1/(1+HLOOKUP(YEAR(A495),Assumptions!$A$18:$AL$20,3,TRUE))^(1/12)</f>
        <v>0.99906100631170314</v>
      </c>
      <c r="AZ495" s="26">
        <f t="shared" si="374"/>
        <v>0</v>
      </c>
      <c r="BA495">
        <f t="shared" si="375"/>
        <v>0</v>
      </c>
      <c r="BB495">
        <f t="shared" si="376"/>
        <v>0</v>
      </c>
      <c r="BC495">
        <f t="shared" si="377"/>
        <v>0</v>
      </c>
    </row>
    <row r="496" spans="1:55" x14ac:dyDescent="0.2">
      <c r="A496" s="3">
        <f t="shared" si="349"/>
        <v>57861</v>
      </c>
      <c r="B496">
        <f t="shared" si="346"/>
        <v>498</v>
      </c>
      <c r="C496">
        <f t="shared" si="378"/>
        <v>41.416666666666664</v>
      </c>
      <c r="D496">
        <f t="shared" si="379"/>
        <v>0</v>
      </c>
      <c r="E496">
        <f t="shared" si="347"/>
        <v>97</v>
      </c>
      <c r="F496">
        <f>IF(C496&gt;=$T$2,0,VLOOKUP($E496,'Mortality Table'!$A$3:$C$128,2+AF$2,FALSE))</f>
        <v>0</v>
      </c>
      <c r="G496">
        <f>F496*Assumptions!$B$1</f>
        <v>0</v>
      </c>
      <c r="H496">
        <f t="shared" si="380"/>
        <v>0</v>
      </c>
      <c r="I496">
        <f t="shared" si="381"/>
        <v>0</v>
      </c>
      <c r="J496">
        <f>IF(B496&gt;$AJ$2,0,HLOOKUP(C496,Assumptions!$A$6:$J$7,2,TRUE))</f>
        <v>0</v>
      </c>
      <c r="K496" s="4">
        <f t="shared" si="382"/>
        <v>0</v>
      </c>
      <c r="L496" s="4">
        <f t="shared" si="350"/>
        <v>0</v>
      </c>
      <c r="M496" s="4">
        <f t="shared" si="383"/>
        <v>0</v>
      </c>
      <c r="N496">
        <f t="shared" si="384"/>
        <v>0</v>
      </c>
      <c r="O496" s="21">
        <f t="shared" si="385"/>
        <v>0</v>
      </c>
      <c r="P496">
        <f>IF(B496&gt;$AJ$2,0,HLOOKUP(C496,Assumptions!$A$12:$J$13,2,TRUE))</f>
        <v>0</v>
      </c>
      <c r="Q496">
        <f t="shared" si="386"/>
        <v>0</v>
      </c>
      <c r="R496">
        <f t="shared" si="351"/>
        <v>0</v>
      </c>
      <c r="S496">
        <f t="shared" si="387"/>
        <v>0</v>
      </c>
      <c r="T496">
        <f t="shared" si="388"/>
        <v>0</v>
      </c>
      <c r="U496">
        <f t="shared" si="352"/>
        <v>0</v>
      </c>
      <c r="V496">
        <f t="shared" si="353"/>
        <v>0</v>
      </c>
      <c r="W496">
        <f t="shared" si="354"/>
        <v>0</v>
      </c>
      <c r="X496">
        <f t="shared" si="389"/>
        <v>0</v>
      </c>
      <c r="Y496">
        <f t="shared" si="355"/>
        <v>0</v>
      </c>
      <c r="Z496">
        <f t="shared" si="356"/>
        <v>0</v>
      </c>
      <c r="AA496">
        <f t="shared" si="357"/>
        <v>0</v>
      </c>
      <c r="AB496">
        <f t="shared" si="358"/>
        <v>0</v>
      </c>
      <c r="AC496" s="23">
        <f>IF(B496&gt;$AJ$2,0,HLOOKUP(YEAR(A496),Assumptions!$A$25:$AL$29,4,TRUE)/100)</f>
        <v>0</v>
      </c>
      <c r="AD496">
        <f t="shared" si="359"/>
        <v>0</v>
      </c>
      <c r="AE496">
        <f t="shared" si="360"/>
        <v>0</v>
      </c>
      <c r="AF496">
        <f t="shared" si="361"/>
        <v>0</v>
      </c>
      <c r="AG496">
        <f t="shared" si="362"/>
        <v>0</v>
      </c>
      <c r="AH496">
        <f t="shared" si="363"/>
        <v>0</v>
      </c>
      <c r="AI496">
        <f t="shared" si="364"/>
        <v>0</v>
      </c>
      <c r="AJ496">
        <f t="shared" si="365"/>
        <v>0</v>
      </c>
      <c r="AK496">
        <f t="shared" si="390"/>
        <v>0</v>
      </c>
      <c r="AL496">
        <f t="shared" si="366"/>
        <v>0</v>
      </c>
      <c r="AM496">
        <f t="shared" si="348"/>
        <v>0</v>
      </c>
      <c r="AN496">
        <f>IF($S$2=0,0,(SUMPRODUCT($K$2:$R$2,Assumptions!$B$34:$I$34)/$U$2+$J$2/$U$2*Assumptions!$A$34*G496)*K496*O495)</f>
        <v>0</v>
      </c>
      <c r="AO496">
        <f t="shared" si="367"/>
        <v>0</v>
      </c>
      <c r="AP496">
        <f t="shared" si="368"/>
        <v>0</v>
      </c>
      <c r="AQ496">
        <f>IF(B496&gt;$AJ$2,0,AQ495*(1+Assumptions!$B$43)^(1/12))</f>
        <v>0</v>
      </c>
      <c r="AR496" s="27">
        <f>IF(B496&gt;$AJ$2,0,(O495+R495)*Assumptions!$B$39/12*AQ495+AV496*Assumptions!$B$41/12)</f>
        <v>0</v>
      </c>
      <c r="AS496">
        <f t="shared" si="369"/>
        <v>0</v>
      </c>
      <c r="AT496" s="28">
        <f t="shared" si="370"/>
        <v>0</v>
      </c>
      <c r="AU496">
        <f t="shared" si="371"/>
        <v>0</v>
      </c>
      <c r="AV496" s="28">
        <f t="shared" si="372"/>
        <v>0</v>
      </c>
      <c r="AW496" s="28">
        <f t="shared" si="373"/>
        <v>0</v>
      </c>
      <c r="AX496" s="23">
        <f>HLOOKUP(YEAR(A496),Assumptions!$A$25:$AL$29,2,TRUE)/100</f>
        <v>1.1332999999999999E-2</v>
      </c>
      <c r="AY496" s="29">
        <f>1/(1+HLOOKUP(YEAR(A496),Assumptions!$A$18:$AL$20,3,TRUE))^(1/12)</f>
        <v>0.99906100631170314</v>
      </c>
      <c r="AZ496" s="26">
        <f t="shared" si="374"/>
        <v>0</v>
      </c>
      <c r="BA496">
        <f t="shared" si="375"/>
        <v>0</v>
      </c>
      <c r="BB496">
        <f t="shared" si="376"/>
        <v>0</v>
      </c>
      <c r="BC496">
        <f t="shared" si="377"/>
        <v>0</v>
      </c>
    </row>
    <row r="497" spans="1:55" x14ac:dyDescent="0.2">
      <c r="A497" s="3">
        <f t="shared" si="349"/>
        <v>57891</v>
      </c>
      <c r="B497">
        <f t="shared" si="346"/>
        <v>499</v>
      </c>
      <c r="C497">
        <f t="shared" si="378"/>
        <v>41.5</v>
      </c>
      <c r="D497">
        <f t="shared" si="379"/>
        <v>0</v>
      </c>
      <c r="E497">
        <f t="shared" si="347"/>
        <v>97</v>
      </c>
      <c r="F497">
        <f>IF(C497&gt;=$T$2,0,VLOOKUP($E497,'Mortality Table'!$A$3:$C$128,2+AF$2,FALSE))</f>
        <v>0</v>
      </c>
      <c r="G497">
        <f>F497*Assumptions!$B$1</f>
        <v>0</v>
      </c>
      <c r="H497">
        <f t="shared" si="380"/>
        <v>0</v>
      </c>
      <c r="I497">
        <f t="shared" si="381"/>
        <v>0</v>
      </c>
      <c r="J497">
        <f>IF(B497&gt;$AJ$2,0,HLOOKUP(C497,Assumptions!$A$6:$J$7,2,TRUE))</f>
        <v>0</v>
      </c>
      <c r="K497" s="4">
        <f t="shared" si="382"/>
        <v>0</v>
      </c>
      <c r="L497" s="4">
        <f t="shared" si="350"/>
        <v>0</v>
      </c>
      <c r="M497" s="4">
        <f t="shared" si="383"/>
        <v>0</v>
      </c>
      <c r="N497">
        <f t="shared" si="384"/>
        <v>0</v>
      </c>
      <c r="O497" s="21">
        <f t="shared" si="385"/>
        <v>0</v>
      </c>
      <c r="P497">
        <f>IF(B497&gt;$AJ$2,0,HLOOKUP(C497,Assumptions!$A$12:$J$13,2,TRUE))</f>
        <v>0</v>
      </c>
      <c r="Q497">
        <f t="shared" si="386"/>
        <v>0</v>
      </c>
      <c r="R497">
        <f t="shared" si="351"/>
        <v>0</v>
      </c>
      <c r="S497">
        <f t="shared" si="387"/>
        <v>0</v>
      </c>
      <c r="T497">
        <f t="shared" si="388"/>
        <v>0</v>
      </c>
      <c r="U497">
        <f t="shared" si="352"/>
        <v>0</v>
      </c>
      <c r="V497">
        <f t="shared" si="353"/>
        <v>0</v>
      </c>
      <c r="W497">
        <f t="shared" si="354"/>
        <v>0</v>
      </c>
      <c r="X497">
        <f t="shared" si="389"/>
        <v>0</v>
      </c>
      <c r="Y497">
        <f t="shared" si="355"/>
        <v>0</v>
      </c>
      <c r="Z497">
        <f t="shared" si="356"/>
        <v>0</v>
      </c>
      <c r="AA497">
        <f t="shared" si="357"/>
        <v>0</v>
      </c>
      <c r="AB497">
        <f t="shared" si="358"/>
        <v>0</v>
      </c>
      <c r="AC497" s="23">
        <f>IF(B497&gt;$AJ$2,0,HLOOKUP(YEAR(A497),Assumptions!$A$25:$AL$29,4,TRUE)/100)</f>
        <v>0</v>
      </c>
      <c r="AD497">
        <f t="shared" si="359"/>
        <v>0</v>
      </c>
      <c r="AE497">
        <f t="shared" si="360"/>
        <v>0</v>
      </c>
      <c r="AF497">
        <f t="shared" si="361"/>
        <v>0</v>
      </c>
      <c r="AG497">
        <f t="shared" si="362"/>
        <v>0</v>
      </c>
      <c r="AH497">
        <f t="shared" si="363"/>
        <v>0</v>
      </c>
      <c r="AI497">
        <f t="shared" si="364"/>
        <v>0</v>
      </c>
      <c r="AJ497">
        <f t="shared" si="365"/>
        <v>0</v>
      </c>
      <c r="AK497">
        <f t="shared" si="390"/>
        <v>0</v>
      </c>
      <c r="AL497">
        <f t="shared" si="366"/>
        <v>0</v>
      </c>
      <c r="AM497">
        <f t="shared" si="348"/>
        <v>0</v>
      </c>
      <c r="AN497">
        <f>IF($S$2=0,0,(SUMPRODUCT($K$2:$R$2,Assumptions!$B$34:$I$34)/$U$2+$J$2/$U$2*Assumptions!$A$34*G497)*K497*O496)</f>
        <v>0</v>
      </c>
      <c r="AO497">
        <f t="shared" si="367"/>
        <v>0</v>
      </c>
      <c r="AP497">
        <f t="shared" si="368"/>
        <v>0</v>
      </c>
      <c r="AQ497">
        <f>IF(B497&gt;$AJ$2,0,AQ496*(1+Assumptions!$B$43)^(1/12))</f>
        <v>0</v>
      </c>
      <c r="AR497" s="27">
        <f>IF(B497&gt;$AJ$2,0,(O496+R496)*Assumptions!$B$39/12*AQ496+AV497*Assumptions!$B$41/12)</f>
        <v>0</v>
      </c>
      <c r="AS497">
        <f t="shared" si="369"/>
        <v>0</v>
      </c>
      <c r="AT497" s="28">
        <f t="shared" si="370"/>
        <v>0</v>
      </c>
      <c r="AU497">
        <f t="shared" si="371"/>
        <v>0</v>
      </c>
      <c r="AV497" s="28">
        <f t="shared" si="372"/>
        <v>0</v>
      </c>
      <c r="AW497" s="28">
        <f t="shared" si="373"/>
        <v>0</v>
      </c>
      <c r="AX497" s="23">
        <f>HLOOKUP(YEAR(A497),Assumptions!$A$25:$AL$29,2,TRUE)/100</f>
        <v>1.1332999999999999E-2</v>
      </c>
      <c r="AY497" s="29">
        <f>1/(1+HLOOKUP(YEAR(A497),Assumptions!$A$18:$AL$20,3,TRUE))^(1/12)</f>
        <v>0.99906100631170314</v>
      </c>
      <c r="AZ497" s="26">
        <f t="shared" si="374"/>
        <v>0</v>
      </c>
      <c r="BA497">
        <f t="shared" si="375"/>
        <v>0</v>
      </c>
      <c r="BB497">
        <f t="shared" si="376"/>
        <v>0</v>
      </c>
      <c r="BC497">
        <f t="shared" si="377"/>
        <v>0</v>
      </c>
    </row>
    <row r="498" spans="1:55" x14ac:dyDescent="0.2">
      <c r="A498" s="3">
        <f t="shared" si="349"/>
        <v>57922</v>
      </c>
      <c r="B498">
        <f t="shared" si="346"/>
        <v>500</v>
      </c>
      <c r="C498">
        <f t="shared" si="378"/>
        <v>41.583333333333336</v>
      </c>
      <c r="D498">
        <f t="shared" si="379"/>
        <v>0</v>
      </c>
      <c r="E498">
        <f t="shared" si="347"/>
        <v>97</v>
      </c>
      <c r="F498">
        <f>IF(C498&gt;=$T$2,0,VLOOKUP($E498,'Mortality Table'!$A$3:$C$128,2+AF$2,FALSE))</f>
        <v>0</v>
      </c>
      <c r="G498">
        <f>F498*Assumptions!$B$1</f>
        <v>0</v>
      </c>
      <c r="H498">
        <f t="shared" si="380"/>
        <v>0</v>
      </c>
      <c r="I498">
        <f t="shared" si="381"/>
        <v>0</v>
      </c>
      <c r="J498">
        <f>IF(B498&gt;$AJ$2,0,HLOOKUP(C498,Assumptions!$A$6:$J$7,2,TRUE))</f>
        <v>0</v>
      </c>
      <c r="K498" s="4">
        <f t="shared" si="382"/>
        <v>0</v>
      </c>
      <c r="L498" s="4">
        <f t="shared" si="350"/>
        <v>0</v>
      </c>
      <c r="M498" s="4">
        <f t="shared" si="383"/>
        <v>0</v>
      </c>
      <c r="N498">
        <f t="shared" si="384"/>
        <v>0</v>
      </c>
      <c r="O498" s="21">
        <f t="shared" si="385"/>
        <v>0</v>
      </c>
      <c r="P498">
        <f>IF(B498&gt;$AJ$2,0,HLOOKUP(C498,Assumptions!$A$12:$J$13,2,TRUE))</f>
        <v>0</v>
      </c>
      <c r="Q498">
        <f t="shared" si="386"/>
        <v>0</v>
      </c>
      <c r="R498">
        <f t="shared" si="351"/>
        <v>0</v>
      </c>
      <c r="S498">
        <f t="shared" si="387"/>
        <v>0</v>
      </c>
      <c r="T498">
        <f t="shared" si="388"/>
        <v>0</v>
      </c>
      <c r="U498">
        <f t="shared" si="352"/>
        <v>0</v>
      </c>
      <c r="V498">
        <f t="shared" si="353"/>
        <v>0</v>
      </c>
      <c r="W498">
        <f t="shared" si="354"/>
        <v>0</v>
      </c>
      <c r="X498">
        <f t="shared" si="389"/>
        <v>0</v>
      </c>
      <c r="Y498">
        <f t="shared" si="355"/>
        <v>0</v>
      </c>
      <c r="Z498">
        <f t="shared" si="356"/>
        <v>0</v>
      </c>
      <c r="AA498">
        <f t="shared" si="357"/>
        <v>0</v>
      </c>
      <c r="AB498">
        <f t="shared" si="358"/>
        <v>0</v>
      </c>
      <c r="AC498" s="23">
        <f>IF(B498&gt;$AJ$2,0,HLOOKUP(YEAR(A498),Assumptions!$A$25:$AL$29,4,TRUE)/100)</f>
        <v>0</v>
      </c>
      <c r="AD498">
        <f t="shared" si="359"/>
        <v>0</v>
      </c>
      <c r="AE498">
        <f t="shared" si="360"/>
        <v>0</v>
      </c>
      <c r="AF498">
        <f t="shared" si="361"/>
        <v>0</v>
      </c>
      <c r="AG498">
        <f t="shared" si="362"/>
        <v>0</v>
      </c>
      <c r="AH498">
        <f t="shared" si="363"/>
        <v>0</v>
      </c>
      <c r="AI498">
        <f t="shared" si="364"/>
        <v>0</v>
      </c>
      <c r="AJ498">
        <f t="shared" si="365"/>
        <v>0</v>
      </c>
      <c r="AK498">
        <f t="shared" si="390"/>
        <v>0</v>
      </c>
      <c r="AL498">
        <f t="shared" si="366"/>
        <v>0</v>
      </c>
      <c r="AM498">
        <f t="shared" si="348"/>
        <v>0</v>
      </c>
      <c r="AN498">
        <f>IF($S$2=0,0,(SUMPRODUCT($K$2:$R$2,Assumptions!$B$34:$I$34)/$U$2+$J$2/$U$2*Assumptions!$A$34*G498)*K498*O497)</f>
        <v>0</v>
      </c>
      <c r="AO498">
        <f t="shared" si="367"/>
        <v>0</v>
      </c>
      <c r="AP498">
        <f t="shared" si="368"/>
        <v>0</v>
      </c>
      <c r="AQ498">
        <f>IF(B498&gt;$AJ$2,0,AQ497*(1+Assumptions!$B$43)^(1/12))</f>
        <v>0</v>
      </c>
      <c r="AR498" s="27">
        <f>IF(B498&gt;$AJ$2,0,(O497+R497)*Assumptions!$B$39/12*AQ497+AV498*Assumptions!$B$41/12)</f>
        <v>0</v>
      </c>
      <c r="AS498">
        <f t="shared" si="369"/>
        <v>0</v>
      </c>
      <c r="AT498" s="28">
        <f t="shared" si="370"/>
        <v>0</v>
      </c>
      <c r="AU498">
        <f t="shared" si="371"/>
        <v>0</v>
      </c>
      <c r="AV498" s="28">
        <f t="shared" si="372"/>
        <v>0</v>
      </c>
      <c r="AW498" s="28">
        <f t="shared" si="373"/>
        <v>0</v>
      </c>
      <c r="AX498" s="23">
        <f>HLOOKUP(YEAR(A498),Assumptions!$A$25:$AL$29,2,TRUE)/100</f>
        <v>1.1332999999999999E-2</v>
      </c>
      <c r="AY498" s="29">
        <f>1/(1+HLOOKUP(YEAR(A498),Assumptions!$A$18:$AL$20,3,TRUE))^(1/12)</f>
        <v>0.99906100631170314</v>
      </c>
      <c r="AZ498" s="26">
        <f t="shared" si="374"/>
        <v>0</v>
      </c>
      <c r="BA498">
        <f t="shared" si="375"/>
        <v>0</v>
      </c>
      <c r="BB498">
        <f t="shared" si="376"/>
        <v>0</v>
      </c>
      <c r="BC498">
        <f t="shared" si="377"/>
        <v>0</v>
      </c>
    </row>
    <row r="499" spans="1:55" x14ac:dyDescent="0.2">
      <c r="A499" s="3">
        <f t="shared" si="349"/>
        <v>57953</v>
      </c>
      <c r="B499">
        <f t="shared" si="346"/>
        <v>501</v>
      </c>
      <c r="C499">
        <f t="shared" si="378"/>
        <v>41.666666666666664</v>
      </c>
      <c r="D499">
        <f t="shared" si="379"/>
        <v>0</v>
      </c>
      <c r="E499">
        <f t="shared" si="347"/>
        <v>97</v>
      </c>
      <c r="F499">
        <f>IF(C499&gt;=$T$2,0,VLOOKUP($E499,'Mortality Table'!$A$3:$C$128,2+AF$2,FALSE))</f>
        <v>0</v>
      </c>
      <c r="G499">
        <f>F499*Assumptions!$B$1</f>
        <v>0</v>
      </c>
      <c r="H499">
        <f t="shared" si="380"/>
        <v>0</v>
      </c>
      <c r="I499">
        <f t="shared" si="381"/>
        <v>0</v>
      </c>
      <c r="J499">
        <f>IF(B499&gt;$AJ$2,0,HLOOKUP(C499,Assumptions!$A$6:$J$7,2,TRUE))</f>
        <v>0</v>
      </c>
      <c r="K499" s="4">
        <f t="shared" si="382"/>
        <v>0</v>
      </c>
      <c r="L499" s="4">
        <f t="shared" si="350"/>
        <v>0</v>
      </c>
      <c r="M499" s="4">
        <f t="shared" si="383"/>
        <v>0</v>
      </c>
      <c r="N499">
        <f t="shared" si="384"/>
        <v>0</v>
      </c>
      <c r="O499" s="21">
        <f t="shared" si="385"/>
        <v>0</v>
      </c>
      <c r="P499">
        <f>IF(B499&gt;$AJ$2,0,HLOOKUP(C499,Assumptions!$A$12:$J$13,2,TRUE))</f>
        <v>0</v>
      </c>
      <c r="Q499">
        <f t="shared" si="386"/>
        <v>0</v>
      </c>
      <c r="R499">
        <f t="shared" si="351"/>
        <v>0</v>
      </c>
      <c r="S499">
        <f t="shared" si="387"/>
        <v>0</v>
      </c>
      <c r="T499">
        <f t="shared" si="388"/>
        <v>0</v>
      </c>
      <c r="U499">
        <f t="shared" si="352"/>
        <v>0</v>
      </c>
      <c r="V499">
        <f t="shared" si="353"/>
        <v>0</v>
      </c>
      <c r="W499">
        <f t="shared" si="354"/>
        <v>0</v>
      </c>
      <c r="X499">
        <f t="shared" si="389"/>
        <v>0</v>
      </c>
      <c r="Y499">
        <f t="shared" si="355"/>
        <v>0</v>
      </c>
      <c r="Z499">
        <f t="shared" si="356"/>
        <v>0</v>
      </c>
      <c r="AA499">
        <f t="shared" si="357"/>
        <v>0</v>
      </c>
      <c r="AB499">
        <f t="shared" si="358"/>
        <v>0</v>
      </c>
      <c r="AC499" s="23">
        <f>IF(B499&gt;$AJ$2,0,HLOOKUP(YEAR(A499),Assumptions!$A$25:$AL$29,4,TRUE)/100)</f>
        <v>0</v>
      </c>
      <c r="AD499">
        <f t="shared" si="359"/>
        <v>0</v>
      </c>
      <c r="AE499">
        <f t="shared" si="360"/>
        <v>0</v>
      </c>
      <c r="AF499">
        <f t="shared" si="361"/>
        <v>0</v>
      </c>
      <c r="AG499">
        <f t="shared" si="362"/>
        <v>0</v>
      </c>
      <c r="AH499">
        <f t="shared" si="363"/>
        <v>0</v>
      </c>
      <c r="AI499">
        <f t="shared" si="364"/>
        <v>0</v>
      </c>
      <c r="AJ499">
        <f t="shared" si="365"/>
        <v>0</v>
      </c>
      <c r="AK499">
        <f t="shared" si="390"/>
        <v>0</v>
      </c>
      <c r="AL499">
        <f t="shared" si="366"/>
        <v>0</v>
      </c>
      <c r="AM499">
        <f t="shared" si="348"/>
        <v>0</v>
      </c>
      <c r="AN499">
        <f>IF($S$2=0,0,(SUMPRODUCT($K$2:$R$2,Assumptions!$B$34:$I$34)/$U$2+$J$2/$U$2*Assumptions!$A$34*G499)*K499*O498)</f>
        <v>0</v>
      </c>
      <c r="AO499">
        <f t="shared" si="367"/>
        <v>0</v>
      </c>
      <c r="AP499">
        <f t="shared" si="368"/>
        <v>0</v>
      </c>
      <c r="AQ499">
        <f>IF(B499&gt;$AJ$2,0,AQ498*(1+Assumptions!$B$43)^(1/12))</f>
        <v>0</v>
      </c>
      <c r="AR499" s="27">
        <f>IF(B499&gt;$AJ$2,0,(O498+R498)*Assumptions!$B$39/12*AQ498+AV499*Assumptions!$B$41/12)</f>
        <v>0</v>
      </c>
      <c r="AS499">
        <f t="shared" si="369"/>
        <v>0</v>
      </c>
      <c r="AT499" s="28">
        <f t="shared" si="370"/>
        <v>0</v>
      </c>
      <c r="AU499">
        <f t="shared" si="371"/>
        <v>0</v>
      </c>
      <c r="AV499" s="28">
        <f t="shared" si="372"/>
        <v>0</v>
      </c>
      <c r="AW499" s="28">
        <f t="shared" si="373"/>
        <v>0</v>
      </c>
      <c r="AX499" s="23">
        <f>HLOOKUP(YEAR(A499),Assumptions!$A$25:$AL$29,2,TRUE)/100</f>
        <v>1.1332999999999999E-2</v>
      </c>
      <c r="AY499" s="29">
        <f>1/(1+HLOOKUP(YEAR(A499),Assumptions!$A$18:$AL$20,3,TRUE))^(1/12)</f>
        <v>0.99906100631170314</v>
      </c>
      <c r="AZ499" s="26">
        <f t="shared" si="374"/>
        <v>0</v>
      </c>
      <c r="BA499">
        <f t="shared" si="375"/>
        <v>0</v>
      </c>
      <c r="BB499">
        <f t="shared" si="376"/>
        <v>0</v>
      </c>
      <c r="BC499">
        <f t="shared" si="377"/>
        <v>0</v>
      </c>
    </row>
    <row r="500" spans="1:55" x14ac:dyDescent="0.2">
      <c r="A500" s="3">
        <f t="shared" si="349"/>
        <v>57983</v>
      </c>
      <c r="B500">
        <f t="shared" si="346"/>
        <v>502</v>
      </c>
      <c r="C500">
        <f t="shared" si="378"/>
        <v>41.75</v>
      </c>
      <c r="D500">
        <f t="shared" si="379"/>
        <v>0</v>
      </c>
      <c r="E500">
        <f t="shared" si="347"/>
        <v>97</v>
      </c>
      <c r="F500">
        <f>IF(C500&gt;=$T$2,0,VLOOKUP($E500,'Mortality Table'!$A$3:$C$128,2+AF$2,FALSE))</f>
        <v>0</v>
      </c>
      <c r="G500">
        <f>F500*Assumptions!$B$1</f>
        <v>0</v>
      </c>
      <c r="H500">
        <f t="shared" si="380"/>
        <v>0</v>
      </c>
      <c r="I500">
        <f t="shared" si="381"/>
        <v>0</v>
      </c>
      <c r="J500">
        <f>IF(B500&gt;$AJ$2,0,HLOOKUP(C500,Assumptions!$A$6:$J$7,2,TRUE))</f>
        <v>0</v>
      </c>
      <c r="K500" s="4">
        <f t="shared" si="382"/>
        <v>0</v>
      </c>
      <c r="L500" s="4">
        <f t="shared" si="350"/>
        <v>0</v>
      </c>
      <c r="M500" s="4">
        <f t="shared" si="383"/>
        <v>0</v>
      </c>
      <c r="N500">
        <f t="shared" si="384"/>
        <v>0</v>
      </c>
      <c r="O500" s="21">
        <f t="shared" si="385"/>
        <v>0</v>
      </c>
      <c r="P500">
        <f>IF(B500&gt;$AJ$2,0,HLOOKUP(C500,Assumptions!$A$12:$J$13,2,TRUE))</f>
        <v>0</v>
      </c>
      <c r="Q500">
        <f t="shared" si="386"/>
        <v>0</v>
      </c>
      <c r="R500">
        <f t="shared" si="351"/>
        <v>0</v>
      </c>
      <c r="S500">
        <f t="shared" si="387"/>
        <v>0</v>
      </c>
      <c r="T500">
        <f t="shared" si="388"/>
        <v>0</v>
      </c>
      <c r="U500">
        <f t="shared" si="352"/>
        <v>0</v>
      </c>
      <c r="V500">
        <f t="shared" si="353"/>
        <v>0</v>
      </c>
      <c r="W500">
        <f t="shared" si="354"/>
        <v>0</v>
      </c>
      <c r="X500">
        <f t="shared" si="389"/>
        <v>0</v>
      </c>
      <c r="Y500">
        <f t="shared" si="355"/>
        <v>0</v>
      </c>
      <c r="Z500">
        <f t="shared" si="356"/>
        <v>0</v>
      </c>
      <c r="AA500">
        <f t="shared" si="357"/>
        <v>0</v>
      </c>
      <c r="AB500">
        <f t="shared" si="358"/>
        <v>0</v>
      </c>
      <c r="AC500" s="23">
        <f>IF(B500&gt;$AJ$2,0,HLOOKUP(YEAR(A500),Assumptions!$A$25:$AL$29,4,TRUE)/100)</f>
        <v>0</v>
      </c>
      <c r="AD500">
        <f t="shared" si="359"/>
        <v>0</v>
      </c>
      <c r="AE500">
        <f t="shared" si="360"/>
        <v>0</v>
      </c>
      <c r="AF500">
        <f t="shared" si="361"/>
        <v>0</v>
      </c>
      <c r="AG500">
        <f t="shared" si="362"/>
        <v>0</v>
      </c>
      <c r="AH500">
        <f t="shared" si="363"/>
        <v>0</v>
      </c>
      <c r="AI500">
        <f t="shared" si="364"/>
        <v>0</v>
      </c>
      <c r="AJ500">
        <f t="shared" si="365"/>
        <v>0</v>
      </c>
      <c r="AK500">
        <f t="shared" si="390"/>
        <v>0</v>
      </c>
      <c r="AL500">
        <f t="shared" si="366"/>
        <v>0</v>
      </c>
      <c r="AM500">
        <f t="shared" si="348"/>
        <v>0</v>
      </c>
      <c r="AN500">
        <f>IF($S$2=0,0,(SUMPRODUCT($K$2:$R$2,Assumptions!$B$34:$I$34)/$U$2+$J$2/$U$2*Assumptions!$A$34*G500)*K500*O499)</f>
        <v>0</v>
      </c>
      <c r="AO500">
        <f t="shared" si="367"/>
        <v>0</v>
      </c>
      <c r="AP500">
        <f t="shared" si="368"/>
        <v>0</v>
      </c>
      <c r="AQ500">
        <f>IF(B500&gt;$AJ$2,0,AQ499*(1+Assumptions!$B$43)^(1/12))</f>
        <v>0</v>
      </c>
      <c r="AR500" s="27">
        <f>IF(B500&gt;$AJ$2,0,(O499+R499)*Assumptions!$B$39/12*AQ499+AV500*Assumptions!$B$41/12)</f>
        <v>0</v>
      </c>
      <c r="AS500">
        <f t="shared" si="369"/>
        <v>0</v>
      </c>
      <c r="AT500" s="28">
        <f t="shared" si="370"/>
        <v>0</v>
      </c>
      <c r="AU500">
        <f t="shared" si="371"/>
        <v>0</v>
      </c>
      <c r="AV500" s="28">
        <f t="shared" si="372"/>
        <v>0</v>
      </c>
      <c r="AW500" s="28">
        <f t="shared" si="373"/>
        <v>0</v>
      </c>
      <c r="AX500" s="23">
        <f>HLOOKUP(YEAR(A500),Assumptions!$A$25:$AL$29,2,TRUE)/100</f>
        <v>1.1332999999999999E-2</v>
      </c>
      <c r="AY500" s="29">
        <f>1/(1+HLOOKUP(YEAR(A500),Assumptions!$A$18:$AL$20,3,TRUE))^(1/12)</f>
        <v>0.99906100631170314</v>
      </c>
      <c r="AZ500" s="26">
        <f t="shared" si="374"/>
        <v>0</v>
      </c>
      <c r="BA500">
        <f t="shared" si="375"/>
        <v>0</v>
      </c>
      <c r="BB500">
        <f t="shared" si="376"/>
        <v>0</v>
      </c>
      <c r="BC500">
        <f t="shared" si="377"/>
        <v>0</v>
      </c>
    </row>
    <row r="501" spans="1:55" x14ac:dyDescent="0.2">
      <c r="A501" s="3">
        <f t="shared" si="349"/>
        <v>58014</v>
      </c>
      <c r="B501">
        <f t="shared" si="346"/>
        <v>503</v>
      </c>
      <c r="C501">
        <f t="shared" si="378"/>
        <v>41.833333333333336</v>
      </c>
      <c r="D501">
        <f t="shared" si="379"/>
        <v>0</v>
      </c>
      <c r="E501">
        <f t="shared" si="347"/>
        <v>97</v>
      </c>
      <c r="F501">
        <f>IF(C501&gt;=$T$2,0,VLOOKUP($E501,'Mortality Table'!$A$3:$C$128,2+AF$2,FALSE))</f>
        <v>0</v>
      </c>
      <c r="G501">
        <f>F501*Assumptions!$B$1</f>
        <v>0</v>
      </c>
      <c r="H501">
        <f t="shared" si="380"/>
        <v>0</v>
      </c>
      <c r="I501">
        <f t="shared" si="381"/>
        <v>0</v>
      </c>
      <c r="J501">
        <f>IF(B501&gt;$AJ$2,0,HLOOKUP(C501,Assumptions!$A$6:$J$7,2,TRUE))</f>
        <v>0</v>
      </c>
      <c r="K501" s="4">
        <f t="shared" si="382"/>
        <v>0</v>
      </c>
      <c r="L501" s="4">
        <f t="shared" si="350"/>
        <v>0</v>
      </c>
      <c r="M501" s="4">
        <f t="shared" si="383"/>
        <v>0</v>
      </c>
      <c r="N501">
        <f t="shared" si="384"/>
        <v>0</v>
      </c>
      <c r="O501" s="21">
        <f t="shared" si="385"/>
        <v>0</v>
      </c>
      <c r="P501">
        <f>IF(B501&gt;$AJ$2,0,HLOOKUP(C501,Assumptions!$A$12:$J$13,2,TRUE))</f>
        <v>0</v>
      </c>
      <c r="Q501">
        <f t="shared" si="386"/>
        <v>0</v>
      </c>
      <c r="R501">
        <f t="shared" si="351"/>
        <v>0</v>
      </c>
      <c r="S501">
        <f t="shared" si="387"/>
        <v>0</v>
      </c>
      <c r="T501">
        <f t="shared" si="388"/>
        <v>0</v>
      </c>
      <c r="U501">
        <f t="shared" si="352"/>
        <v>0</v>
      </c>
      <c r="V501">
        <f t="shared" si="353"/>
        <v>0</v>
      </c>
      <c r="W501">
        <f t="shared" si="354"/>
        <v>0</v>
      </c>
      <c r="X501">
        <f t="shared" si="389"/>
        <v>0</v>
      </c>
      <c r="Y501">
        <f t="shared" si="355"/>
        <v>0</v>
      </c>
      <c r="Z501">
        <f t="shared" si="356"/>
        <v>0</v>
      </c>
      <c r="AA501">
        <f t="shared" si="357"/>
        <v>0</v>
      </c>
      <c r="AB501">
        <f t="shared" si="358"/>
        <v>0</v>
      </c>
      <c r="AC501" s="23">
        <f>IF(B501&gt;$AJ$2,0,HLOOKUP(YEAR(A501),Assumptions!$A$25:$AL$29,4,TRUE)/100)</f>
        <v>0</v>
      </c>
      <c r="AD501">
        <f t="shared" si="359"/>
        <v>0</v>
      </c>
      <c r="AE501">
        <f t="shared" si="360"/>
        <v>0</v>
      </c>
      <c r="AF501">
        <f t="shared" si="361"/>
        <v>0</v>
      </c>
      <c r="AG501">
        <f t="shared" si="362"/>
        <v>0</v>
      </c>
      <c r="AH501">
        <f t="shared" si="363"/>
        <v>0</v>
      </c>
      <c r="AI501">
        <f t="shared" si="364"/>
        <v>0</v>
      </c>
      <c r="AJ501">
        <f t="shared" si="365"/>
        <v>0</v>
      </c>
      <c r="AK501">
        <f t="shared" si="390"/>
        <v>0</v>
      </c>
      <c r="AL501">
        <f t="shared" si="366"/>
        <v>0</v>
      </c>
      <c r="AM501">
        <f t="shared" si="348"/>
        <v>0</v>
      </c>
      <c r="AN501">
        <f>IF($S$2=0,0,(SUMPRODUCT($K$2:$R$2,Assumptions!$B$34:$I$34)/$U$2+$J$2/$U$2*Assumptions!$A$34*G501)*K501*O500)</f>
        <v>0</v>
      </c>
      <c r="AO501">
        <f t="shared" si="367"/>
        <v>0</v>
      </c>
      <c r="AP501">
        <f t="shared" si="368"/>
        <v>0</v>
      </c>
      <c r="AQ501">
        <f>IF(B501&gt;$AJ$2,0,AQ500*(1+Assumptions!$B$43)^(1/12))</f>
        <v>0</v>
      </c>
      <c r="AR501" s="27">
        <f>IF(B501&gt;$AJ$2,0,(O500+R500)*Assumptions!$B$39/12*AQ500+AV501*Assumptions!$B$41/12)</f>
        <v>0</v>
      </c>
      <c r="AS501">
        <f t="shared" si="369"/>
        <v>0</v>
      </c>
      <c r="AT501" s="28">
        <f t="shared" si="370"/>
        <v>0</v>
      </c>
      <c r="AU501">
        <f t="shared" si="371"/>
        <v>0</v>
      </c>
      <c r="AV501" s="28">
        <f t="shared" si="372"/>
        <v>0</v>
      </c>
      <c r="AW501" s="28">
        <f t="shared" si="373"/>
        <v>0</v>
      </c>
      <c r="AX501" s="23">
        <f>HLOOKUP(YEAR(A501),Assumptions!$A$25:$AL$29,2,TRUE)/100</f>
        <v>1.1332999999999999E-2</v>
      </c>
      <c r="AY501" s="29">
        <f>1/(1+HLOOKUP(YEAR(A501),Assumptions!$A$18:$AL$20,3,TRUE))^(1/12)</f>
        <v>0.99906100631170314</v>
      </c>
      <c r="AZ501" s="26">
        <f t="shared" si="374"/>
        <v>0</v>
      </c>
      <c r="BA501">
        <f t="shared" si="375"/>
        <v>0</v>
      </c>
      <c r="BB501">
        <f t="shared" si="376"/>
        <v>0</v>
      </c>
      <c r="BC501">
        <f t="shared" si="377"/>
        <v>0</v>
      </c>
    </row>
    <row r="502" spans="1:55" x14ac:dyDescent="0.2">
      <c r="A502" s="3">
        <f t="shared" si="349"/>
        <v>58044</v>
      </c>
      <c r="B502">
        <f t="shared" si="346"/>
        <v>504</v>
      </c>
      <c r="C502">
        <f t="shared" si="378"/>
        <v>41.916666666666664</v>
      </c>
      <c r="D502">
        <f t="shared" si="379"/>
        <v>0</v>
      </c>
      <c r="E502">
        <f t="shared" si="347"/>
        <v>97</v>
      </c>
      <c r="F502">
        <f>IF(C502&gt;=$T$2,0,VLOOKUP($E502,'Mortality Table'!$A$3:$C$128,2+AF$2,FALSE))</f>
        <v>0</v>
      </c>
      <c r="G502">
        <f>F502*Assumptions!$B$1</f>
        <v>0</v>
      </c>
      <c r="H502">
        <f t="shared" si="380"/>
        <v>0</v>
      </c>
      <c r="I502">
        <f t="shared" si="381"/>
        <v>0</v>
      </c>
      <c r="J502">
        <f>IF(B502&gt;$AJ$2,0,HLOOKUP(C502,Assumptions!$A$6:$J$7,2,TRUE))</f>
        <v>0</v>
      </c>
      <c r="K502" s="4">
        <f t="shared" si="382"/>
        <v>0</v>
      </c>
      <c r="L502" s="4">
        <f t="shared" si="350"/>
        <v>0</v>
      </c>
      <c r="M502" s="4">
        <f t="shared" si="383"/>
        <v>0</v>
      </c>
      <c r="N502">
        <f t="shared" si="384"/>
        <v>0</v>
      </c>
      <c r="O502" s="21">
        <f t="shared" si="385"/>
        <v>0</v>
      </c>
      <c r="P502">
        <f>IF(B502&gt;$AJ$2,0,HLOOKUP(C502,Assumptions!$A$12:$J$13,2,TRUE))</f>
        <v>0</v>
      </c>
      <c r="Q502">
        <f t="shared" si="386"/>
        <v>0</v>
      </c>
      <c r="R502">
        <f t="shared" si="351"/>
        <v>0</v>
      </c>
      <c r="S502">
        <f t="shared" si="387"/>
        <v>0</v>
      </c>
      <c r="T502">
        <f t="shared" si="388"/>
        <v>0</v>
      </c>
      <c r="U502">
        <f t="shared" si="352"/>
        <v>0</v>
      </c>
      <c r="V502">
        <f t="shared" si="353"/>
        <v>0</v>
      </c>
      <c r="W502">
        <f t="shared" si="354"/>
        <v>0</v>
      </c>
      <c r="X502">
        <f t="shared" si="389"/>
        <v>0</v>
      </c>
      <c r="Y502">
        <f t="shared" si="355"/>
        <v>0</v>
      </c>
      <c r="Z502">
        <f t="shared" si="356"/>
        <v>0</v>
      </c>
      <c r="AA502">
        <f t="shared" si="357"/>
        <v>0</v>
      </c>
      <c r="AB502">
        <f t="shared" si="358"/>
        <v>0</v>
      </c>
      <c r="AC502" s="23">
        <f>IF(B502&gt;$AJ$2,0,HLOOKUP(YEAR(A502),Assumptions!$A$25:$AL$29,4,TRUE)/100)</f>
        <v>0</v>
      </c>
      <c r="AD502">
        <f t="shared" si="359"/>
        <v>0</v>
      </c>
      <c r="AE502">
        <f t="shared" si="360"/>
        <v>0</v>
      </c>
      <c r="AF502">
        <f t="shared" si="361"/>
        <v>0</v>
      </c>
      <c r="AG502">
        <f t="shared" si="362"/>
        <v>0</v>
      </c>
      <c r="AH502">
        <f t="shared" si="363"/>
        <v>0</v>
      </c>
      <c r="AI502">
        <f t="shared" si="364"/>
        <v>0</v>
      </c>
      <c r="AJ502">
        <f t="shared" si="365"/>
        <v>0</v>
      </c>
      <c r="AK502">
        <f t="shared" si="390"/>
        <v>0</v>
      </c>
      <c r="AL502">
        <f t="shared" si="366"/>
        <v>0</v>
      </c>
      <c r="AM502">
        <f t="shared" si="348"/>
        <v>0</v>
      </c>
      <c r="AN502">
        <f>IF($S$2=0,0,(SUMPRODUCT($K$2:$R$2,Assumptions!$B$34:$I$34)/$U$2+$J$2/$U$2*Assumptions!$A$34*G502)*K502*O501)</f>
        <v>0</v>
      </c>
      <c r="AO502">
        <f t="shared" si="367"/>
        <v>0</v>
      </c>
      <c r="AP502">
        <f t="shared" si="368"/>
        <v>0</v>
      </c>
      <c r="AQ502">
        <f>IF(B502&gt;$AJ$2,0,AQ501*(1+Assumptions!$B$43)^(1/12))</f>
        <v>0</v>
      </c>
      <c r="AR502" s="27">
        <f>IF(B502&gt;$AJ$2,0,(O501+R501)*Assumptions!$B$39/12*AQ501+AV502*Assumptions!$B$41/12)</f>
        <v>0</v>
      </c>
      <c r="AS502">
        <f t="shared" si="369"/>
        <v>0</v>
      </c>
      <c r="AT502" s="28">
        <f t="shared" si="370"/>
        <v>0</v>
      </c>
      <c r="AU502">
        <f t="shared" si="371"/>
        <v>0</v>
      </c>
      <c r="AV502" s="28">
        <f t="shared" si="372"/>
        <v>0</v>
      </c>
      <c r="AW502" s="28">
        <f t="shared" si="373"/>
        <v>0</v>
      </c>
      <c r="AX502" s="23">
        <f>HLOOKUP(YEAR(A502),Assumptions!$A$25:$AL$29,2,TRUE)/100</f>
        <v>1.1332999999999999E-2</v>
      </c>
      <c r="AY502" s="29">
        <f>1/(1+HLOOKUP(YEAR(A502),Assumptions!$A$18:$AL$20,3,TRUE))^(1/12)</f>
        <v>0.99906100631170314</v>
      </c>
      <c r="AZ502" s="26">
        <f t="shared" si="374"/>
        <v>0</v>
      </c>
      <c r="BA502">
        <f t="shared" si="375"/>
        <v>0</v>
      </c>
      <c r="BB502">
        <f t="shared" si="376"/>
        <v>0</v>
      </c>
      <c r="BC502">
        <f t="shared" si="377"/>
        <v>0</v>
      </c>
    </row>
    <row r="503" spans="1:55" x14ac:dyDescent="0.2">
      <c r="A503" s="3">
        <f t="shared" si="349"/>
        <v>58075</v>
      </c>
      <c r="B503">
        <f t="shared" si="346"/>
        <v>505</v>
      </c>
      <c r="C503">
        <f t="shared" si="378"/>
        <v>42</v>
      </c>
      <c r="D503">
        <f t="shared" si="379"/>
        <v>1</v>
      </c>
      <c r="E503">
        <f t="shared" si="347"/>
        <v>98</v>
      </c>
      <c r="F503">
        <f>IF(C503&gt;=$T$2,0,VLOOKUP($E503,'Mortality Table'!$A$3:$C$128,2+AF$2,FALSE))</f>
        <v>0</v>
      </c>
      <c r="G503">
        <f>F503*Assumptions!$B$1</f>
        <v>0</v>
      </c>
      <c r="H503">
        <f t="shared" si="380"/>
        <v>0</v>
      </c>
      <c r="I503">
        <f t="shared" si="381"/>
        <v>0</v>
      </c>
      <c r="J503">
        <f>IF(B503&gt;$AJ$2,0,HLOOKUP(C503,Assumptions!$A$6:$J$7,2,TRUE))</f>
        <v>0</v>
      </c>
      <c r="K503" s="4">
        <f t="shared" si="382"/>
        <v>0</v>
      </c>
      <c r="L503" s="4">
        <f t="shared" si="350"/>
        <v>0</v>
      </c>
      <c r="M503" s="4">
        <f t="shared" si="383"/>
        <v>0</v>
      </c>
      <c r="N503">
        <f t="shared" si="384"/>
        <v>0</v>
      </c>
      <c r="O503" s="21">
        <f t="shared" si="385"/>
        <v>0</v>
      </c>
      <c r="P503">
        <f>IF(B503&gt;$AJ$2,0,HLOOKUP(C503,Assumptions!$A$12:$J$13,2,TRUE))</f>
        <v>0</v>
      </c>
      <c r="Q503">
        <f t="shared" si="386"/>
        <v>0</v>
      </c>
      <c r="R503">
        <f t="shared" si="351"/>
        <v>0</v>
      </c>
      <c r="S503">
        <f t="shared" si="387"/>
        <v>0</v>
      </c>
      <c r="T503">
        <f t="shared" si="388"/>
        <v>0</v>
      </c>
      <c r="U503">
        <f t="shared" si="352"/>
        <v>0</v>
      </c>
      <c r="V503">
        <f t="shared" si="353"/>
        <v>0</v>
      </c>
      <c r="W503">
        <f t="shared" si="354"/>
        <v>0</v>
      </c>
      <c r="X503">
        <f t="shared" si="389"/>
        <v>0</v>
      </c>
      <c r="Y503">
        <f t="shared" si="355"/>
        <v>0</v>
      </c>
      <c r="Z503">
        <f t="shared" si="356"/>
        <v>0</v>
      </c>
      <c r="AA503">
        <f t="shared" si="357"/>
        <v>0</v>
      </c>
      <c r="AB503">
        <f t="shared" si="358"/>
        <v>0</v>
      </c>
      <c r="AC503" s="23">
        <f>IF(B503&gt;$AJ$2,0,HLOOKUP(YEAR(A503),Assumptions!$A$25:$AL$29,4,TRUE)/100)</f>
        <v>0</v>
      </c>
      <c r="AD503">
        <f t="shared" si="359"/>
        <v>0</v>
      </c>
      <c r="AE503">
        <f t="shared" si="360"/>
        <v>0</v>
      </c>
      <c r="AF503">
        <f t="shared" si="361"/>
        <v>0</v>
      </c>
      <c r="AG503">
        <f t="shared" si="362"/>
        <v>0</v>
      </c>
      <c r="AH503">
        <f t="shared" si="363"/>
        <v>0</v>
      </c>
      <c r="AI503">
        <f t="shared" si="364"/>
        <v>0</v>
      </c>
      <c r="AJ503">
        <f t="shared" si="365"/>
        <v>0</v>
      </c>
      <c r="AK503">
        <f t="shared" si="390"/>
        <v>0</v>
      </c>
      <c r="AL503">
        <f t="shared" si="366"/>
        <v>0</v>
      </c>
      <c r="AM503">
        <f t="shared" si="348"/>
        <v>0</v>
      </c>
      <c r="AN503">
        <f>IF($S$2=0,0,(SUMPRODUCT($K$2:$R$2,Assumptions!$B$34:$I$34)/$U$2+$J$2/$U$2*Assumptions!$A$34*G503)*K503*O502)</f>
        <v>0</v>
      </c>
      <c r="AO503">
        <f t="shared" si="367"/>
        <v>0</v>
      </c>
      <c r="AP503">
        <f t="shared" si="368"/>
        <v>0</v>
      </c>
      <c r="AQ503">
        <f>IF(B503&gt;$AJ$2,0,AQ502*(1+Assumptions!$B$43)^(1/12))</f>
        <v>0</v>
      </c>
      <c r="AR503" s="27">
        <f>IF(B503&gt;$AJ$2,0,(O502+R502)*Assumptions!$B$39/12*AQ502+AV503*Assumptions!$B$41/12)</f>
        <v>0</v>
      </c>
      <c r="AS503">
        <f t="shared" si="369"/>
        <v>0</v>
      </c>
      <c r="AT503" s="28">
        <f t="shared" si="370"/>
        <v>0</v>
      </c>
      <c r="AU503">
        <f t="shared" si="371"/>
        <v>0</v>
      </c>
      <c r="AV503" s="28">
        <f t="shared" si="372"/>
        <v>0</v>
      </c>
      <c r="AW503" s="28">
        <f t="shared" si="373"/>
        <v>0</v>
      </c>
      <c r="AX503" s="23">
        <f>HLOOKUP(YEAR(A503),Assumptions!$A$25:$AL$29,2,TRUE)/100</f>
        <v>1.1332999999999999E-2</v>
      </c>
      <c r="AY503" s="29">
        <f>1/(1+HLOOKUP(YEAR(A503),Assumptions!$A$18:$AL$20,3,TRUE))^(1/12)</f>
        <v>0.99906100631170314</v>
      </c>
      <c r="AZ503" s="26">
        <f t="shared" si="374"/>
        <v>0</v>
      </c>
      <c r="BA503">
        <f t="shared" si="375"/>
        <v>0</v>
      </c>
      <c r="BB503">
        <f t="shared" si="376"/>
        <v>0</v>
      </c>
      <c r="BC503">
        <f t="shared" si="377"/>
        <v>0</v>
      </c>
    </row>
    <row r="504" spans="1:55" x14ac:dyDescent="0.2">
      <c r="A504" s="3">
        <f t="shared" si="349"/>
        <v>58106</v>
      </c>
      <c r="B504">
        <f t="shared" si="346"/>
        <v>506</v>
      </c>
      <c r="C504">
        <f t="shared" si="378"/>
        <v>42.083333333333336</v>
      </c>
      <c r="D504">
        <f t="shared" si="379"/>
        <v>0</v>
      </c>
      <c r="E504">
        <f t="shared" si="347"/>
        <v>98</v>
      </c>
      <c r="F504">
        <f>IF(C504&gt;=$T$2,0,VLOOKUP($E504,'Mortality Table'!$A$3:$C$128,2+AF$2,FALSE))</f>
        <v>0</v>
      </c>
      <c r="G504">
        <f>F504*Assumptions!$B$1</f>
        <v>0</v>
      </c>
      <c r="H504">
        <f t="shared" si="380"/>
        <v>0</v>
      </c>
      <c r="I504">
        <f t="shared" si="381"/>
        <v>0</v>
      </c>
      <c r="J504">
        <f>IF(B504&gt;$AJ$2,0,HLOOKUP(C504,Assumptions!$A$6:$J$7,2,TRUE))</f>
        <v>0</v>
      </c>
      <c r="K504" s="4">
        <f t="shared" si="382"/>
        <v>0</v>
      </c>
      <c r="L504" s="4">
        <f t="shared" si="350"/>
        <v>0</v>
      </c>
      <c r="M504" s="4">
        <f t="shared" si="383"/>
        <v>0</v>
      </c>
      <c r="N504">
        <f t="shared" si="384"/>
        <v>0</v>
      </c>
      <c r="O504" s="21">
        <f t="shared" si="385"/>
        <v>0</v>
      </c>
      <c r="P504">
        <f>IF(B504&gt;$AJ$2,0,HLOOKUP(C504,Assumptions!$A$12:$J$13,2,TRUE))</f>
        <v>0</v>
      </c>
      <c r="Q504">
        <f t="shared" si="386"/>
        <v>0</v>
      </c>
      <c r="R504">
        <f t="shared" si="351"/>
        <v>0</v>
      </c>
      <c r="S504">
        <f t="shared" si="387"/>
        <v>0</v>
      </c>
      <c r="T504">
        <f t="shared" si="388"/>
        <v>0</v>
      </c>
      <c r="U504">
        <f t="shared" si="352"/>
        <v>0</v>
      </c>
      <c r="V504">
        <f t="shared" si="353"/>
        <v>0</v>
      </c>
      <c r="W504">
        <f t="shared" si="354"/>
        <v>0</v>
      </c>
      <c r="X504">
        <f t="shared" si="389"/>
        <v>0</v>
      </c>
      <c r="Y504">
        <f t="shared" si="355"/>
        <v>0</v>
      </c>
      <c r="Z504">
        <f t="shared" si="356"/>
        <v>0</v>
      </c>
      <c r="AA504">
        <f t="shared" si="357"/>
        <v>0</v>
      </c>
      <c r="AB504">
        <f t="shared" si="358"/>
        <v>0</v>
      </c>
      <c r="AC504" s="23">
        <f>IF(B504&gt;$AJ$2,0,HLOOKUP(YEAR(A504),Assumptions!$A$25:$AL$29,4,TRUE)/100)</f>
        <v>0</v>
      </c>
      <c r="AD504">
        <f t="shared" si="359"/>
        <v>0</v>
      </c>
      <c r="AE504">
        <f t="shared" si="360"/>
        <v>0</v>
      </c>
      <c r="AF504">
        <f t="shared" si="361"/>
        <v>0</v>
      </c>
      <c r="AG504">
        <f t="shared" si="362"/>
        <v>0</v>
      </c>
      <c r="AH504">
        <f t="shared" si="363"/>
        <v>0</v>
      </c>
      <c r="AI504">
        <f t="shared" si="364"/>
        <v>0</v>
      </c>
      <c r="AJ504">
        <f t="shared" si="365"/>
        <v>0</v>
      </c>
      <c r="AK504">
        <f t="shared" si="390"/>
        <v>0</v>
      </c>
      <c r="AL504">
        <f t="shared" si="366"/>
        <v>0</v>
      </c>
      <c r="AM504">
        <f t="shared" si="348"/>
        <v>0</v>
      </c>
      <c r="AN504">
        <f>IF($S$2=0,0,(SUMPRODUCT($K$2:$R$2,Assumptions!$B$34:$I$34)/$U$2+$J$2/$U$2*Assumptions!$A$34*G504)*K504*O503)</f>
        <v>0</v>
      </c>
      <c r="AO504">
        <f t="shared" si="367"/>
        <v>0</v>
      </c>
      <c r="AP504">
        <f t="shared" si="368"/>
        <v>0</v>
      </c>
      <c r="AQ504">
        <f>IF(B504&gt;$AJ$2,0,AQ503*(1+Assumptions!$B$43)^(1/12))</f>
        <v>0</v>
      </c>
      <c r="AR504" s="27">
        <f>IF(B504&gt;$AJ$2,0,(O503+R503)*Assumptions!$B$39/12*AQ503+AV504*Assumptions!$B$41/12)</f>
        <v>0</v>
      </c>
      <c r="AS504">
        <f t="shared" si="369"/>
        <v>0</v>
      </c>
      <c r="AT504" s="28">
        <f t="shared" si="370"/>
        <v>0</v>
      </c>
      <c r="AU504">
        <f t="shared" si="371"/>
        <v>0</v>
      </c>
      <c r="AV504" s="28">
        <f t="shared" si="372"/>
        <v>0</v>
      </c>
      <c r="AW504" s="28">
        <f t="shared" si="373"/>
        <v>0</v>
      </c>
      <c r="AX504" s="23">
        <f>HLOOKUP(YEAR(A504),Assumptions!$A$25:$AL$29,2,TRUE)/100</f>
        <v>1.1332999999999999E-2</v>
      </c>
      <c r="AY504" s="29">
        <f>1/(1+HLOOKUP(YEAR(A504),Assumptions!$A$18:$AL$20,3,TRUE))^(1/12)</f>
        <v>0.99906100631170314</v>
      </c>
      <c r="AZ504" s="26">
        <f t="shared" si="374"/>
        <v>0</v>
      </c>
      <c r="BA504">
        <f t="shared" si="375"/>
        <v>0</v>
      </c>
      <c r="BB504">
        <f t="shared" si="376"/>
        <v>0</v>
      </c>
      <c r="BC504">
        <f t="shared" si="377"/>
        <v>0</v>
      </c>
    </row>
    <row r="505" spans="1:55" x14ac:dyDescent="0.2">
      <c r="A505" s="3">
        <f t="shared" si="349"/>
        <v>58134</v>
      </c>
      <c r="B505">
        <f t="shared" si="346"/>
        <v>507</v>
      </c>
      <c r="C505">
        <f t="shared" si="378"/>
        <v>42.166666666666664</v>
      </c>
      <c r="D505">
        <f t="shared" si="379"/>
        <v>0</v>
      </c>
      <c r="E505">
        <f t="shared" si="347"/>
        <v>98</v>
      </c>
      <c r="F505">
        <f>IF(C505&gt;=$T$2,0,VLOOKUP($E505,'Mortality Table'!$A$3:$C$128,2+AF$2,FALSE))</f>
        <v>0</v>
      </c>
      <c r="G505">
        <f>F505*Assumptions!$B$1</f>
        <v>0</v>
      </c>
      <c r="H505">
        <f t="shared" si="380"/>
        <v>0</v>
      </c>
      <c r="I505">
        <f t="shared" si="381"/>
        <v>0</v>
      </c>
      <c r="J505">
        <f>IF(B505&gt;$AJ$2,0,HLOOKUP(C505,Assumptions!$A$6:$J$7,2,TRUE))</f>
        <v>0</v>
      </c>
      <c r="K505" s="4">
        <f t="shared" si="382"/>
        <v>0</v>
      </c>
      <c r="L505" s="4">
        <f t="shared" si="350"/>
        <v>0</v>
      </c>
      <c r="M505" s="4">
        <f t="shared" si="383"/>
        <v>0</v>
      </c>
      <c r="N505">
        <f t="shared" si="384"/>
        <v>0</v>
      </c>
      <c r="O505" s="21">
        <f t="shared" si="385"/>
        <v>0</v>
      </c>
      <c r="P505">
        <f>IF(B505&gt;$AJ$2,0,HLOOKUP(C505,Assumptions!$A$12:$J$13,2,TRUE))</f>
        <v>0</v>
      </c>
      <c r="Q505">
        <f t="shared" si="386"/>
        <v>0</v>
      </c>
      <c r="R505">
        <f t="shared" si="351"/>
        <v>0</v>
      </c>
      <c r="S505">
        <f t="shared" si="387"/>
        <v>0</v>
      </c>
      <c r="T505">
        <f t="shared" si="388"/>
        <v>0</v>
      </c>
      <c r="U505">
        <f t="shared" si="352"/>
        <v>0</v>
      </c>
      <c r="V505">
        <f t="shared" si="353"/>
        <v>0</v>
      </c>
      <c r="W505">
        <f t="shared" si="354"/>
        <v>0</v>
      </c>
      <c r="X505">
        <f t="shared" si="389"/>
        <v>0</v>
      </c>
      <c r="Y505">
        <f t="shared" si="355"/>
        <v>0</v>
      </c>
      <c r="Z505">
        <f t="shared" si="356"/>
        <v>0</v>
      </c>
      <c r="AA505">
        <f t="shared" si="357"/>
        <v>0</v>
      </c>
      <c r="AB505">
        <f t="shared" si="358"/>
        <v>0</v>
      </c>
      <c r="AC505" s="23">
        <f>IF(B505&gt;$AJ$2,0,HLOOKUP(YEAR(A505),Assumptions!$A$25:$AL$29,4,TRUE)/100)</f>
        <v>0</v>
      </c>
      <c r="AD505">
        <f t="shared" si="359"/>
        <v>0</v>
      </c>
      <c r="AE505">
        <f t="shared" si="360"/>
        <v>0</v>
      </c>
      <c r="AF505">
        <f t="shared" si="361"/>
        <v>0</v>
      </c>
      <c r="AG505">
        <f t="shared" si="362"/>
        <v>0</v>
      </c>
      <c r="AH505">
        <f t="shared" si="363"/>
        <v>0</v>
      </c>
      <c r="AI505">
        <f t="shared" si="364"/>
        <v>0</v>
      </c>
      <c r="AJ505">
        <f t="shared" si="365"/>
        <v>0</v>
      </c>
      <c r="AK505">
        <f t="shared" si="390"/>
        <v>0</v>
      </c>
      <c r="AL505">
        <f t="shared" si="366"/>
        <v>0</v>
      </c>
      <c r="AM505">
        <f t="shared" si="348"/>
        <v>0</v>
      </c>
      <c r="AN505">
        <f>IF($S$2=0,0,(SUMPRODUCT($K$2:$R$2,Assumptions!$B$34:$I$34)/$U$2+$J$2/$U$2*Assumptions!$A$34*G505)*K505*O504)</f>
        <v>0</v>
      </c>
      <c r="AO505">
        <f t="shared" si="367"/>
        <v>0</v>
      </c>
      <c r="AP505">
        <f t="shared" si="368"/>
        <v>0</v>
      </c>
      <c r="AQ505">
        <f>IF(B505&gt;$AJ$2,0,AQ504*(1+Assumptions!$B$43)^(1/12))</f>
        <v>0</v>
      </c>
      <c r="AR505" s="27">
        <f>IF(B505&gt;$AJ$2,0,(O504+R504)*Assumptions!$B$39/12*AQ504+AV505*Assumptions!$B$41/12)</f>
        <v>0</v>
      </c>
      <c r="AS505">
        <f t="shared" si="369"/>
        <v>0</v>
      </c>
      <c r="AT505" s="28">
        <f t="shared" si="370"/>
        <v>0</v>
      </c>
      <c r="AU505">
        <f t="shared" si="371"/>
        <v>0</v>
      </c>
      <c r="AV505" s="28">
        <f t="shared" si="372"/>
        <v>0</v>
      </c>
      <c r="AW505" s="28">
        <f t="shared" si="373"/>
        <v>0</v>
      </c>
      <c r="AX505" s="23">
        <f>HLOOKUP(YEAR(A505),Assumptions!$A$25:$AL$29,2,TRUE)/100</f>
        <v>1.1332999999999999E-2</v>
      </c>
      <c r="AY505" s="29">
        <f>1/(1+HLOOKUP(YEAR(A505),Assumptions!$A$18:$AL$20,3,TRUE))^(1/12)</f>
        <v>0.99906100631170314</v>
      </c>
      <c r="AZ505" s="26">
        <f t="shared" si="374"/>
        <v>0</v>
      </c>
      <c r="BA505">
        <f t="shared" si="375"/>
        <v>0</v>
      </c>
      <c r="BB505">
        <f t="shared" si="376"/>
        <v>0</v>
      </c>
      <c r="BC505">
        <f t="shared" si="377"/>
        <v>0</v>
      </c>
    </row>
    <row r="506" spans="1:55" x14ac:dyDescent="0.2">
      <c r="A506" s="3">
        <f t="shared" si="349"/>
        <v>58165</v>
      </c>
      <c r="B506">
        <f t="shared" si="346"/>
        <v>508</v>
      </c>
      <c r="C506">
        <f t="shared" si="378"/>
        <v>42.25</v>
      </c>
      <c r="D506">
        <f t="shared" si="379"/>
        <v>0</v>
      </c>
      <c r="E506">
        <f t="shared" si="347"/>
        <v>98</v>
      </c>
      <c r="F506">
        <f>IF(C506&gt;=$T$2,0,VLOOKUP($E506,'Mortality Table'!$A$3:$C$128,2+AF$2,FALSE))</f>
        <v>0</v>
      </c>
      <c r="G506">
        <f>F506*Assumptions!$B$1</f>
        <v>0</v>
      </c>
      <c r="H506">
        <f t="shared" si="380"/>
        <v>0</v>
      </c>
      <c r="I506">
        <f t="shared" si="381"/>
        <v>0</v>
      </c>
      <c r="J506">
        <f>IF(B506&gt;$AJ$2,0,HLOOKUP(C506,Assumptions!$A$6:$J$7,2,TRUE))</f>
        <v>0</v>
      </c>
      <c r="K506" s="4">
        <f t="shared" si="382"/>
        <v>0</v>
      </c>
      <c r="L506" s="4">
        <f t="shared" si="350"/>
        <v>0</v>
      </c>
      <c r="M506" s="4">
        <f t="shared" si="383"/>
        <v>0</v>
      </c>
      <c r="N506">
        <f t="shared" si="384"/>
        <v>0</v>
      </c>
      <c r="O506" s="21">
        <f t="shared" si="385"/>
        <v>0</v>
      </c>
      <c r="P506">
        <f>IF(B506&gt;$AJ$2,0,HLOOKUP(C506,Assumptions!$A$12:$J$13,2,TRUE))</f>
        <v>0</v>
      </c>
      <c r="Q506">
        <f t="shared" si="386"/>
        <v>0</v>
      </c>
      <c r="R506">
        <f t="shared" si="351"/>
        <v>0</v>
      </c>
      <c r="S506">
        <f t="shared" si="387"/>
        <v>0</v>
      </c>
      <c r="T506">
        <f t="shared" si="388"/>
        <v>0</v>
      </c>
      <c r="U506">
        <f t="shared" si="352"/>
        <v>0</v>
      </c>
      <c r="V506">
        <f t="shared" si="353"/>
        <v>0</v>
      </c>
      <c r="W506">
        <f t="shared" si="354"/>
        <v>0</v>
      </c>
      <c r="X506">
        <f t="shared" si="389"/>
        <v>0</v>
      </c>
      <c r="Y506">
        <f t="shared" si="355"/>
        <v>0</v>
      </c>
      <c r="Z506">
        <f t="shared" si="356"/>
        <v>0</v>
      </c>
      <c r="AA506">
        <f t="shared" si="357"/>
        <v>0</v>
      </c>
      <c r="AB506">
        <f t="shared" si="358"/>
        <v>0</v>
      </c>
      <c r="AC506" s="23">
        <f>IF(B506&gt;$AJ$2,0,HLOOKUP(YEAR(A506),Assumptions!$A$25:$AL$29,4,TRUE)/100)</f>
        <v>0</v>
      </c>
      <c r="AD506">
        <f t="shared" si="359"/>
        <v>0</v>
      </c>
      <c r="AE506">
        <f t="shared" si="360"/>
        <v>0</v>
      </c>
      <c r="AF506">
        <f t="shared" si="361"/>
        <v>0</v>
      </c>
      <c r="AG506">
        <f t="shared" si="362"/>
        <v>0</v>
      </c>
      <c r="AH506">
        <f t="shared" si="363"/>
        <v>0</v>
      </c>
      <c r="AI506">
        <f t="shared" si="364"/>
        <v>0</v>
      </c>
      <c r="AJ506">
        <f t="shared" si="365"/>
        <v>0</v>
      </c>
      <c r="AK506">
        <f t="shared" si="390"/>
        <v>0</v>
      </c>
      <c r="AL506">
        <f t="shared" si="366"/>
        <v>0</v>
      </c>
      <c r="AM506">
        <f t="shared" si="348"/>
        <v>0</v>
      </c>
      <c r="AN506">
        <f>IF($S$2=0,0,(SUMPRODUCT($K$2:$R$2,Assumptions!$B$34:$I$34)/$U$2+$J$2/$U$2*Assumptions!$A$34*G506)*K506*O505)</f>
        <v>0</v>
      </c>
      <c r="AO506">
        <f t="shared" si="367"/>
        <v>0</v>
      </c>
      <c r="AP506">
        <f t="shared" si="368"/>
        <v>0</v>
      </c>
      <c r="AQ506">
        <f>IF(B506&gt;$AJ$2,0,AQ505*(1+Assumptions!$B$43)^(1/12))</f>
        <v>0</v>
      </c>
      <c r="AR506" s="27">
        <f>IF(B506&gt;$AJ$2,0,(O505+R505)*Assumptions!$B$39/12*AQ505+AV506*Assumptions!$B$41/12)</f>
        <v>0</v>
      </c>
      <c r="AS506">
        <f t="shared" si="369"/>
        <v>0</v>
      </c>
      <c r="AT506" s="28">
        <f t="shared" si="370"/>
        <v>0</v>
      </c>
      <c r="AU506">
        <f t="shared" si="371"/>
        <v>0</v>
      </c>
      <c r="AV506" s="28">
        <f t="shared" si="372"/>
        <v>0</v>
      </c>
      <c r="AW506" s="28">
        <f t="shared" si="373"/>
        <v>0</v>
      </c>
      <c r="AX506" s="23">
        <f>HLOOKUP(YEAR(A506),Assumptions!$A$25:$AL$29,2,TRUE)/100</f>
        <v>1.1332999999999999E-2</v>
      </c>
      <c r="AY506" s="29">
        <f>1/(1+HLOOKUP(YEAR(A506),Assumptions!$A$18:$AL$20,3,TRUE))^(1/12)</f>
        <v>0.99906100631170314</v>
      </c>
      <c r="AZ506" s="26">
        <f t="shared" si="374"/>
        <v>0</v>
      </c>
      <c r="BA506">
        <f t="shared" si="375"/>
        <v>0</v>
      </c>
      <c r="BB506">
        <f t="shared" si="376"/>
        <v>0</v>
      </c>
      <c r="BC506">
        <f t="shared" si="377"/>
        <v>0</v>
      </c>
    </row>
    <row r="507" spans="1:55" x14ac:dyDescent="0.2">
      <c r="A507" s="3">
        <f t="shared" si="349"/>
        <v>58195</v>
      </c>
      <c r="B507">
        <f t="shared" si="346"/>
        <v>509</v>
      </c>
      <c r="C507">
        <f t="shared" si="378"/>
        <v>42.333333333333336</v>
      </c>
      <c r="D507">
        <f t="shared" si="379"/>
        <v>0</v>
      </c>
      <c r="E507">
        <f t="shared" si="347"/>
        <v>98</v>
      </c>
      <c r="F507">
        <f>IF(C507&gt;=$T$2,0,VLOOKUP($E507,'Mortality Table'!$A$3:$C$128,2+AF$2,FALSE))</f>
        <v>0</v>
      </c>
      <c r="G507">
        <f>F507*Assumptions!$B$1</f>
        <v>0</v>
      </c>
      <c r="H507">
        <f t="shared" si="380"/>
        <v>0</v>
      </c>
      <c r="I507">
        <f t="shared" si="381"/>
        <v>0</v>
      </c>
      <c r="J507">
        <f>IF(B507&gt;$AJ$2,0,HLOOKUP(C507,Assumptions!$A$6:$J$7,2,TRUE))</f>
        <v>0</v>
      </c>
      <c r="K507" s="4">
        <f t="shared" si="382"/>
        <v>0</v>
      </c>
      <c r="L507" s="4">
        <f t="shared" si="350"/>
        <v>0</v>
      </c>
      <c r="M507" s="4">
        <f t="shared" si="383"/>
        <v>0</v>
      </c>
      <c r="N507">
        <f t="shared" si="384"/>
        <v>0</v>
      </c>
      <c r="O507" s="21">
        <f t="shared" si="385"/>
        <v>0</v>
      </c>
      <c r="P507">
        <f>IF(B507&gt;$AJ$2,0,HLOOKUP(C507,Assumptions!$A$12:$J$13,2,TRUE))</f>
        <v>0</v>
      </c>
      <c r="Q507">
        <f t="shared" si="386"/>
        <v>0</v>
      </c>
      <c r="R507">
        <f t="shared" si="351"/>
        <v>0</v>
      </c>
      <c r="S507">
        <f t="shared" si="387"/>
        <v>0</v>
      </c>
      <c r="T507">
        <f t="shared" si="388"/>
        <v>0</v>
      </c>
      <c r="U507">
        <f t="shared" si="352"/>
        <v>0</v>
      </c>
      <c r="V507">
        <f t="shared" si="353"/>
        <v>0</v>
      </c>
      <c r="W507">
        <f t="shared" si="354"/>
        <v>0</v>
      </c>
      <c r="X507">
        <f t="shared" si="389"/>
        <v>0</v>
      </c>
      <c r="Y507">
        <f t="shared" si="355"/>
        <v>0</v>
      </c>
      <c r="Z507">
        <f t="shared" si="356"/>
        <v>0</v>
      </c>
      <c r="AA507">
        <f t="shared" si="357"/>
        <v>0</v>
      </c>
      <c r="AB507">
        <f t="shared" si="358"/>
        <v>0</v>
      </c>
      <c r="AC507" s="23">
        <f>IF(B507&gt;$AJ$2,0,HLOOKUP(YEAR(A507),Assumptions!$A$25:$AL$29,4,TRUE)/100)</f>
        <v>0</v>
      </c>
      <c r="AD507">
        <f t="shared" si="359"/>
        <v>0</v>
      </c>
      <c r="AE507">
        <f t="shared" si="360"/>
        <v>0</v>
      </c>
      <c r="AF507">
        <f t="shared" si="361"/>
        <v>0</v>
      </c>
      <c r="AG507">
        <f t="shared" si="362"/>
        <v>0</v>
      </c>
      <c r="AH507">
        <f t="shared" si="363"/>
        <v>0</v>
      </c>
      <c r="AI507">
        <f t="shared" si="364"/>
        <v>0</v>
      </c>
      <c r="AJ507">
        <f t="shared" si="365"/>
        <v>0</v>
      </c>
      <c r="AK507">
        <f t="shared" si="390"/>
        <v>0</v>
      </c>
      <c r="AL507">
        <f t="shared" si="366"/>
        <v>0</v>
      </c>
      <c r="AM507">
        <f t="shared" si="348"/>
        <v>0</v>
      </c>
      <c r="AN507">
        <f>IF($S$2=0,0,(SUMPRODUCT($K$2:$R$2,Assumptions!$B$34:$I$34)/$U$2+$J$2/$U$2*Assumptions!$A$34*G507)*K507*O506)</f>
        <v>0</v>
      </c>
      <c r="AO507">
        <f t="shared" si="367"/>
        <v>0</v>
      </c>
      <c r="AP507">
        <f t="shared" si="368"/>
        <v>0</v>
      </c>
      <c r="AQ507">
        <f>IF(B507&gt;$AJ$2,0,AQ506*(1+Assumptions!$B$43)^(1/12))</f>
        <v>0</v>
      </c>
      <c r="AR507" s="27">
        <f>IF(B507&gt;$AJ$2,0,(O506+R506)*Assumptions!$B$39/12*AQ506+AV507*Assumptions!$B$41/12)</f>
        <v>0</v>
      </c>
      <c r="AS507">
        <f t="shared" si="369"/>
        <v>0</v>
      </c>
      <c r="AT507" s="28">
        <f t="shared" si="370"/>
        <v>0</v>
      </c>
      <c r="AU507">
        <f t="shared" si="371"/>
        <v>0</v>
      </c>
      <c r="AV507" s="28">
        <f t="shared" si="372"/>
        <v>0</v>
      </c>
      <c r="AW507" s="28">
        <f t="shared" si="373"/>
        <v>0</v>
      </c>
      <c r="AX507" s="23">
        <f>HLOOKUP(YEAR(A507),Assumptions!$A$25:$AL$29,2,TRUE)/100</f>
        <v>1.1332999999999999E-2</v>
      </c>
      <c r="AY507" s="29">
        <f>1/(1+HLOOKUP(YEAR(A507),Assumptions!$A$18:$AL$20,3,TRUE))^(1/12)</f>
        <v>0.99906100631170314</v>
      </c>
      <c r="AZ507" s="26">
        <f t="shared" si="374"/>
        <v>0</v>
      </c>
      <c r="BA507">
        <f t="shared" si="375"/>
        <v>0</v>
      </c>
      <c r="BB507">
        <f t="shared" si="376"/>
        <v>0</v>
      </c>
      <c r="BC507">
        <f t="shared" si="377"/>
        <v>0</v>
      </c>
    </row>
    <row r="508" spans="1:55" x14ac:dyDescent="0.2">
      <c r="A508" s="3">
        <f t="shared" si="349"/>
        <v>58226</v>
      </c>
      <c r="B508">
        <f t="shared" si="346"/>
        <v>510</v>
      </c>
      <c r="C508">
        <f t="shared" si="378"/>
        <v>42.416666666666664</v>
      </c>
      <c r="D508">
        <f t="shared" si="379"/>
        <v>0</v>
      </c>
      <c r="E508">
        <f t="shared" si="347"/>
        <v>98</v>
      </c>
      <c r="F508">
        <f>IF(C508&gt;=$T$2,0,VLOOKUP($E508,'Mortality Table'!$A$3:$C$128,2+AF$2,FALSE))</f>
        <v>0</v>
      </c>
      <c r="G508">
        <f>F508*Assumptions!$B$1</f>
        <v>0</v>
      </c>
      <c r="H508">
        <f t="shared" si="380"/>
        <v>0</v>
      </c>
      <c r="I508">
        <f t="shared" si="381"/>
        <v>0</v>
      </c>
      <c r="J508">
        <f>IF(B508&gt;$AJ$2,0,HLOOKUP(C508,Assumptions!$A$6:$J$7,2,TRUE))</f>
        <v>0</v>
      </c>
      <c r="K508" s="4">
        <f t="shared" si="382"/>
        <v>0</v>
      </c>
      <c r="L508" s="4">
        <f t="shared" si="350"/>
        <v>0</v>
      </c>
      <c r="M508" s="4">
        <f t="shared" si="383"/>
        <v>0</v>
      </c>
      <c r="N508">
        <f t="shared" si="384"/>
        <v>0</v>
      </c>
      <c r="O508" s="21">
        <f t="shared" si="385"/>
        <v>0</v>
      </c>
      <c r="P508">
        <f>IF(B508&gt;$AJ$2,0,HLOOKUP(C508,Assumptions!$A$12:$J$13,2,TRUE))</f>
        <v>0</v>
      </c>
      <c r="Q508">
        <f t="shared" si="386"/>
        <v>0</v>
      </c>
      <c r="R508">
        <f t="shared" si="351"/>
        <v>0</v>
      </c>
      <c r="S508">
        <f t="shared" si="387"/>
        <v>0</v>
      </c>
      <c r="T508">
        <f t="shared" si="388"/>
        <v>0</v>
      </c>
      <c r="U508">
        <f t="shared" si="352"/>
        <v>0</v>
      </c>
      <c r="V508">
        <f t="shared" si="353"/>
        <v>0</v>
      </c>
      <c r="W508">
        <f t="shared" si="354"/>
        <v>0</v>
      </c>
      <c r="X508">
        <f t="shared" si="389"/>
        <v>0</v>
      </c>
      <c r="Y508">
        <f t="shared" si="355"/>
        <v>0</v>
      </c>
      <c r="Z508">
        <f t="shared" si="356"/>
        <v>0</v>
      </c>
      <c r="AA508">
        <f t="shared" si="357"/>
        <v>0</v>
      </c>
      <c r="AB508">
        <f t="shared" si="358"/>
        <v>0</v>
      </c>
      <c r="AC508" s="23">
        <f>IF(B508&gt;$AJ$2,0,HLOOKUP(YEAR(A508),Assumptions!$A$25:$AL$29,4,TRUE)/100)</f>
        <v>0</v>
      </c>
      <c r="AD508">
        <f t="shared" si="359"/>
        <v>0</v>
      </c>
      <c r="AE508">
        <f t="shared" si="360"/>
        <v>0</v>
      </c>
      <c r="AF508">
        <f t="shared" si="361"/>
        <v>0</v>
      </c>
      <c r="AG508">
        <f t="shared" si="362"/>
        <v>0</v>
      </c>
      <c r="AH508">
        <f t="shared" si="363"/>
        <v>0</v>
      </c>
      <c r="AI508">
        <f t="shared" si="364"/>
        <v>0</v>
      </c>
      <c r="AJ508">
        <f t="shared" si="365"/>
        <v>0</v>
      </c>
      <c r="AK508">
        <f t="shared" si="390"/>
        <v>0</v>
      </c>
      <c r="AL508">
        <f t="shared" si="366"/>
        <v>0</v>
      </c>
      <c r="AM508">
        <f t="shared" si="348"/>
        <v>0</v>
      </c>
      <c r="AN508">
        <f>IF($S$2=0,0,(SUMPRODUCT($K$2:$R$2,Assumptions!$B$34:$I$34)/$U$2+$J$2/$U$2*Assumptions!$A$34*G508)*K508*O507)</f>
        <v>0</v>
      </c>
      <c r="AO508">
        <f t="shared" si="367"/>
        <v>0</v>
      </c>
      <c r="AP508">
        <f t="shared" si="368"/>
        <v>0</v>
      </c>
      <c r="AQ508">
        <f>IF(B508&gt;$AJ$2,0,AQ507*(1+Assumptions!$B$43)^(1/12))</f>
        <v>0</v>
      </c>
      <c r="AR508" s="27">
        <f>IF(B508&gt;$AJ$2,0,(O507+R507)*Assumptions!$B$39/12*AQ507+AV508*Assumptions!$B$41/12)</f>
        <v>0</v>
      </c>
      <c r="AS508">
        <f t="shared" si="369"/>
        <v>0</v>
      </c>
      <c r="AT508" s="28">
        <f t="shared" si="370"/>
        <v>0</v>
      </c>
      <c r="AU508">
        <f t="shared" si="371"/>
        <v>0</v>
      </c>
      <c r="AV508" s="28">
        <f t="shared" si="372"/>
        <v>0</v>
      </c>
      <c r="AW508" s="28">
        <f t="shared" si="373"/>
        <v>0</v>
      </c>
      <c r="AX508" s="23">
        <f>HLOOKUP(YEAR(A508),Assumptions!$A$25:$AL$29,2,TRUE)/100</f>
        <v>1.1332999999999999E-2</v>
      </c>
      <c r="AY508" s="29">
        <f>1/(1+HLOOKUP(YEAR(A508),Assumptions!$A$18:$AL$20,3,TRUE))^(1/12)</f>
        <v>0.99906100631170314</v>
      </c>
      <c r="AZ508" s="26">
        <f t="shared" si="374"/>
        <v>0</v>
      </c>
      <c r="BA508">
        <f t="shared" si="375"/>
        <v>0</v>
      </c>
      <c r="BB508">
        <f t="shared" si="376"/>
        <v>0</v>
      </c>
      <c r="BC508">
        <f t="shared" si="377"/>
        <v>0</v>
      </c>
    </row>
    <row r="509" spans="1:55" x14ac:dyDescent="0.2">
      <c r="A509" s="3">
        <f t="shared" si="349"/>
        <v>58256</v>
      </c>
      <c r="B509">
        <f t="shared" si="346"/>
        <v>511</v>
      </c>
      <c r="C509">
        <f t="shared" si="378"/>
        <v>42.5</v>
      </c>
      <c r="D509">
        <f t="shared" si="379"/>
        <v>0</v>
      </c>
      <c r="E509">
        <f t="shared" si="347"/>
        <v>98</v>
      </c>
      <c r="F509">
        <f>IF(C509&gt;=$T$2,0,VLOOKUP($E509,'Mortality Table'!$A$3:$C$128,2+AF$2,FALSE))</f>
        <v>0</v>
      </c>
      <c r="G509">
        <f>F509*Assumptions!$B$1</f>
        <v>0</v>
      </c>
      <c r="H509">
        <f t="shared" si="380"/>
        <v>0</v>
      </c>
      <c r="I509">
        <f t="shared" si="381"/>
        <v>0</v>
      </c>
      <c r="J509">
        <f>IF(B509&gt;$AJ$2,0,HLOOKUP(C509,Assumptions!$A$6:$J$7,2,TRUE))</f>
        <v>0</v>
      </c>
      <c r="K509" s="4">
        <f t="shared" si="382"/>
        <v>0</v>
      </c>
      <c r="L509" s="4">
        <f t="shared" si="350"/>
        <v>0</v>
      </c>
      <c r="M509" s="4">
        <f t="shared" si="383"/>
        <v>0</v>
      </c>
      <c r="N509">
        <f t="shared" si="384"/>
        <v>0</v>
      </c>
      <c r="O509" s="21">
        <f t="shared" si="385"/>
        <v>0</v>
      </c>
      <c r="P509">
        <f>IF(B509&gt;$AJ$2,0,HLOOKUP(C509,Assumptions!$A$12:$J$13,2,TRUE))</f>
        <v>0</v>
      </c>
      <c r="Q509">
        <f t="shared" si="386"/>
        <v>0</v>
      </c>
      <c r="R509">
        <f t="shared" si="351"/>
        <v>0</v>
      </c>
      <c r="S509">
        <f t="shared" si="387"/>
        <v>0</v>
      </c>
      <c r="T509">
        <f t="shared" si="388"/>
        <v>0</v>
      </c>
      <c r="U509">
        <f t="shared" si="352"/>
        <v>0</v>
      </c>
      <c r="V509">
        <f t="shared" si="353"/>
        <v>0</v>
      </c>
      <c r="W509">
        <f t="shared" si="354"/>
        <v>0</v>
      </c>
      <c r="X509">
        <f t="shared" si="389"/>
        <v>0</v>
      </c>
      <c r="Y509">
        <f t="shared" si="355"/>
        <v>0</v>
      </c>
      <c r="Z509">
        <f t="shared" si="356"/>
        <v>0</v>
      </c>
      <c r="AA509">
        <f t="shared" si="357"/>
        <v>0</v>
      </c>
      <c r="AB509">
        <f t="shared" si="358"/>
        <v>0</v>
      </c>
      <c r="AC509" s="23">
        <f>IF(B509&gt;$AJ$2,0,HLOOKUP(YEAR(A509),Assumptions!$A$25:$AL$29,4,TRUE)/100)</f>
        <v>0</v>
      </c>
      <c r="AD509">
        <f t="shared" si="359"/>
        <v>0</v>
      </c>
      <c r="AE509">
        <f t="shared" si="360"/>
        <v>0</v>
      </c>
      <c r="AF509">
        <f t="shared" si="361"/>
        <v>0</v>
      </c>
      <c r="AG509">
        <f t="shared" si="362"/>
        <v>0</v>
      </c>
      <c r="AH509">
        <f t="shared" si="363"/>
        <v>0</v>
      </c>
      <c r="AI509">
        <f t="shared" si="364"/>
        <v>0</v>
      </c>
      <c r="AJ509">
        <f t="shared" si="365"/>
        <v>0</v>
      </c>
      <c r="AK509">
        <f t="shared" si="390"/>
        <v>0</v>
      </c>
      <c r="AL509">
        <f t="shared" si="366"/>
        <v>0</v>
      </c>
      <c r="AM509">
        <f t="shared" si="348"/>
        <v>0</v>
      </c>
      <c r="AN509">
        <f>IF($S$2=0,0,(SUMPRODUCT($K$2:$R$2,Assumptions!$B$34:$I$34)/$U$2+$J$2/$U$2*Assumptions!$A$34*G509)*K509*O508)</f>
        <v>0</v>
      </c>
      <c r="AO509">
        <f t="shared" si="367"/>
        <v>0</v>
      </c>
      <c r="AP509">
        <f t="shared" si="368"/>
        <v>0</v>
      </c>
      <c r="AQ509">
        <f>IF(B509&gt;$AJ$2,0,AQ508*(1+Assumptions!$B$43)^(1/12))</f>
        <v>0</v>
      </c>
      <c r="AR509" s="27">
        <f>IF(B509&gt;$AJ$2,0,(O508+R508)*Assumptions!$B$39/12*AQ508+AV509*Assumptions!$B$41/12)</f>
        <v>0</v>
      </c>
      <c r="AS509">
        <f t="shared" si="369"/>
        <v>0</v>
      </c>
      <c r="AT509" s="28">
        <f t="shared" si="370"/>
        <v>0</v>
      </c>
      <c r="AU509">
        <f t="shared" si="371"/>
        <v>0</v>
      </c>
      <c r="AV509" s="28">
        <f t="shared" si="372"/>
        <v>0</v>
      </c>
      <c r="AW509" s="28">
        <f t="shared" si="373"/>
        <v>0</v>
      </c>
      <c r="AX509" s="23">
        <f>HLOOKUP(YEAR(A509),Assumptions!$A$25:$AL$29,2,TRUE)/100</f>
        <v>1.1332999999999999E-2</v>
      </c>
      <c r="AY509" s="29">
        <f>1/(1+HLOOKUP(YEAR(A509),Assumptions!$A$18:$AL$20,3,TRUE))^(1/12)</f>
        <v>0.99906100631170314</v>
      </c>
      <c r="AZ509" s="26">
        <f t="shared" si="374"/>
        <v>0</v>
      </c>
      <c r="BA509">
        <f t="shared" si="375"/>
        <v>0</v>
      </c>
      <c r="BB509">
        <f t="shared" si="376"/>
        <v>0</v>
      </c>
      <c r="BC509">
        <f t="shared" si="377"/>
        <v>0</v>
      </c>
    </row>
    <row r="510" spans="1:55" x14ac:dyDescent="0.2">
      <c r="A510" s="3">
        <f t="shared" si="349"/>
        <v>58287</v>
      </c>
      <c r="B510">
        <f t="shared" si="346"/>
        <v>512</v>
      </c>
      <c r="C510">
        <f t="shared" si="378"/>
        <v>42.583333333333336</v>
      </c>
      <c r="D510">
        <f t="shared" si="379"/>
        <v>0</v>
      </c>
      <c r="E510">
        <f t="shared" si="347"/>
        <v>98</v>
      </c>
      <c r="F510">
        <f>IF(C510&gt;=$T$2,0,VLOOKUP($E510,'Mortality Table'!$A$3:$C$128,2+AF$2,FALSE))</f>
        <v>0</v>
      </c>
      <c r="G510">
        <f>F510*Assumptions!$B$1</f>
        <v>0</v>
      </c>
      <c r="H510">
        <f t="shared" si="380"/>
        <v>0</v>
      </c>
      <c r="I510">
        <f t="shared" si="381"/>
        <v>0</v>
      </c>
      <c r="J510">
        <f>IF(B510&gt;$AJ$2,0,HLOOKUP(C510,Assumptions!$A$6:$J$7,2,TRUE))</f>
        <v>0</v>
      </c>
      <c r="K510" s="4">
        <f t="shared" si="382"/>
        <v>0</v>
      </c>
      <c r="L510" s="4">
        <f t="shared" si="350"/>
        <v>0</v>
      </c>
      <c r="M510" s="4">
        <f t="shared" si="383"/>
        <v>0</v>
      </c>
      <c r="N510">
        <f t="shared" si="384"/>
        <v>0</v>
      </c>
      <c r="O510" s="21">
        <f t="shared" si="385"/>
        <v>0</v>
      </c>
      <c r="P510">
        <f>IF(B510&gt;$AJ$2,0,HLOOKUP(C510,Assumptions!$A$12:$J$13,2,TRUE))</f>
        <v>0</v>
      </c>
      <c r="Q510">
        <f t="shared" si="386"/>
        <v>0</v>
      </c>
      <c r="R510">
        <f t="shared" si="351"/>
        <v>0</v>
      </c>
      <c r="S510">
        <f t="shared" si="387"/>
        <v>0</v>
      </c>
      <c r="T510">
        <f t="shared" si="388"/>
        <v>0</v>
      </c>
      <c r="U510">
        <f t="shared" si="352"/>
        <v>0</v>
      </c>
      <c r="V510">
        <f t="shared" si="353"/>
        <v>0</v>
      </c>
      <c r="W510">
        <f t="shared" si="354"/>
        <v>0</v>
      </c>
      <c r="X510">
        <f t="shared" si="389"/>
        <v>0</v>
      </c>
      <c r="Y510">
        <f t="shared" si="355"/>
        <v>0</v>
      </c>
      <c r="Z510">
        <f t="shared" si="356"/>
        <v>0</v>
      </c>
      <c r="AA510">
        <f t="shared" si="357"/>
        <v>0</v>
      </c>
      <c r="AB510">
        <f t="shared" si="358"/>
        <v>0</v>
      </c>
      <c r="AC510" s="23">
        <f>IF(B510&gt;$AJ$2,0,HLOOKUP(YEAR(A510),Assumptions!$A$25:$AL$29,4,TRUE)/100)</f>
        <v>0</v>
      </c>
      <c r="AD510">
        <f t="shared" si="359"/>
        <v>0</v>
      </c>
      <c r="AE510">
        <f t="shared" si="360"/>
        <v>0</v>
      </c>
      <c r="AF510">
        <f t="shared" si="361"/>
        <v>0</v>
      </c>
      <c r="AG510">
        <f t="shared" si="362"/>
        <v>0</v>
      </c>
      <c r="AH510">
        <f t="shared" si="363"/>
        <v>0</v>
      </c>
      <c r="AI510">
        <f t="shared" si="364"/>
        <v>0</v>
      </c>
      <c r="AJ510">
        <f t="shared" si="365"/>
        <v>0</v>
      </c>
      <c r="AK510">
        <f t="shared" si="390"/>
        <v>0</v>
      </c>
      <c r="AL510">
        <f t="shared" si="366"/>
        <v>0</v>
      </c>
      <c r="AM510">
        <f t="shared" si="348"/>
        <v>0</v>
      </c>
      <c r="AN510">
        <f>IF($S$2=0,0,(SUMPRODUCT($K$2:$R$2,Assumptions!$B$34:$I$34)/$U$2+$J$2/$U$2*Assumptions!$A$34*G510)*K510*O509)</f>
        <v>0</v>
      </c>
      <c r="AO510">
        <f t="shared" si="367"/>
        <v>0</v>
      </c>
      <c r="AP510">
        <f t="shared" si="368"/>
        <v>0</v>
      </c>
      <c r="AQ510">
        <f>IF(B510&gt;$AJ$2,0,AQ509*(1+Assumptions!$B$43)^(1/12))</f>
        <v>0</v>
      </c>
      <c r="AR510" s="27">
        <f>IF(B510&gt;$AJ$2,0,(O509+R509)*Assumptions!$B$39/12*AQ509+AV510*Assumptions!$B$41/12)</f>
        <v>0</v>
      </c>
      <c r="AS510">
        <f t="shared" si="369"/>
        <v>0</v>
      </c>
      <c r="AT510" s="28">
        <f t="shared" si="370"/>
        <v>0</v>
      </c>
      <c r="AU510">
        <f t="shared" si="371"/>
        <v>0</v>
      </c>
      <c r="AV510" s="28">
        <f t="shared" si="372"/>
        <v>0</v>
      </c>
      <c r="AW510" s="28">
        <f t="shared" si="373"/>
        <v>0</v>
      </c>
      <c r="AX510" s="23">
        <f>HLOOKUP(YEAR(A510),Assumptions!$A$25:$AL$29,2,TRUE)/100</f>
        <v>1.1332999999999999E-2</v>
      </c>
      <c r="AY510" s="29">
        <f>1/(1+HLOOKUP(YEAR(A510),Assumptions!$A$18:$AL$20,3,TRUE))^(1/12)</f>
        <v>0.99906100631170314</v>
      </c>
      <c r="AZ510" s="26">
        <f t="shared" si="374"/>
        <v>0</v>
      </c>
      <c r="BA510">
        <f t="shared" si="375"/>
        <v>0</v>
      </c>
      <c r="BB510">
        <f t="shared" si="376"/>
        <v>0</v>
      </c>
      <c r="BC510">
        <f t="shared" si="377"/>
        <v>0</v>
      </c>
    </row>
    <row r="511" spans="1:55" x14ac:dyDescent="0.2">
      <c r="A511" s="3">
        <f t="shared" si="349"/>
        <v>58318</v>
      </c>
      <c r="B511">
        <f t="shared" si="346"/>
        <v>513</v>
      </c>
      <c r="C511">
        <f t="shared" si="378"/>
        <v>42.666666666666664</v>
      </c>
      <c r="D511">
        <f t="shared" si="379"/>
        <v>0</v>
      </c>
      <c r="E511">
        <f t="shared" si="347"/>
        <v>98</v>
      </c>
      <c r="F511">
        <f>IF(C511&gt;=$T$2,0,VLOOKUP($E511,'Mortality Table'!$A$3:$C$128,2+AF$2,FALSE))</f>
        <v>0</v>
      </c>
      <c r="G511">
        <f>F511*Assumptions!$B$1</f>
        <v>0</v>
      </c>
      <c r="H511">
        <f t="shared" si="380"/>
        <v>0</v>
      </c>
      <c r="I511">
        <f t="shared" si="381"/>
        <v>0</v>
      </c>
      <c r="J511">
        <f>IF(B511&gt;$AJ$2,0,HLOOKUP(C511,Assumptions!$A$6:$J$7,2,TRUE))</f>
        <v>0</v>
      </c>
      <c r="K511" s="4">
        <f t="shared" si="382"/>
        <v>0</v>
      </c>
      <c r="L511" s="4">
        <f t="shared" si="350"/>
        <v>0</v>
      </c>
      <c r="M511" s="4">
        <f t="shared" si="383"/>
        <v>0</v>
      </c>
      <c r="N511">
        <f t="shared" si="384"/>
        <v>0</v>
      </c>
      <c r="O511" s="21">
        <f t="shared" si="385"/>
        <v>0</v>
      </c>
      <c r="P511">
        <f>IF(B511&gt;$AJ$2,0,HLOOKUP(C511,Assumptions!$A$12:$J$13,2,TRUE))</f>
        <v>0</v>
      </c>
      <c r="Q511">
        <f t="shared" si="386"/>
        <v>0</v>
      </c>
      <c r="R511">
        <f t="shared" si="351"/>
        <v>0</v>
      </c>
      <c r="S511">
        <f t="shared" si="387"/>
        <v>0</v>
      </c>
      <c r="T511">
        <f t="shared" si="388"/>
        <v>0</v>
      </c>
      <c r="U511">
        <f t="shared" si="352"/>
        <v>0</v>
      </c>
      <c r="V511">
        <f t="shared" si="353"/>
        <v>0</v>
      </c>
      <c r="W511">
        <f t="shared" si="354"/>
        <v>0</v>
      </c>
      <c r="X511">
        <f t="shared" si="389"/>
        <v>0</v>
      </c>
      <c r="Y511">
        <f t="shared" si="355"/>
        <v>0</v>
      </c>
      <c r="Z511">
        <f t="shared" si="356"/>
        <v>0</v>
      </c>
      <c r="AA511">
        <f t="shared" si="357"/>
        <v>0</v>
      </c>
      <c r="AB511">
        <f t="shared" si="358"/>
        <v>0</v>
      </c>
      <c r="AC511" s="23">
        <f>IF(B511&gt;$AJ$2,0,HLOOKUP(YEAR(A511),Assumptions!$A$25:$AL$29,4,TRUE)/100)</f>
        <v>0</v>
      </c>
      <c r="AD511">
        <f t="shared" si="359"/>
        <v>0</v>
      </c>
      <c r="AE511">
        <f t="shared" si="360"/>
        <v>0</v>
      </c>
      <c r="AF511">
        <f t="shared" si="361"/>
        <v>0</v>
      </c>
      <c r="AG511">
        <f t="shared" si="362"/>
        <v>0</v>
      </c>
      <c r="AH511">
        <f t="shared" si="363"/>
        <v>0</v>
      </c>
      <c r="AI511">
        <f t="shared" si="364"/>
        <v>0</v>
      </c>
      <c r="AJ511">
        <f t="shared" si="365"/>
        <v>0</v>
      </c>
      <c r="AK511">
        <f t="shared" si="390"/>
        <v>0</v>
      </c>
      <c r="AL511">
        <f t="shared" si="366"/>
        <v>0</v>
      </c>
      <c r="AM511">
        <f t="shared" si="348"/>
        <v>0</v>
      </c>
      <c r="AN511">
        <f>IF($S$2=0,0,(SUMPRODUCT($K$2:$R$2,Assumptions!$B$34:$I$34)/$U$2+$J$2/$U$2*Assumptions!$A$34*G511)*K511*O510)</f>
        <v>0</v>
      </c>
      <c r="AO511">
        <f t="shared" si="367"/>
        <v>0</v>
      </c>
      <c r="AP511">
        <f t="shared" si="368"/>
        <v>0</v>
      </c>
      <c r="AQ511">
        <f>IF(B511&gt;$AJ$2,0,AQ510*(1+Assumptions!$B$43)^(1/12))</f>
        <v>0</v>
      </c>
      <c r="AR511" s="27">
        <f>IF(B511&gt;$AJ$2,0,(O510+R510)*Assumptions!$B$39/12*AQ510+AV511*Assumptions!$B$41/12)</f>
        <v>0</v>
      </c>
      <c r="AS511">
        <f t="shared" si="369"/>
        <v>0</v>
      </c>
      <c r="AT511" s="28">
        <f t="shared" si="370"/>
        <v>0</v>
      </c>
      <c r="AU511">
        <f t="shared" si="371"/>
        <v>0</v>
      </c>
      <c r="AV511" s="28">
        <f t="shared" si="372"/>
        <v>0</v>
      </c>
      <c r="AW511" s="28">
        <f t="shared" si="373"/>
        <v>0</v>
      </c>
      <c r="AX511" s="23">
        <f>HLOOKUP(YEAR(A511),Assumptions!$A$25:$AL$29,2,TRUE)/100</f>
        <v>1.1332999999999999E-2</v>
      </c>
      <c r="AY511" s="29">
        <f>1/(1+HLOOKUP(YEAR(A511),Assumptions!$A$18:$AL$20,3,TRUE))^(1/12)</f>
        <v>0.99906100631170314</v>
      </c>
      <c r="AZ511" s="26">
        <f t="shared" si="374"/>
        <v>0</v>
      </c>
      <c r="BA511">
        <f t="shared" si="375"/>
        <v>0</v>
      </c>
      <c r="BB511">
        <f t="shared" si="376"/>
        <v>0</v>
      </c>
      <c r="BC511">
        <f t="shared" si="377"/>
        <v>0</v>
      </c>
    </row>
    <row r="512" spans="1:55" x14ac:dyDescent="0.2">
      <c r="A512" s="3">
        <f t="shared" si="349"/>
        <v>58348</v>
      </c>
      <c r="B512">
        <f t="shared" si="346"/>
        <v>514</v>
      </c>
      <c r="C512">
        <f t="shared" si="378"/>
        <v>42.75</v>
      </c>
      <c r="D512">
        <f t="shared" si="379"/>
        <v>0</v>
      </c>
      <c r="E512">
        <f t="shared" si="347"/>
        <v>98</v>
      </c>
      <c r="F512">
        <f>IF(C512&gt;=$T$2,0,VLOOKUP($E512,'Mortality Table'!$A$3:$C$128,2+AF$2,FALSE))</f>
        <v>0</v>
      </c>
      <c r="G512">
        <f>F512*Assumptions!$B$1</f>
        <v>0</v>
      </c>
      <c r="H512">
        <f t="shared" si="380"/>
        <v>0</v>
      </c>
      <c r="I512">
        <f t="shared" si="381"/>
        <v>0</v>
      </c>
      <c r="J512">
        <f>IF(B512&gt;$AJ$2,0,HLOOKUP(C512,Assumptions!$A$6:$J$7,2,TRUE))</f>
        <v>0</v>
      </c>
      <c r="K512" s="4">
        <f t="shared" si="382"/>
        <v>0</v>
      </c>
      <c r="L512" s="4">
        <f t="shared" si="350"/>
        <v>0</v>
      </c>
      <c r="M512" s="4">
        <f t="shared" si="383"/>
        <v>0</v>
      </c>
      <c r="N512">
        <f t="shared" si="384"/>
        <v>0</v>
      </c>
      <c r="O512" s="21">
        <f t="shared" si="385"/>
        <v>0</v>
      </c>
      <c r="P512">
        <f>IF(B512&gt;$AJ$2,0,HLOOKUP(C512,Assumptions!$A$12:$J$13,2,TRUE))</f>
        <v>0</v>
      </c>
      <c r="Q512">
        <f t="shared" si="386"/>
        <v>0</v>
      </c>
      <c r="R512">
        <f t="shared" si="351"/>
        <v>0</v>
      </c>
      <c r="S512">
        <f t="shared" si="387"/>
        <v>0</v>
      </c>
      <c r="T512">
        <f t="shared" si="388"/>
        <v>0</v>
      </c>
      <c r="U512">
        <f t="shared" si="352"/>
        <v>0</v>
      </c>
      <c r="V512">
        <f t="shared" si="353"/>
        <v>0</v>
      </c>
      <c r="W512">
        <f t="shared" si="354"/>
        <v>0</v>
      </c>
      <c r="X512">
        <f t="shared" si="389"/>
        <v>0</v>
      </c>
      <c r="Y512">
        <f t="shared" si="355"/>
        <v>0</v>
      </c>
      <c r="Z512">
        <f t="shared" si="356"/>
        <v>0</v>
      </c>
      <c r="AA512">
        <f t="shared" si="357"/>
        <v>0</v>
      </c>
      <c r="AB512">
        <f t="shared" si="358"/>
        <v>0</v>
      </c>
      <c r="AC512" s="23">
        <f>IF(B512&gt;$AJ$2,0,HLOOKUP(YEAR(A512),Assumptions!$A$25:$AL$29,4,TRUE)/100)</f>
        <v>0</v>
      </c>
      <c r="AD512">
        <f t="shared" si="359"/>
        <v>0</v>
      </c>
      <c r="AE512">
        <f t="shared" si="360"/>
        <v>0</v>
      </c>
      <c r="AF512">
        <f t="shared" si="361"/>
        <v>0</v>
      </c>
      <c r="AG512">
        <f t="shared" si="362"/>
        <v>0</v>
      </c>
      <c r="AH512">
        <f t="shared" si="363"/>
        <v>0</v>
      </c>
      <c r="AI512">
        <f t="shared" si="364"/>
        <v>0</v>
      </c>
      <c r="AJ512">
        <f t="shared" si="365"/>
        <v>0</v>
      </c>
      <c r="AK512">
        <f t="shared" si="390"/>
        <v>0</v>
      </c>
      <c r="AL512">
        <f t="shared" si="366"/>
        <v>0</v>
      </c>
      <c r="AM512">
        <f t="shared" si="348"/>
        <v>0</v>
      </c>
      <c r="AN512">
        <f>IF($S$2=0,0,(SUMPRODUCT($K$2:$R$2,Assumptions!$B$34:$I$34)/$U$2+$J$2/$U$2*Assumptions!$A$34*G512)*K512*O511)</f>
        <v>0</v>
      </c>
      <c r="AO512">
        <f t="shared" si="367"/>
        <v>0</v>
      </c>
      <c r="AP512">
        <f t="shared" si="368"/>
        <v>0</v>
      </c>
      <c r="AQ512">
        <f>IF(B512&gt;$AJ$2,0,AQ511*(1+Assumptions!$B$43)^(1/12))</f>
        <v>0</v>
      </c>
      <c r="AR512" s="27">
        <f>IF(B512&gt;$AJ$2,0,(O511+R511)*Assumptions!$B$39/12*AQ511+AV512*Assumptions!$B$41/12)</f>
        <v>0</v>
      </c>
      <c r="AS512">
        <f t="shared" si="369"/>
        <v>0</v>
      </c>
      <c r="AT512" s="28">
        <f t="shared" si="370"/>
        <v>0</v>
      </c>
      <c r="AU512">
        <f t="shared" si="371"/>
        <v>0</v>
      </c>
      <c r="AV512" s="28">
        <f t="shared" si="372"/>
        <v>0</v>
      </c>
      <c r="AW512" s="28">
        <f t="shared" si="373"/>
        <v>0</v>
      </c>
      <c r="AX512" s="23">
        <f>HLOOKUP(YEAR(A512),Assumptions!$A$25:$AL$29,2,TRUE)/100</f>
        <v>1.1332999999999999E-2</v>
      </c>
      <c r="AY512" s="29">
        <f>1/(1+HLOOKUP(YEAR(A512),Assumptions!$A$18:$AL$20,3,TRUE))^(1/12)</f>
        <v>0.99906100631170314</v>
      </c>
      <c r="AZ512" s="26">
        <f t="shared" si="374"/>
        <v>0</v>
      </c>
      <c r="BA512">
        <f t="shared" si="375"/>
        <v>0</v>
      </c>
      <c r="BB512">
        <f t="shared" si="376"/>
        <v>0</v>
      </c>
      <c r="BC512">
        <f t="shared" si="377"/>
        <v>0</v>
      </c>
    </row>
    <row r="513" spans="1:55" x14ac:dyDescent="0.2">
      <c r="A513" s="3">
        <f t="shared" si="349"/>
        <v>58379</v>
      </c>
      <c r="B513">
        <f t="shared" si="346"/>
        <v>515</v>
      </c>
      <c r="C513">
        <f t="shared" si="378"/>
        <v>42.833333333333336</v>
      </c>
      <c r="D513">
        <f t="shared" si="379"/>
        <v>0</v>
      </c>
      <c r="E513">
        <f t="shared" si="347"/>
        <v>98</v>
      </c>
      <c r="F513">
        <f>IF(C513&gt;=$T$2,0,VLOOKUP($E513,'Mortality Table'!$A$3:$C$128,2+AF$2,FALSE))</f>
        <v>0</v>
      </c>
      <c r="G513">
        <f>F513*Assumptions!$B$1</f>
        <v>0</v>
      </c>
      <c r="H513">
        <f t="shared" si="380"/>
        <v>0</v>
      </c>
      <c r="I513">
        <f t="shared" si="381"/>
        <v>0</v>
      </c>
      <c r="J513">
        <f>IF(B513&gt;$AJ$2,0,HLOOKUP(C513,Assumptions!$A$6:$J$7,2,TRUE))</f>
        <v>0</v>
      </c>
      <c r="K513" s="4">
        <f t="shared" si="382"/>
        <v>0</v>
      </c>
      <c r="L513" s="4">
        <f t="shared" si="350"/>
        <v>0</v>
      </c>
      <c r="M513" s="4">
        <f t="shared" si="383"/>
        <v>0</v>
      </c>
      <c r="N513">
        <f t="shared" si="384"/>
        <v>0</v>
      </c>
      <c r="O513" s="21">
        <f t="shared" si="385"/>
        <v>0</v>
      </c>
      <c r="P513">
        <f>IF(B513&gt;$AJ$2,0,HLOOKUP(C513,Assumptions!$A$12:$J$13,2,TRUE))</f>
        <v>0</v>
      </c>
      <c r="Q513">
        <f t="shared" si="386"/>
        <v>0</v>
      </c>
      <c r="R513">
        <f t="shared" si="351"/>
        <v>0</v>
      </c>
      <c r="S513">
        <f t="shared" si="387"/>
        <v>0</v>
      </c>
      <c r="T513">
        <f t="shared" si="388"/>
        <v>0</v>
      </c>
      <c r="U513">
        <f t="shared" si="352"/>
        <v>0</v>
      </c>
      <c r="V513">
        <f t="shared" si="353"/>
        <v>0</v>
      </c>
      <c r="W513">
        <f t="shared" si="354"/>
        <v>0</v>
      </c>
      <c r="X513">
        <f t="shared" si="389"/>
        <v>0</v>
      </c>
      <c r="Y513">
        <f t="shared" si="355"/>
        <v>0</v>
      </c>
      <c r="Z513">
        <f t="shared" si="356"/>
        <v>0</v>
      </c>
      <c r="AA513">
        <f t="shared" si="357"/>
        <v>0</v>
      </c>
      <c r="AB513">
        <f t="shared" si="358"/>
        <v>0</v>
      </c>
      <c r="AC513" s="23">
        <f>IF(B513&gt;$AJ$2,0,HLOOKUP(YEAR(A513),Assumptions!$A$25:$AL$29,4,TRUE)/100)</f>
        <v>0</v>
      </c>
      <c r="AD513">
        <f t="shared" si="359"/>
        <v>0</v>
      </c>
      <c r="AE513">
        <f t="shared" si="360"/>
        <v>0</v>
      </c>
      <c r="AF513">
        <f t="shared" si="361"/>
        <v>0</v>
      </c>
      <c r="AG513">
        <f t="shared" si="362"/>
        <v>0</v>
      </c>
      <c r="AH513">
        <f t="shared" si="363"/>
        <v>0</v>
      </c>
      <c r="AI513">
        <f t="shared" si="364"/>
        <v>0</v>
      </c>
      <c r="AJ513">
        <f t="shared" si="365"/>
        <v>0</v>
      </c>
      <c r="AK513">
        <f t="shared" si="390"/>
        <v>0</v>
      </c>
      <c r="AL513">
        <f t="shared" si="366"/>
        <v>0</v>
      </c>
      <c r="AM513">
        <f t="shared" si="348"/>
        <v>0</v>
      </c>
      <c r="AN513">
        <f>IF($S$2=0,0,(SUMPRODUCT($K$2:$R$2,Assumptions!$B$34:$I$34)/$U$2+$J$2/$U$2*Assumptions!$A$34*G513)*K513*O512)</f>
        <v>0</v>
      </c>
      <c r="AO513">
        <f t="shared" si="367"/>
        <v>0</v>
      </c>
      <c r="AP513">
        <f t="shared" si="368"/>
        <v>0</v>
      </c>
      <c r="AQ513">
        <f>IF(B513&gt;$AJ$2,0,AQ512*(1+Assumptions!$B$43)^(1/12))</f>
        <v>0</v>
      </c>
      <c r="AR513" s="27">
        <f>IF(B513&gt;$AJ$2,0,(O512+R512)*Assumptions!$B$39/12*AQ512+AV513*Assumptions!$B$41/12)</f>
        <v>0</v>
      </c>
      <c r="AS513">
        <f t="shared" si="369"/>
        <v>0</v>
      </c>
      <c r="AT513" s="28">
        <f t="shared" si="370"/>
        <v>0</v>
      </c>
      <c r="AU513">
        <f t="shared" si="371"/>
        <v>0</v>
      </c>
      <c r="AV513" s="28">
        <f t="shared" si="372"/>
        <v>0</v>
      </c>
      <c r="AW513" s="28">
        <f t="shared" si="373"/>
        <v>0</v>
      </c>
      <c r="AX513" s="23">
        <f>HLOOKUP(YEAR(A513),Assumptions!$A$25:$AL$29,2,TRUE)/100</f>
        <v>1.1332999999999999E-2</v>
      </c>
      <c r="AY513" s="29">
        <f>1/(1+HLOOKUP(YEAR(A513),Assumptions!$A$18:$AL$20,3,TRUE))^(1/12)</f>
        <v>0.99906100631170314</v>
      </c>
      <c r="AZ513" s="26">
        <f t="shared" si="374"/>
        <v>0</v>
      </c>
      <c r="BA513">
        <f t="shared" si="375"/>
        <v>0</v>
      </c>
      <c r="BB513">
        <f t="shared" si="376"/>
        <v>0</v>
      </c>
      <c r="BC513">
        <f t="shared" si="377"/>
        <v>0</v>
      </c>
    </row>
    <row r="514" spans="1:55" x14ac:dyDescent="0.2">
      <c r="A514" s="3">
        <f t="shared" si="349"/>
        <v>58409</v>
      </c>
      <c r="B514">
        <f t="shared" si="346"/>
        <v>516</v>
      </c>
      <c r="C514">
        <f t="shared" si="378"/>
        <v>42.916666666666664</v>
      </c>
      <c r="D514">
        <f t="shared" si="379"/>
        <v>0</v>
      </c>
      <c r="E514">
        <f t="shared" si="347"/>
        <v>98</v>
      </c>
      <c r="F514">
        <f>IF(C514&gt;=$T$2,0,VLOOKUP($E514,'Mortality Table'!$A$3:$C$128,2+AF$2,FALSE))</f>
        <v>0</v>
      </c>
      <c r="G514">
        <f>F514*Assumptions!$B$1</f>
        <v>0</v>
      </c>
      <c r="H514">
        <f t="shared" si="380"/>
        <v>0</v>
      </c>
      <c r="I514">
        <f t="shared" si="381"/>
        <v>0</v>
      </c>
      <c r="J514">
        <f>IF(B514&gt;$AJ$2,0,HLOOKUP(C514,Assumptions!$A$6:$J$7,2,TRUE))</f>
        <v>0</v>
      </c>
      <c r="K514" s="4">
        <f t="shared" si="382"/>
        <v>0</v>
      </c>
      <c r="L514" s="4">
        <f t="shared" si="350"/>
        <v>0</v>
      </c>
      <c r="M514" s="4">
        <f t="shared" si="383"/>
        <v>0</v>
      </c>
      <c r="N514">
        <f t="shared" si="384"/>
        <v>0</v>
      </c>
      <c r="O514" s="21">
        <f t="shared" si="385"/>
        <v>0</v>
      </c>
      <c r="P514">
        <f>IF(B514&gt;$AJ$2,0,HLOOKUP(C514,Assumptions!$A$12:$J$13,2,TRUE))</f>
        <v>0</v>
      </c>
      <c r="Q514">
        <f t="shared" si="386"/>
        <v>0</v>
      </c>
      <c r="R514">
        <f t="shared" si="351"/>
        <v>0</v>
      </c>
      <c r="S514">
        <f t="shared" si="387"/>
        <v>0</v>
      </c>
      <c r="T514">
        <f t="shared" si="388"/>
        <v>0</v>
      </c>
      <c r="U514">
        <f t="shared" si="352"/>
        <v>0</v>
      </c>
      <c r="V514">
        <f t="shared" si="353"/>
        <v>0</v>
      </c>
      <c r="W514">
        <f t="shared" si="354"/>
        <v>0</v>
      </c>
      <c r="X514">
        <f t="shared" si="389"/>
        <v>0</v>
      </c>
      <c r="Y514">
        <f t="shared" si="355"/>
        <v>0</v>
      </c>
      <c r="Z514">
        <f t="shared" si="356"/>
        <v>0</v>
      </c>
      <c r="AA514">
        <f t="shared" si="357"/>
        <v>0</v>
      </c>
      <c r="AB514">
        <f t="shared" si="358"/>
        <v>0</v>
      </c>
      <c r="AC514" s="23">
        <f>IF(B514&gt;$AJ$2,0,HLOOKUP(YEAR(A514),Assumptions!$A$25:$AL$29,4,TRUE)/100)</f>
        <v>0</v>
      </c>
      <c r="AD514">
        <f t="shared" si="359"/>
        <v>0</v>
      </c>
      <c r="AE514">
        <f t="shared" si="360"/>
        <v>0</v>
      </c>
      <c r="AF514">
        <f t="shared" si="361"/>
        <v>0</v>
      </c>
      <c r="AG514">
        <f t="shared" si="362"/>
        <v>0</v>
      </c>
      <c r="AH514">
        <f t="shared" si="363"/>
        <v>0</v>
      </c>
      <c r="AI514">
        <f t="shared" si="364"/>
        <v>0</v>
      </c>
      <c r="AJ514">
        <f t="shared" si="365"/>
        <v>0</v>
      </c>
      <c r="AK514">
        <f t="shared" si="390"/>
        <v>0</v>
      </c>
      <c r="AL514">
        <f t="shared" si="366"/>
        <v>0</v>
      </c>
      <c r="AM514">
        <f t="shared" si="348"/>
        <v>0</v>
      </c>
      <c r="AN514">
        <f>IF($S$2=0,0,(SUMPRODUCT($K$2:$R$2,Assumptions!$B$34:$I$34)/$U$2+$J$2/$U$2*Assumptions!$A$34*G514)*K514*O513)</f>
        <v>0</v>
      </c>
      <c r="AO514">
        <f t="shared" si="367"/>
        <v>0</v>
      </c>
      <c r="AP514">
        <f t="shared" si="368"/>
        <v>0</v>
      </c>
      <c r="AQ514">
        <f>IF(B514&gt;$AJ$2,0,AQ513*(1+Assumptions!$B$43)^(1/12))</f>
        <v>0</v>
      </c>
      <c r="AR514" s="27">
        <f>IF(B514&gt;$AJ$2,0,(O513+R513)*Assumptions!$B$39/12*AQ513+AV514*Assumptions!$B$41/12)</f>
        <v>0</v>
      </c>
      <c r="AS514">
        <f t="shared" si="369"/>
        <v>0</v>
      </c>
      <c r="AT514" s="28">
        <f t="shared" si="370"/>
        <v>0</v>
      </c>
      <c r="AU514">
        <f t="shared" si="371"/>
        <v>0</v>
      </c>
      <c r="AV514" s="28">
        <f t="shared" si="372"/>
        <v>0</v>
      </c>
      <c r="AW514" s="28">
        <f t="shared" si="373"/>
        <v>0</v>
      </c>
      <c r="AX514" s="23">
        <f>HLOOKUP(YEAR(A514),Assumptions!$A$25:$AL$29,2,TRUE)/100</f>
        <v>1.1332999999999999E-2</v>
      </c>
      <c r="AY514" s="29">
        <f>1/(1+HLOOKUP(YEAR(A514),Assumptions!$A$18:$AL$20,3,TRUE))^(1/12)</f>
        <v>0.99906100631170314</v>
      </c>
      <c r="AZ514" s="26">
        <f t="shared" si="374"/>
        <v>0</v>
      </c>
      <c r="BA514">
        <f t="shared" si="375"/>
        <v>0</v>
      </c>
      <c r="BB514">
        <f t="shared" si="376"/>
        <v>0</v>
      </c>
      <c r="BC514">
        <f t="shared" si="377"/>
        <v>0</v>
      </c>
    </row>
    <row r="515" spans="1:55" x14ac:dyDescent="0.2">
      <c r="A515" s="3">
        <f t="shared" si="349"/>
        <v>58440</v>
      </c>
      <c r="B515">
        <f t="shared" si="346"/>
        <v>517</v>
      </c>
      <c r="C515">
        <f t="shared" si="378"/>
        <v>43</v>
      </c>
      <c r="D515">
        <f t="shared" si="379"/>
        <v>1</v>
      </c>
      <c r="E515">
        <f t="shared" si="347"/>
        <v>99</v>
      </c>
      <c r="F515">
        <f>IF(C515&gt;=$T$2,0,VLOOKUP($E515,'Mortality Table'!$A$3:$C$128,2+AF$2,FALSE))</f>
        <v>0</v>
      </c>
      <c r="G515">
        <f>F515*Assumptions!$B$1</f>
        <v>0</v>
      </c>
      <c r="H515">
        <f t="shared" si="380"/>
        <v>0</v>
      </c>
      <c r="I515">
        <f t="shared" si="381"/>
        <v>0</v>
      </c>
      <c r="J515">
        <f>IF(B515&gt;$AJ$2,0,HLOOKUP(C515,Assumptions!$A$6:$J$7,2,TRUE))</f>
        <v>0</v>
      </c>
      <c r="K515" s="4">
        <f t="shared" si="382"/>
        <v>0</v>
      </c>
      <c r="L515" s="4">
        <f t="shared" si="350"/>
        <v>0</v>
      </c>
      <c r="M515" s="4">
        <f t="shared" si="383"/>
        <v>0</v>
      </c>
      <c r="N515">
        <f t="shared" si="384"/>
        <v>0</v>
      </c>
      <c r="O515" s="21">
        <f t="shared" si="385"/>
        <v>0</v>
      </c>
      <c r="P515">
        <f>IF(B515&gt;$AJ$2,0,HLOOKUP(C515,Assumptions!$A$12:$J$13,2,TRUE))</f>
        <v>0</v>
      </c>
      <c r="Q515">
        <f t="shared" si="386"/>
        <v>0</v>
      </c>
      <c r="R515">
        <f t="shared" si="351"/>
        <v>0</v>
      </c>
      <c r="S515">
        <f t="shared" si="387"/>
        <v>0</v>
      </c>
      <c r="T515">
        <f t="shared" si="388"/>
        <v>0</v>
      </c>
      <c r="U515">
        <f t="shared" si="352"/>
        <v>0</v>
      </c>
      <c r="V515">
        <f t="shared" si="353"/>
        <v>0</v>
      </c>
      <c r="W515">
        <f t="shared" si="354"/>
        <v>0</v>
      </c>
      <c r="X515">
        <f t="shared" si="389"/>
        <v>0</v>
      </c>
      <c r="Y515">
        <f t="shared" si="355"/>
        <v>0</v>
      </c>
      <c r="Z515">
        <f t="shared" si="356"/>
        <v>0</v>
      </c>
      <c r="AA515">
        <f t="shared" si="357"/>
        <v>0</v>
      </c>
      <c r="AB515">
        <f t="shared" si="358"/>
        <v>0</v>
      </c>
      <c r="AC515" s="23">
        <f>IF(B515&gt;$AJ$2,0,HLOOKUP(YEAR(A515),Assumptions!$A$25:$AL$29,4,TRUE)/100)</f>
        <v>0</v>
      </c>
      <c r="AD515">
        <f t="shared" si="359"/>
        <v>0</v>
      </c>
      <c r="AE515">
        <f t="shared" si="360"/>
        <v>0</v>
      </c>
      <c r="AF515">
        <f t="shared" si="361"/>
        <v>0</v>
      </c>
      <c r="AG515">
        <f t="shared" si="362"/>
        <v>0</v>
      </c>
      <c r="AH515">
        <f t="shared" si="363"/>
        <v>0</v>
      </c>
      <c r="AI515">
        <f t="shared" si="364"/>
        <v>0</v>
      </c>
      <c r="AJ515">
        <f t="shared" si="365"/>
        <v>0</v>
      </c>
      <c r="AK515">
        <f t="shared" si="390"/>
        <v>0</v>
      </c>
      <c r="AL515">
        <f t="shared" si="366"/>
        <v>0</v>
      </c>
      <c r="AM515">
        <f t="shared" si="348"/>
        <v>0</v>
      </c>
      <c r="AN515">
        <f>IF($S$2=0,0,(SUMPRODUCT($K$2:$R$2,Assumptions!$B$34:$I$34)/$U$2+$J$2/$U$2*Assumptions!$A$34*G515)*K515*O514)</f>
        <v>0</v>
      </c>
      <c r="AO515">
        <f t="shared" si="367"/>
        <v>0</v>
      </c>
      <c r="AP515">
        <f t="shared" si="368"/>
        <v>0</v>
      </c>
      <c r="AQ515">
        <f>IF(B515&gt;$AJ$2,0,AQ514*(1+Assumptions!$B$43)^(1/12))</f>
        <v>0</v>
      </c>
      <c r="AR515" s="27">
        <f>IF(B515&gt;$AJ$2,0,(O514+R514)*Assumptions!$B$39/12*AQ514+AV515*Assumptions!$B$41/12)</f>
        <v>0</v>
      </c>
      <c r="AS515">
        <f t="shared" si="369"/>
        <v>0</v>
      </c>
      <c r="AT515" s="28">
        <f t="shared" si="370"/>
        <v>0</v>
      </c>
      <c r="AU515">
        <f t="shared" si="371"/>
        <v>0</v>
      </c>
      <c r="AV515" s="28">
        <f t="shared" si="372"/>
        <v>0</v>
      </c>
      <c r="AW515" s="28">
        <f t="shared" si="373"/>
        <v>0</v>
      </c>
      <c r="AX515" s="23">
        <f>HLOOKUP(YEAR(A515),Assumptions!$A$25:$AL$29,2,TRUE)/100</f>
        <v>1.1332999999999999E-2</v>
      </c>
      <c r="AY515" s="29">
        <f>1/(1+HLOOKUP(YEAR(A515),Assumptions!$A$18:$AL$20,3,TRUE))^(1/12)</f>
        <v>0.99906100631170314</v>
      </c>
      <c r="AZ515" s="26">
        <f t="shared" si="374"/>
        <v>0</v>
      </c>
      <c r="BA515">
        <f t="shared" si="375"/>
        <v>0</v>
      </c>
      <c r="BB515">
        <f t="shared" si="376"/>
        <v>0</v>
      </c>
      <c r="BC515">
        <f t="shared" si="377"/>
        <v>0</v>
      </c>
    </row>
    <row r="516" spans="1:55" x14ac:dyDescent="0.2">
      <c r="A516" s="3">
        <f t="shared" si="349"/>
        <v>58471</v>
      </c>
      <c r="B516">
        <f t="shared" si="346"/>
        <v>518</v>
      </c>
      <c r="C516">
        <f t="shared" si="378"/>
        <v>43.083333333333336</v>
      </c>
      <c r="D516">
        <f t="shared" si="379"/>
        <v>0</v>
      </c>
      <c r="E516">
        <f t="shared" si="347"/>
        <v>99</v>
      </c>
      <c r="F516">
        <f>IF(C516&gt;=$T$2,0,VLOOKUP($E516,'Mortality Table'!$A$3:$C$128,2+AF$2,FALSE))</f>
        <v>0</v>
      </c>
      <c r="G516">
        <f>F516*Assumptions!$B$1</f>
        <v>0</v>
      </c>
      <c r="H516">
        <f t="shared" si="380"/>
        <v>0</v>
      </c>
      <c r="I516">
        <f t="shared" si="381"/>
        <v>0</v>
      </c>
      <c r="J516">
        <f>IF(B516&gt;$AJ$2,0,HLOOKUP(C516,Assumptions!$A$6:$J$7,2,TRUE))</f>
        <v>0</v>
      </c>
      <c r="K516" s="4">
        <f t="shared" si="382"/>
        <v>0</v>
      </c>
      <c r="L516" s="4">
        <f t="shared" si="350"/>
        <v>0</v>
      </c>
      <c r="M516" s="4">
        <f t="shared" si="383"/>
        <v>0</v>
      </c>
      <c r="N516">
        <f t="shared" si="384"/>
        <v>0</v>
      </c>
      <c r="O516" s="21">
        <f t="shared" si="385"/>
        <v>0</v>
      </c>
      <c r="P516">
        <f>IF(B516&gt;$AJ$2,0,HLOOKUP(C516,Assumptions!$A$12:$J$13,2,TRUE))</f>
        <v>0</v>
      </c>
      <c r="Q516">
        <f t="shared" si="386"/>
        <v>0</v>
      </c>
      <c r="R516">
        <f t="shared" si="351"/>
        <v>0</v>
      </c>
      <c r="S516">
        <f t="shared" si="387"/>
        <v>0</v>
      </c>
      <c r="T516">
        <f t="shared" si="388"/>
        <v>0</v>
      </c>
      <c r="U516">
        <f t="shared" si="352"/>
        <v>0</v>
      </c>
      <c r="V516">
        <f t="shared" si="353"/>
        <v>0</v>
      </c>
      <c r="W516">
        <f t="shared" si="354"/>
        <v>0</v>
      </c>
      <c r="X516">
        <f t="shared" si="389"/>
        <v>0</v>
      </c>
      <c r="Y516">
        <f t="shared" si="355"/>
        <v>0</v>
      </c>
      <c r="Z516">
        <f t="shared" si="356"/>
        <v>0</v>
      </c>
      <c r="AA516">
        <f t="shared" si="357"/>
        <v>0</v>
      </c>
      <c r="AB516">
        <f t="shared" si="358"/>
        <v>0</v>
      </c>
      <c r="AC516" s="23">
        <f>IF(B516&gt;$AJ$2,0,HLOOKUP(YEAR(A516),Assumptions!$A$25:$AL$29,4,TRUE)/100)</f>
        <v>0</v>
      </c>
      <c r="AD516">
        <f t="shared" si="359"/>
        <v>0</v>
      </c>
      <c r="AE516">
        <f t="shared" si="360"/>
        <v>0</v>
      </c>
      <c r="AF516">
        <f t="shared" si="361"/>
        <v>0</v>
      </c>
      <c r="AG516">
        <f t="shared" si="362"/>
        <v>0</v>
      </c>
      <c r="AH516">
        <f t="shared" si="363"/>
        <v>0</v>
      </c>
      <c r="AI516">
        <f t="shared" si="364"/>
        <v>0</v>
      </c>
      <c r="AJ516">
        <f t="shared" si="365"/>
        <v>0</v>
      </c>
      <c r="AK516">
        <f t="shared" si="390"/>
        <v>0</v>
      </c>
      <c r="AL516">
        <f t="shared" si="366"/>
        <v>0</v>
      </c>
      <c r="AM516">
        <f t="shared" si="348"/>
        <v>0</v>
      </c>
      <c r="AN516">
        <f>IF($S$2=0,0,(SUMPRODUCT($K$2:$R$2,Assumptions!$B$34:$I$34)/$U$2+$J$2/$U$2*Assumptions!$A$34*G516)*K516*O515)</f>
        <v>0</v>
      </c>
      <c r="AO516">
        <f t="shared" si="367"/>
        <v>0</v>
      </c>
      <c r="AP516">
        <f t="shared" si="368"/>
        <v>0</v>
      </c>
      <c r="AQ516">
        <f>IF(B516&gt;$AJ$2,0,AQ515*(1+Assumptions!$B$43)^(1/12))</f>
        <v>0</v>
      </c>
      <c r="AR516" s="27">
        <f>IF(B516&gt;$AJ$2,0,(O515+R515)*Assumptions!$B$39/12*AQ515+AV516*Assumptions!$B$41/12)</f>
        <v>0</v>
      </c>
      <c r="AS516">
        <f t="shared" si="369"/>
        <v>0</v>
      </c>
      <c r="AT516" s="28">
        <f t="shared" si="370"/>
        <v>0</v>
      </c>
      <c r="AU516">
        <f t="shared" si="371"/>
        <v>0</v>
      </c>
      <c r="AV516" s="28">
        <f t="shared" si="372"/>
        <v>0</v>
      </c>
      <c r="AW516" s="28">
        <f t="shared" si="373"/>
        <v>0</v>
      </c>
      <c r="AX516" s="23">
        <f>HLOOKUP(YEAR(A516),Assumptions!$A$25:$AL$29,2,TRUE)/100</f>
        <v>1.1332999999999999E-2</v>
      </c>
      <c r="AY516" s="29">
        <f>1/(1+HLOOKUP(YEAR(A516),Assumptions!$A$18:$AL$20,3,TRUE))^(1/12)</f>
        <v>0.99906100631170314</v>
      </c>
      <c r="AZ516" s="26">
        <f t="shared" si="374"/>
        <v>0</v>
      </c>
      <c r="BA516">
        <f t="shared" si="375"/>
        <v>0</v>
      </c>
      <c r="BB516">
        <f t="shared" si="376"/>
        <v>0</v>
      </c>
      <c r="BC516">
        <f t="shared" si="377"/>
        <v>0</v>
      </c>
    </row>
    <row r="517" spans="1:55" x14ac:dyDescent="0.2">
      <c r="A517" s="3">
        <f t="shared" si="349"/>
        <v>58500</v>
      </c>
      <c r="B517">
        <f t="shared" si="346"/>
        <v>519</v>
      </c>
      <c r="C517">
        <f t="shared" si="378"/>
        <v>43.166666666666664</v>
      </c>
      <c r="D517">
        <f t="shared" si="379"/>
        <v>0</v>
      </c>
      <c r="E517">
        <f t="shared" si="347"/>
        <v>99</v>
      </c>
      <c r="F517">
        <f>IF(C517&gt;=$T$2,0,VLOOKUP($E517,'Mortality Table'!$A$3:$C$128,2+AF$2,FALSE))</f>
        <v>0</v>
      </c>
      <c r="G517">
        <f>F517*Assumptions!$B$1</f>
        <v>0</v>
      </c>
      <c r="H517">
        <f t="shared" si="380"/>
        <v>0</v>
      </c>
      <c r="I517">
        <f t="shared" si="381"/>
        <v>0</v>
      </c>
      <c r="J517">
        <f>IF(B517&gt;$AJ$2,0,HLOOKUP(C517,Assumptions!$A$6:$J$7,2,TRUE))</f>
        <v>0</v>
      </c>
      <c r="K517" s="4">
        <f t="shared" si="382"/>
        <v>0</v>
      </c>
      <c r="L517" s="4">
        <f t="shared" si="350"/>
        <v>0</v>
      </c>
      <c r="M517" s="4">
        <f t="shared" si="383"/>
        <v>0</v>
      </c>
      <c r="N517">
        <f t="shared" si="384"/>
        <v>0</v>
      </c>
      <c r="O517" s="21">
        <f t="shared" si="385"/>
        <v>0</v>
      </c>
      <c r="P517">
        <f>IF(B517&gt;$AJ$2,0,HLOOKUP(C517,Assumptions!$A$12:$J$13,2,TRUE))</f>
        <v>0</v>
      </c>
      <c r="Q517">
        <f t="shared" si="386"/>
        <v>0</v>
      </c>
      <c r="R517">
        <f t="shared" si="351"/>
        <v>0</v>
      </c>
      <c r="S517">
        <f t="shared" si="387"/>
        <v>0</v>
      </c>
      <c r="T517">
        <f t="shared" si="388"/>
        <v>0</v>
      </c>
      <c r="U517">
        <f t="shared" si="352"/>
        <v>0</v>
      </c>
      <c r="V517">
        <f t="shared" si="353"/>
        <v>0</v>
      </c>
      <c r="W517">
        <f t="shared" si="354"/>
        <v>0</v>
      </c>
      <c r="X517">
        <f t="shared" si="389"/>
        <v>0</v>
      </c>
      <c r="Y517">
        <f t="shared" si="355"/>
        <v>0</v>
      </c>
      <c r="Z517">
        <f t="shared" si="356"/>
        <v>0</v>
      </c>
      <c r="AA517">
        <f t="shared" si="357"/>
        <v>0</v>
      </c>
      <c r="AB517">
        <f t="shared" si="358"/>
        <v>0</v>
      </c>
      <c r="AC517" s="23">
        <f>IF(B517&gt;$AJ$2,0,HLOOKUP(YEAR(A517),Assumptions!$A$25:$AL$29,4,TRUE)/100)</f>
        <v>0</v>
      </c>
      <c r="AD517">
        <f t="shared" si="359"/>
        <v>0</v>
      </c>
      <c r="AE517">
        <f t="shared" si="360"/>
        <v>0</v>
      </c>
      <c r="AF517">
        <f t="shared" si="361"/>
        <v>0</v>
      </c>
      <c r="AG517">
        <f t="shared" si="362"/>
        <v>0</v>
      </c>
      <c r="AH517">
        <f t="shared" si="363"/>
        <v>0</v>
      </c>
      <c r="AI517">
        <f t="shared" si="364"/>
        <v>0</v>
      </c>
      <c r="AJ517">
        <f t="shared" si="365"/>
        <v>0</v>
      </c>
      <c r="AK517">
        <f t="shared" si="390"/>
        <v>0</v>
      </c>
      <c r="AL517">
        <f t="shared" si="366"/>
        <v>0</v>
      </c>
      <c r="AM517">
        <f t="shared" si="348"/>
        <v>0</v>
      </c>
      <c r="AN517">
        <f>IF($S$2=0,0,(SUMPRODUCT($K$2:$R$2,Assumptions!$B$34:$I$34)/$U$2+$J$2/$U$2*Assumptions!$A$34*G517)*K517*O516)</f>
        <v>0</v>
      </c>
      <c r="AO517">
        <f t="shared" si="367"/>
        <v>0</v>
      </c>
      <c r="AP517">
        <f t="shared" si="368"/>
        <v>0</v>
      </c>
      <c r="AQ517">
        <f>IF(B517&gt;$AJ$2,0,AQ516*(1+Assumptions!$B$43)^(1/12))</f>
        <v>0</v>
      </c>
      <c r="AR517" s="27">
        <f>IF(B517&gt;$AJ$2,0,(O516+R516)*Assumptions!$B$39/12*AQ516+AV517*Assumptions!$B$41/12)</f>
        <v>0</v>
      </c>
      <c r="AS517">
        <f t="shared" si="369"/>
        <v>0</v>
      </c>
      <c r="AT517" s="28">
        <f t="shared" si="370"/>
        <v>0</v>
      </c>
      <c r="AU517">
        <f t="shared" si="371"/>
        <v>0</v>
      </c>
      <c r="AV517" s="28">
        <f t="shared" si="372"/>
        <v>0</v>
      </c>
      <c r="AW517" s="28">
        <f t="shared" si="373"/>
        <v>0</v>
      </c>
      <c r="AX517" s="23">
        <f>HLOOKUP(YEAR(A517),Assumptions!$A$25:$AL$29,2,TRUE)/100</f>
        <v>1.1332999999999999E-2</v>
      </c>
      <c r="AY517" s="29">
        <f>1/(1+HLOOKUP(YEAR(A517),Assumptions!$A$18:$AL$20,3,TRUE))^(1/12)</f>
        <v>0.99906100631170314</v>
      </c>
      <c r="AZ517" s="26">
        <f t="shared" si="374"/>
        <v>0</v>
      </c>
      <c r="BA517">
        <f t="shared" si="375"/>
        <v>0</v>
      </c>
      <c r="BB517">
        <f t="shared" si="376"/>
        <v>0</v>
      </c>
      <c r="BC517">
        <f t="shared" si="377"/>
        <v>0</v>
      </c>
    </row>
    <row r="518" spans="1:55" x14ac:dyDescent="0.2">
      <c r="A518" s="3">
        <f t="shared" si="349"/>
        <v>58531</v>
      </c>
      <c r="B518">
        <f t="shared" si="346"/>
        <v>520</v>
      </c>
      <c r="C518">
        <f t="shared" si="378"/>
        <v>43.25</v>
      </c>
      <c r="D518">
        <f t="shared" si="379"/>
        <v>0</v>
      </c>
      <c r="E518">
        <f t="shared" si="347"/>
        <v>99</v>
      </c>
      <c r="F518">
        <f>IF(C518&gt;=$T$2,0,VLOOKUP($E518,'Mortality Table'!$A$3:$C$128,2+AF$2,FALSE))</f>
        <v>0</v>
      </c>
      <c r="G518">
        <f>F518*Assumptions!$B$1</f>
        <v>0</v>
      </c>
      <c r="H518">
        <f t="shared" si="380"/>
        <v>0</v>
      </c>
      <c r="I518">
        <f t="shared" si="381"/>
        <v>0</v>
      </c>
      <c r="J518">
        <f>IF(B518&gt;$AJ$2,0,HLOOKUP(C518,Assumptions!$A$6:$J$7,2,TRUE))</f>
        <v>0</v>
      </c>
      <c r="K518" s="4">
        <f t="shared" si="382"/>
        <v>0</v>
      </c>
      <c r="L518" s="4">
        <f t="shared" si="350"/>
        <v>0</v>
      </c>
      <c r="M518" s="4">
        <f t="shared" si="383"/>
        <v>0</v>
      </c>
      <c r="N518">
        <f t="shared" si="384"/>
        <v>0</v>
      </c>
      <c r="O518" s="21">
        <f t="shared" si="385"/>
        <v>0</v>
      </c>
      <c r="P518">
        <f>IF(B518&gt;$AJ$2,0,HLOOKUP(C518,Assumptions!$A$12:$J$13,2,TRUE))</f>
        <v>0</v>
      </c>
      <c r="Q518">
        <f t="shared" si="386"/>
        <v>0</v>
      </c>
      <c r="R518">
        <f t="shared" si="351"/>
        <v>0</v>
      </c>
      <c r="S518">
        <f t="shared" si="387"/>
        <v>0</v>
      </c>
      <c r="T518">
        <f t="shared" si="388"/>
        <v>0</v>
      </c>
      <c r="U518">
        <f t="shared" si="352"/>
        <v>0</v>
      </c>
      <c r="V518">
        <f t="shared" si="353"/>
        <v>0</v>
      </c>
      <c r="W518">
        <f t="shared" si="354"/>
        <v>0</v>
      </c>
      <c r="X518">
        <f t="shared" si="389"/>
        <v>0</v>
      </c>
      <c r="Y518">
        <f t="shared" si="355"/>
        <v>0</v>
      </c>
      <c r="Z518">
        <f t="shared" si="356"/>
        <v>0</v>
      </c>
      <c r="AA518">
        <f t="shared" si="357"/>
        <v>0</v>
      </c>
      <c r="AB518">
        <f t="shared" si="358"/>
        <v>0</v>
      </c>
      <c r="AC518" s="23">
        <f>IF(B518&gt;$AJ$2,0,HLOOKUP(YEAR(A518),Assumptions!$A$25:$AL$29,4,TRUE)/100)</f>
        <v>0</v>
      </c>
      <c r="AD518">
        <f t="shared" si="359"/>
        <v>0</v>
      </c>
      <c r="AE518">
        <f t="shared" si="360"/>
        <v>0</v>
      </c>
      <c r="AF518">
        <f t="shared" si="361"/>
        <v>0</v>
      </c>
      <c r="AG518">
        <f t="shared" si="362"/>
        <v>0</v>
      </c>
      <c r="AH518">
        <f t="shared" si="363"/>
        <v>0</v>
      </c>
      <c r="AI518">
        <f t="shared" si="364"/>
        <v>0</v>
      </c>
      <c r="AJ518">
        <f t="shared" si="365"/>
        <v>0</v>
      </c>
      <c r="AK518">
        <f t="shared" si="390"/>
        <v>0</v>
      </c>
      <c r="AL518">
        <f t="shared" si="366"/>
        <v>0</v>
      </c>
      <c r="AM518">
        <f t="shared" si="348"/>
        <v>0</v>
      </c>
      <c r="AN518">
        <f>IF($S$2=0,0,(SUMPRODUCT($K$2:$R$2,Assumptions!$B$34:$I$34)/$U$2+$J$2/$U$2*Assumptions!$A$34*G518)*K518*O517)</f>
        <v>0</v>
      </c>
      <c r="AO518">
        <f t="shared" si="367"/>
        <v>0</v>
      </c>
      <c r="AP518">
        <f t="shared" si="368"/>
        <v>0</v>
      </c>
      <c r="AQ518">
        <f>IF(B518&gt;$AJ$2,0,AQ517*(1+Assumptions!$B$43)^(1/12))</f>
        <v>0</v>
      </c>
      <c r="AR518" s="27">
        <f>IF(B518&gt;$AJ$2,0,(O517+R517)*Assumptions!$B$39/12*AQ517+AV518*Assumptions!$B$41/12)</f>
        <v>0</v>
      </c>
      <c r="AS518">
        <f t="shared" si="369"/>
        <v>0</v>
      </c>
      <c r="AT518" s="28">
        <f t="shared" si="370"/>
        <v>0</v>
      </c>
      <c r="AU518">
        <f t="shared" si="371"/>
        <v>0</v>
      </c>
      <c r="AV518" s="28">
        <f t="shared" si="372"/>
        <v>0</v>
      </c>
      <c r="AW518" s="28">
        <f t="shared" si="373"/>
        <v>0</v>
      </c>
      <c r="AX518" s="23">
        <f>HLOOKUP(YEAR(A518),Assumptions!$A$25:$AL$29,2,TRUE)/100</f>
        <v>1.1332999999999999E-2</v>
      </c>
      <c r="AY518" s="29">
        <f>1/(1+HLOOKUP(YEAR(A518),Assumptions!$A$18:$AL$20,3,TRUE))^(1/12)</f>
        <v>0.99906100631170314</v>
      </c>
      <c r="AZ518" s="26">
        <f t="shared" si="374"/>
        <v>0</v>
      </c>
      <c r="BA518">
        <f t="shared" si="375"/>
        <v>0</v>
      </c>
      <c r="BB518">
        <f t="shared" si="376"/>
        <v>0</v>
      </c>
      <c r="BC518">
        <f t="shared" si="377"/>
        <v>0</v>
      </c>
    </row>
    <row r="519" spans="1:55" x14ac:dyDescent="0.2">
      <c r="A519" s="3">
        <f t="shared" si="349"/>
        <v>58561</v>
      </c>
      <c r="B519">
        <f t="shared" si="346"/>
        <v>521</v>
      </c>
      <c r="C519">
        <f t="shared" si="378"/>
        <v>43.333333333333336</v>
      </c>
      <c r="D519">
        <f t="shared" si="379"/>
        <v>0</v>
      </c>
      <c r="E519">
        <f t="shared" si="347"/>
        <v>99</v>
      </c>
      <c r="F519">
        <f>IF(C519&gt;=$T$2,0,VLOOKUP($E519,'Mortality Table'!$A$3:$C$128,2+AF$2,FALSE))</f>
        <v>0</v>
      </c>
      <c r="G519">
        <f>F519*Assumptions!$B$1</f>
        <v>0</v>
      </c>
      <c r="H519">
        <f t="shared" si="380"/>
        <v>0</v>
      </c>
      <c r="I519">
        <f t="shared" si="381"/>
        <v>0</v>
      </c>
      <c r="J519">
        <f>IF(B519&gt;$AJ$2,0,HLOOKUP(C519,Assumptions!$A$6:$J$7,2,TRUE))</f>
        <v>0</v>
      </c>
      <c r="K519" s="4">
        <f t="shared" si="382"/>
        <v>0</v>
      </c>
      <c r="L519" s="4">
        <f t="shared" si="350"/>
        <v>0</v>
      </c>
      <c r="M519" s="4">
        <f t="shared" si="383"/>
        <v>0</v>
      </c>
      <c r="N519">
        <f t="shared" si="384"/>
        <v>0</v>
      </c>
      <c r="O519" s="21">
        <f t="shared" si="385"/>
        <v>0</v>
      </c>
      <c r="P519">
        <f>IF(B519&gt;$AJ$2,0,HLOOKUP(C519,Assumptions!$A$12:$J$13,2,TRUE))</f>
        <v>0</v>
      </c>
      <c r="Q519">
        <f t="shared" si="386"/>
        <v>0</v>
      </c>
      <c r="R519">
        <f t="shared" si="351"/>
        <v>0</v>
      </c>
      <c r="S519">
        <f t="shared" si="387"/>
        <v>0</v>
      </c>
      <c r="T519">
        <f t="shared" si="388"/>
        <v>0</v>
      </c>
      <c r="U519">
        <f t="shared" si="352"/>
        <v>0</v>
      </c>
      <c r="V519">
        <f t="shared" si="353"/>
        <v>0</v>
      </c>
      <c r="W519">
        <f t="shared" si="354"/>
        <v>0</v>
      </c>
      <c r="X519">
        <f t="shared" si="389"/>
        <v>0</v>
      </c>
      <c r="Y519">
        <f t="shared" si="355"/>
        <v>0</v>
      </c>
      <c r="Z519">
        <f t="shared" si="356"/>
        <v>0</v>
      </c>
      <c r="AA519">
        <f t="shared" si="357"/>
        <v>0</v>
      </c>
      <c r="AB519">
        <f t="shared" si="358"/>
        <v>0</v>
      </c>
      <c r="AC519" s="23">
        <f>IF(B519&gt;$AJ$2,0,HLOOKUP(YEAR(A519),Assumptions!$A$25:$AL$29,4,TRUE)/100)</f>
        <v>0</v>
      </c>
      <c r="AD519">
        <f t="shared" si="359"/>
        <v>0</v>
      </c>
      <c r="AE519">
        <f t="shared" si="360"/>
        <v>0</v>
      </c>
      <c r="AF519">
        <f t="shared" si="361"/>
        <v>0</v>
      </c>
      <c r="AG519">
        <f t="shared" si="362"/>
        <v>0</v>
      </c>
      <c r="AH519">
        <f t="shared" si="363"/>
        <v>0</v>
      </c>
      <c r="AI519">
        <f t="shared" si="364"/>
        <v>0</v>
      </c>
      <c r="AJ519">
        <f t="shared" si="365"/>
        <v>0</v>
      </c>
      <c r="AK519">
        <f t="shared" si="390"/>
        <v>0</v>
      </c>
      <c r="AL519">
        <f t="shared" si="366"/>
        <v>0</v>
      </c>
      <c r="AM519">
        <f t="shared" si="348"/>
        <v>0</v>
      </c>
      <c r="AN519">
        <f>IF($S$2=0,0,(SUMPRODUCT($K$2:$R$2,Assumptions!$B$34:$I$34)/$U$2+$J$2/$U$2*Assumptions!$A$34*G519)*K519*O518)</f>
        <v>0</v>
      </c>
      <c r="AO519">
        <f t="shared" si="367"/>
        <v>0</v>
      </c>
      <c r="AP519">
        <f t="shared" si="368"/>
        <v>0</v>
      </c>
      <c r="AQ519">
        <f>IF(B519&gt;$AJ$2,0,AQ518*(1+Assumptions!$B$43)^(1/12))</f>
        <v>0</v>
      </c>
      <c r="AR519" s="27">
        <f>IF(B519&gt;$AJ$2,0,(O518+R518)*Assumptions!$B$39/12*AQ518+AV519*Assumptions!$B$41/12)</f>
        <v>0</v>
      </c>
      <c r="AS519">
        <f t="shared" si="369"/>
        <v>0</v>
      </c>
      <c r="AT519" s="28">
        <f t="shared" si="370"/>
        <v>0</v>
      </c>
      <c r="AU519">
        <f t="shared" si="371"/>
        <v>0</v>
      </c>
      <c r="AV519" s="28">
        <f t="shared" si="372"/>
        <v>0</v>
      </c>
      <c r="AW519" s="28">
        <f t="shared" si="373"/>
        <v>0</v>
      </c>
      <c r="AX519" s="23">
        <f>HLOOKUP(YEAR(A519),Assumptions!$A$25:$AL$29,2,TRUE)/100</f>
        <v>1.1332999999999999E-2</v>
      </c>
      <c r="AY519" s="29">
        <f>1/(1+HLOOKUP(YEAR(A519),Assumptions!$A$18:$AL$20,3,TRUE))^(1/12)</f>
        <v>0.99906100631170314</v>
      </c>
      <c r="AZ519" s="26">
        <f t="shared" si="374"/>
        <v>0</v>
      </c>
      <c r="BA519">
        <f t="shared" si="375"/>
        <v>0</v>
      </c>
      <c r="BB519">
        <f t="shared" si="376"/>
        <v>0</v>
      </c>
      <c r="BC519">
        <f t="shared" si="377"/>
        <v>0</v>
      </c>
    </row>
    <row r="520" spans="1:55" x14ac:dyDescent="0.2">
      <c r="A520" s="3">
        <f t="shared" si="349"/>
        <v>58592</v>
      </c>
      <c r="B520">
        <f t="shared" si="346"/>
        <v>522</v>
      </c>
      <c r="C520">
        <f t="shared" si="378"/>
        <v>43.416666666666664</v>
      </c>
      <c r="D520">
        <f t="shared" si="379"/>
        <v>0</v>
      </c>
      <c r="E520">
        <f t="shared" si="347"/>
        <v>99</v>
      </c>
      <c r="F520">
        <f>IF(C520&gt;=$T$2,0,VLOOKUP($E520,'Mortality Table'!$A$3:$C$128,2+AF$2,FALSE))</f>
        <v>0</v>
      </c>
      <c r="G520">
        <f>F520*Assumptions!$B$1</f>
        <v>0</v>
      </c>
      <c r="H520">
        <f t="shared" si="380"/>
        <v>0</v>
      </c>
      <c r="I520">
        <f t="shared" si="381"/>
        <v>0</v>
      </c>
      <c r="J520">
        <f>IF(B520&gt;$AJ$2,0,HLOOKUP(C520,Assumptions!$A$6:$J$7,2,TRUE))</f>
        <v>0</v>
      </c>
      <c r="K520" s="4">
        <f t="shared" si="382"/>
        <v>0</v>
      </c>
      <c r="L520" s="4">
        <f t="shared" si="350"/>
        <v>0</v>
      </c>
      <c r="M520" s="4">
        <f t="shared" si="383"/>
        <v>0</v>
      </c>
      <c r="N520">
        <f t="shared" si="384"/>
        <v>0</v>
      </c>
      <c r="O520" s="21">
        <f t="shared" si="385"/>
        <v>0</v>
      </c>
      <c r="P520">
        <f>IF(B520&gt;$AJ$2,0,HLOOKUP(C520,Assumptions!$A$12:$J$13,2,TRUE))</f>
        <v>0</v>
      </c>
      <c r="Q520">
        <f t="shared" si="386"/>
        <v>0</v>
      </c>
      <c r="R520">
        <f t="shared" si="351"/>
        <v>0</v>
      </c>
      <c r="S520">
        <f t="shared" si="387"/>
        <v>0</v>
      </c>
      <c r="T520">
        <f t="shared" si="388"/>
        <v>0</v>
      </c>
      <c r="U520">
        <f t="shared" si="352"/>
        <v>0</v>
      </c>
      <c r="V520">
        <f t="shared" si="353"/>
        <v>0</v>
      </c>
      <c r="W520">
        <f t="shared" si="354"/>
        <v>0</v>
      </c>
      <c r="X520">
        <f t="shared" si="389"/>
        <v>0</v>
      </c>
      <c r="Y520">
        <f t="shared" si="355"/>
        <v>0</v>
      </c>
      <c r="Z520">
        <f t="shared" si="356"/>
        <v>0</v>
      </c>
      <c r="AA520">
        <f t="shared" si="357"/>
        <v>0</v>
      </c>
      <c r="AB520">
        <f t="shared" si="358"/>
        <v>0</v>
      </c>
      <c r="AC520" s="23">
        <f>IF(B520&gt;$AJ$2,0,HLOOKUP(YEAR(A520),Assumptions!$A$25:$AL$29,4,TRUE)/100)</f>
        <v>0</v>
      </c>
      <c r="AD520">
        <f t="shared" si="359"/>
        <v>0</v>
      </c>
      <c r="AE520">
        <f t="shared" si="360"/>
        <v>0</v>
      </c>
      <c r="AF520">
        <f t="shared" si="361"/>
        <v>0</v>
      </c>
      <c r="AG520">
        <f t="shared" si="362"/>
        <v>0</v>
      </c>
      <c r="AH520">
        <f t="shared" si="363"/>
        <v>0</v>
      </c>
      <c r="AI520">
        <f t="shared" si="364"/>
        <v>0</v>
      </c>
      <c r="AJ520">
        <f t="shared" si="365"/>
        <v>0</v>
      </c>
      <c r="AK520">
        <f t="shared" si="390"/>
        <v>0</v>
      </c>
      <c r="AL520">
        <f t="shared" si="366"/>
        <v>0</v>
      </c>
      <c r="AM520">
        <f t="shared" si="348"/>
        <v>0</v>
      </c>
      <c r="AN520">
        <f>IF($S$2=0,0,(SUMPRODUCT($K$2:$R$2,Assumptions!$B$34:$I$34)/$U$2+$J$2/$U$2*Assumptions!$A$34*G520)*K520*O519)</f>
        <v>0</v>
      </c>
      <c r="AO520">
        <f t="shared" si="367"/>
        <v>0</v>
      </c>
      <c r="AP520">
        <f t="shared" si="368"/>
        <v>0</v>
      </c>
      <c r="AQ520">
        <f>IF(B520&gt;$AJ$2,0,AQ519*(1+Assumptions!$B$43)^(1/12))</f>
        <v>0</v>
      </c>
      <c r="AR520" s="27">
        <f>IF(B520&gt;$AJ$2,0,(O519+R519)*Assumptions!$B$39/12*AQ519+AV520*Assumptions!$B$41/12)</f>
        <v>0</v>
      </c>
      <c r="AS520">
        <f t="shared" si="369"/>
        <v>0</v>
      </c>
      <c r="AT520" s="28">
        <f t="shared" si="370"/>
        <v>0</v>
      </c>
      <c r="AU520">
        <f t="shared" si="371"/>
        <v>0</v>
      </c>
      <c r="AV520" s="28">
        <f t="shared" si="372"/>
        <v>0</v>
      </c>
      <c r="AW520" s="28">
        <f t="shared" si="373"/>
        <v>0</v>
      </c>
      <c r="AX520" s="23">
        <f>HLOOKUP(YEAR(A520),Assumptions!$A$25:$AL$29,2,TRUE)/100</f>
        <v>1.1332999999999999E-2</v>
      </c>
      <c r="AY520" s="29">
        <f>1/(1+HLOOKUP(YEAR(A520),Assumptions!$A$18:$AL$20,3,TRUE))^(1/12)</f>
        <v>0.99906100631170314</v>
      </c>
      <c r="AZ520" s="26">
        <f t="shared" si="374"/>
        <v>0</v>
      </c>
      <c r="BA520">
        <f t="shared" si="375"/>
        <v>0</v>
      </c>
      <c r="BB520">
        <f t="shared" si="376"/>
        <v>0</v>
      </c>
      <c r="BC520">
        <f t="shared" si="377"/>
        <v>0</v>
      </c>
    </row>
    <row r="521" spans="1:55" x14ac:dyDescent="0.2">
      <c r="A521" s="3">
        <f t="shared" si="349"/>
        <v>58622</v>
      </c>
      <c r="B521">
        <f t="shared" si="346"/>
        <v>523</v>
      </c>
      <c r="C521">
        <f t="shared" si="378"/>
        <v>43.5</v>
      </c>
      <c r="D521">
        <f t="shared" si="379"/>
        <v>0</v>
      </c>
      <c r="E521">
        <f t="shared" si="347"/>
        <v>99</v>
      </c>
      <c r="F521">
        <f>IF(C521&gt;=$T$2,0,VLOOKUP($E521,'Mortality Table'!$A$3:$C$128,2+AF$2,FALSE))</f>
        <v>0</v>
      </c>
      <c r="G521">
        <f>F521*Assumptions!$B$1</f>
        <v>0</v>
      </c>
      <c r="H521">
        <f t="shared" si="380"/>
        <v>0</v>
      </c>
      <c r="I521">
        <f t="shared" si="381"/>
        <v>0</v>
      </c>
      <c r="J521">
        <f>IF(B521&gt;$AJ$2,0,HLOOKUP(C521,Assumptions!$A$6:$J$7,2,TRUE))</f>
        <v>0</v>
      </c>
      <c r="K521" s="4">
        <f t="shared" si="382"/>
        <v>0</v>
      </c>
      <c r="L521" s="4">
        <f t="shared" si="350"/>
        <v>0</v>
      </c>
      <c r="M521" s="4">
        <f t="shared" si="383"/>
        <v>0</v>
      </c>
      <c r="N521">
        <f t="shared" si="384"/>
        <v>0</v>
      </c>
      <c r="O521" s="21">
        <f t="shared" si="385"/>
        <v>0</v>
      </c>
      <c r="P521">
        <f>IF(B521&gt;$AJ$2,0,HLOOKUP(C521,Assumptions!$A$12:$J$13,2,TRUE))</f>
        <v>0</v>
      </c>
      <c r="Q521">
        <f t="shared" si="386"/>
        <v>0</v>
      </c>
      <c r="R521">
        <f t="shared" si="351"/>
        <v>0</v>
      </c>
      <c r="S521">
        <f t="shared" si="387"/>
        <v>0</v>
      </c>
      <c r="T521">
        <f t="shared" si="388"/>
        <v>0</v>
      </c>
      <c r="U521">
        <f t="shared" si="352"/>
        <v>0</v>
      </c>
      <c r="V521">
        <f t="shared" si="353"/>
        <v>0</v>
      </c>
      <c r="W521">
        <f t="shared" si="354"/>
        <v>0</v>
      </c>
      <c r="X521">
        <f t="shared" si="389"/>
        <v>0</v>
      </c>
      <c r="Y521">
        <f t="shared" si="355"/>
        <v>0</v>
      </c>
      <c r="Z521">
        <f t="shared" si="356"/>
        <v>0</v>
      </c>
      <c r="AA521">
        <f t="shared" si="357"/>
        <v>0</v>
      </c>
      <c r="AB521">
        <f t="shared" si="358"/>
        <v>0</v>
      </c>
      <c r="AC521" s="23">
        <f>IF(B521&gt;$AJ$2,0,HLOOKUP(YEAR(A521),Assumptions!$A$25:$AL$29,4,TRUE)/100)</f>
        <v>0</v>
      </c>
      <c r="AD521">
        <f t="shared" si="359"/>
        <v>0</v>
      </c>
      <c r="AE521">
        <f t="shared" si="360"/>
        <v>0</v>
      </c>
      <c r="AF521">
        <f t="shared" si="361"/>
        <v>0</v>
      </c>
      <c r="AG521">
        <f t="shared" si="362"/>
        <v>0</v>
      </c>
      <c r="AH521">
        <f t="shared" si="363"/>
        <v>0</v>
      </c>
      <c r="AI521">
        <f t="shared" si="364"/>
        <v>0</v>
      </c>
      <c r="AJ521">
        <f t="shared" si="365"/>
        <v>0</v>
      </c>
      <c r="AK521">
        <f t="shared" si="390"/>
        <v>0</v>
      </c>
      <c r="AL521">
        <f t="shared" si="366"/>
        <v>0</v>
      </c>
      <c r="AM521">
        <f t="shared" si="348"/>
        <v>0</v>
      </c>
      <c r="AN521">
        <f>IF($S$2=0,0,(SUMPRODUCT($K$2:$R$2,Assumptions!$B$34:$I$34)/$U$2+$J$2/$U$2*Assumptions!$A$34*G521)*K521*O520)</f>
        <v>0</v>
      </c>
      <c r="AO521">
        <f t="shared" si="367"/>
        <v>0</v>
      </c>
      <c r="AP521">
        <f t="shared" si="368"/>
        <v>0</v>
      </c>
      <c r="AQ521">
        <f>IF(B521&gt;$AJ$2,0,AQ520*(1+Assumptions!$B$43)^(1/12))</f>
        <v>0</v>
      </c>
      <c r="AR521" s="27">
        <f>IF(B521&gt;$AJ$2,0,(O520+R520)*Assumptions!$B$39/12*AQ520+AV521*Assumptions!$B$41/12)</f>
        <v>0</v>
      </c>
      <c r="AS521">
        <f t="shared" si="369"/>
        <v>0</v>
      </c>
      <c r="AT521" s="28">
        <f t="shared" si="370"/>
        <v>0</v>
      </c>
      <c r="AU521">
        <f t="shared" si="371"/>
        <v>0</v>
      </c>
      <c r="AV521" s="28">
        <f t="shared" si="372"/>
        <v>0</v>
      </c>
      <c r="AW521" s="28">
        <f t="shared" si="373"/>
        <v>0</v>
      </c>
      <c r="AX521" s="23">
        <f>HLOOKUP(YEAR(A521),Assumptions!$A$25:$AL$29,2,TRUE)/100</f>
        <v>1.1332999999999999E-2</v>
      </c>
      <c r="AY521" s="29">
        <f>1/(1+HLOOKUP(YEAR(A521),Assumptions!$A$18:$AL$20,3,TRUE))^(1/12)</f>
        <v>0.99906100631170314</v>
      </c>
      <c r="AZ521" s="26">
        <f t="shared" si="374"/>
        <v>0</v>
      </c>
      <c r="BA521">
        <f t="shared" si="375"/>
        <v>0</v>
      </c>
      <c r="BB521">
        <f t="shared" si="376"/>
        <v>0</v>
      </c>
      <c r="BC521">
        <f t="shared" si="377"/>
        <v>0</v>
      </c>
    </row>
    <row r="522" spans="1:55" x14ac:dyDescent="0.2">
      <c r="A522" s="3">
        <f t="shared" si="349"/>
        <v>58653</v>
      </c>
      <c r="B522">
        <f t="shared" si="346"/>
        <v>524</v>
      </c>
      <c r="C522">
        <f t="shared" si="378"/>
        <v>43.583333333333336</v>
      </c>
      <c r="D522">
        <f t="shared" si="379"/>
        <v>0</v>
      </c>
      <c r="E522">
        <f t="shared" si="347"/>
        <v>99</v>
      </c>
      <c r="F522">
        <f>IF(C522&gt;=$T$2,0,VLOOKUP($E522,'Mortality Table'!$A$3:$C$128,2+AF$2,FALSE))</f>
        <v>0</v>
      </c>
      <c r="G522">
        <f>F522*Assumptions!$B$1</f>
        <v>0</v>
      </c>
      <c r="H522">
        <f t="shared" si="380"/>
        <v>0</v>
      </c>
      <c r="I522">
        <f t="shared" si="381"/>
        <v>0</v>
      </c>
      <c r="J522">
        <f>IF(B522&gt;$AJ$2,0,HLOOKUP(C522,Assumptions!$A$6:$J$7,2,TRUE))</f>
        <v>0</v>
      </c>
      <c r="K522" s="4">
        <f t="shared" si="382"/>
        <v>0</v>
      </c>
      <c r="L522" s="4">
        <f t="shared" si="350"/>
        <v>0</v>
      </c>
      <c r="M522" s="4">
        <f t="shared" si="383"/>
        <v>0</v>
      </c>
      <c r="N522">
        <f t="shared" si="384"/>
        <v>0</v>
      </c>
      <c r="O522" s="21">
        <f t="shared" si="385"/>
        <v>0</v>
      </c>
      <c r="P522">
        <f>IF(B522&gt;$AJ$2,0,HLOOKUP(C522,Assumptions!$A$12:$J$13,2,TRUE))</f>
        <v>0</v>
      </c>
      <c r="Q522">
        <f t="shared" si="386"/>
        <v>0</v>
      </c>
      <c r="R522">
        <f t="shared" si="351"/>
        <v>0</v>
      </c>
      <c r="S522">
        <f t="shared" si="387"/>
        <v>0</v>
      </c>
      <c r="T522">
        <f t="shared" si="388"/>
        <v>0</v>
      </c>
      <c r="U522">
        <f t="shared" si="352"/>
        <v>0</v>
      </c>
      <c r="V522">
        <f t="shared" si="353"/>
        <v>0</v>
      </c>
      <c r="W522">
        <f t="shared" si="354"/>
        <v>0</v>
      </c>
      <c r="X522">
        <f t="shared" si="389"/>
        <v>0</v>
      </c>
      <c r="Y522">
        <f t="shared" si="355"/>
        <v>0</v>
      </c>
      <c r="Z522">
        <f t="shared" si="356"/>
        <v>0</v>
      </c>
      <c r="AA522">
        <f t="shared" si="357"/>
        <v>0</v>
      </c>
      <c r="AB522">
        <f t="shared" si="358"/>
        <v>0</v>
      </c>
      <c r="AC522" s="23">
        <f>IF(B522&gt;$AJ$2,0,HLOOKUP(YEAR(A522),Assumptions!$A$25:$AL$29,4,TRUE)/100)</f>
        <v>0</v>
      </c>
      <c r="AD522">
        <f t="shared" si="359"/>
        <v>0</v>
      </c>
      <c r="AE522">
        <f t="shared" si="360"/>
        <v>0</v>
      </c>
      <c r="AF522">
        <f t="shared" si="361"/>
        <v>0</v>
      </c>
      <c r="AG522">
        <f t="shared" si="362"/>
        <v>0</v>
      </c>
      <c r="AH522">
        <f t="shared" si="363"/>
        <v>0</v>
      </c>
      <c r="AI522">
        <f t="shared" si="364"/>
        <v>0</v>
      </c>
      <c r="AJ522">
        <f t="shared" si="365"/>
        <v>0</v>
      </c>
      <c r="AK522">
        <f t="shared" si="390"/>
        <v>0</v>
      </c>
      <c r="AL522">
        <f t="shared" si="366"/>
        <v>0</v>
      </c>
      <c r="AM522">
        <f t="shared" si="348"/>
        <v>0</v>
      </c>
      <c r="AN522">
        <f>IF($S$2=0,0,(SUMPRODUCT($K$2:$R$2,Assumptions!$B$34:$I$34)/$U$2+$J$2/$U$2*Assumptions!$A$34*G522)*K522*O521)</f>
        <v>0</v>
      </c>
      <c r="AO522">
        <f t="shared" si="367"/>
        <v>0</v>
      </c>
      <c r="AP522">
        <f t="shared" si="368"/>
        <v>0</v>
      </c>
      <c r="AQ522">
        <f>IF(B522&gt;$AJ$2,0,AQ521*(1+Assumptions!$B$43)^(1/12))</f>
        <v>0</v>
      </c>
      <c r="AR522" s="27">
        <f>IF(B522&gt;$AJ$2,0,(O521+R521)*Assumptions!$B$39/12*AQ521+AV522*Assumptions!$B$41/12)</f>
        <v>0</v>
      </c>
      <c r="AS522">
        <f t="shared" si="369"/>
        <v>0</v>
      </c>
      <c r="AT522" s="28">
        <f t="shared" si="370"/>
        <v>0</v>
      </c>
      <c r="AU522">
        <f t="shared" si="371"/>
        <v>0</v>
      </c>
      <c r="AV522" s="28">
        <f t="shared" si="372"/>
        <v>0</v>
      </c>
      <c r="AW522" s="28">
        <f t="shared" si="373"/>
        <v>0</v>
      </c>
      <c r="AX522" s="23">
        <f>HLOOKUP(YEAR(A522),Assumptions!$A$25:$AL$29,2,TRUE)/100</f>
        <v>1.1332999999999999E-2</v>
      </c>
      <c r="AY522" s="29">
        <f>1/(1+HLOOKUP(YEAR(A522),Assumptions!$A$18:$AL$20,3,TRUE))^(1/12)</f>
        <v>0.99906100631170314</v>
      </c>
      <c r="AZ522" s="26">
        <f t="shared" si="374"/>
        <v>0</v>
      </c>
      <c r="BA522">
        <f t="shared" si="375"/>
        <v>0</v>
      </c>
      <c r="BB522">
        <f t="shared" si="376"/>
        <v>0</v>
      </c>
      <c r="BC522">
        <f t="shared" si="377"/>
        <v>0</v>
      </c>
    </row>
    <row r="523" spans="1:55" x14ac:dyDescent="0.2">
      <c r="A523" s="3">
        <f t="shared" si="349"/>
        <v>58684</v>
      </c>
      <c r="B523">
        <f t="shared" si="346"/>
        <v>525</v>
      </c>
      <c r="C523">
        <f t="shared" si="378"/>
        <v>43.666666666666664</v>
      </c>
      <c r="D523">
        <f t="shared" si="379"/>
        <v>0</v>
      </c>
      <c r="E523">
        <f t="shared" si="347"/>
        <v>99</v>
      </c>
      <c r="F523">
        <f>IF(C523&gt;=$T$2,0,VLOOKUP($E523,'Mortality Table'!$A$3:$C$128,2+AF$2,FALSE))</f>
        <v>0</v>
      </c>
      <c r="G523">
        <f>F523*Assumptions!$B$1</f>
        <v>0</v>
      </c>
      <c r="H523">
        <f t="shared" si="380"/>
        <v>0</v>
      </c>
      <c r="I523">
        <f t="shared" si="381"/>
        <v>0</v>
      </c>
      <c r="J523">
        <f>IF(B523&gt;$AJ$2,0,HLOOKUP(C523,Assumptions!$A$6:$J$7,2,TRUE))</f>
        <v>0</v>
      </c>
      <c r="K523" s="4">
        <f t="shared" si="382"/>
        <v>0</v>
      </c>
      <c r="L523" s="4">
        <f t="shared" si="350"/>
        <v>0</v>
      </c>
      <c r="M523" s="4">
        <f t="shared" si="383"/>
        <v>0</v>
      </c>
      <c r="N523">
        <f t="shared" si="384"/>
        <v>0</v>
      </c>
      <c r="O523" s="21">
        <f t="shared" si="385"/>
        <v>0</v>
      </c>
      <c r="P523">
        <f>IF(B523&gt;$AJ$2,0,HLOOKUP(C523,Assumptions!$A$12:$J$13,2,TRUE))</f>
        <v>0</v>
      </c>
      <c r="Q523">
        <f t="shared" si="386"/>
        <v>0</v>
      </c>
      <c r="R523">
        <f t="shared" si="351"/>
        <v>0</v>
      </c>
      <c r="S523">
        <f t="shared" si="387"/>
        <v>0</v>
      </c>
      <c r="T523">
        <f t="shared" si="388"/>
        <v>0</v>
      </c>
      <c r="U523">
        <f t="shared" si="352"/>
        <v>0</v>
      </c>
      <c r="V523">
        <f t="shared" si="353"/>
        <v>0</v>
      </c>
      <c r="W523">
        <f t="shared" si="354"/>
        <v>0</v>
      </c>
      <c r="X523">
        <f t="shared" si="389"/>
        <v>0</v>
      </c>
      <c r="Y523">
        <f t="shared" si="355"/>
        <v>0</v>
      </c>
      <c r="Z523">
        <f t="shared" si="356"/>
        <v>0</v>
      </c>
      <c r="AA523">
        <f t="shared" si="357"/>
        <v>0</v>
      </c>
      <c r="AB523">
        <f t="shared" si="358"/>
        <v>0</v>
      </c>
      <c r="AC523" s="23">
        <f>IF(B523&gt;$AJ$2,0,HLOOKUP(YEAR(A523),Assumptions!$A$25:$AL$29,4,TRUE)/100)</f>
        <v>0</v>
      </c>
      <c r="AD523">
        <f t="shared" si="359"/>
        <v>0</v>
      </c>
      <c r="AE523">
        <f t="shared" si="360"/>
        <v>0</v>
      </c>
      <c r="AF523">
        <f t="shared" si="361"/>
        <v>0</v>
      </c>
      <c r="AG523">
        <f t="shared" si="362"/>
        <v>0</v>
      </c>
      <c r="AH523">
        <f t="shared" si="363"/>
        <v>0</v>
      </c>
      <c r="AI523">
        <f t="shared" si="364"/>
        <v>0</v>
      </c>
      <c r="AJ523">
        <f t="shared" si="365"/>
        <v>0</v>
      </c>
      <c r="AK523">
        <f t="shared" si="390"/>
        <v>0</v>
      </c>
      <c r="AL523">
        <f t="shared" si="366"/>
        <v>0</v>
      </c>
      <c r="AM523">
        <f t="shared" si="348"/>
        <v>0</v>
      </c>
      <c r="AN523">
        <f>IF($S$2=0,0,(SUMPRODUCT($K$2:$R$2,Assumptions!$B$34:$I$34)/$U$2+$J$2/$U$2*Assumptions!$A$34*G523)*K523*O522)</f>
        <v>0</v>
      </c>
      <c r="AO523">
        <f t="shared" si="367"/>
        <v>0</v>
      </c>
      <c r="AP523">
        <f t="shared" si="368"/>
        <v>0</v>
      </c>
      <c r="AQ523">
        <f>IF(B523&gt;$AJ$2,0,AQ522*(1+Assumptions!$B$43)^(1/12))</f>
        <v>0</v>
      </c>
      <c r="AR523" s="27">
        <f>IF(B523&gt;$AJ$2,0,(O522+R522)*Assumptions!$B$39/12*AQ522+AV523*Assumptions!$B$41/12)</f>
        <v>0</v>
      </c>
      <c r="AS523">
        <f t="shared" si="369"/>
        <v>0</v>
      </c>
      <c r="AT523" s="28">
        <f t="shared" si="370"/>
        <v>0</v>
      </c>
      <c r="AU523">
        <f t="shared" si="371"/>
        <v>0</v>
      </c>
      <c r="AV523" s="28">
        <f t="shared" si="372"/>
        <v>0</v>
      </c>
      <c r="AW523" s="28">
        <f t="shared" si="373"/>
        <v>0</v>
      </c>
      <c r="AX523" s="23">
        <f>HLOOKUP(YEAR(A523),Assumptions!$A$25:$AL$29,2,TRUE)/100</f>
        <v>1.1332999999999999E-2</v>
      </c>
      <c r="AY523" s="29">
        <f>1/(1+HLOOKUP(YEAR(A523),Assumptions!$A$18:$AL$20,3,TRUE))^(1/12)</f>
        <v>0.99906100631170314</v>
      </c>
      <c r="AZ523" s="26">
        <f t="shared" si="374"/>
        <v>0</v>
      </c>
      <c r="BA523">
        <f t="shared" si="375"/>
        <v>0</v>
      </c>
      <c r="BB523">
        <f t="shared" si="376"/>
        <v>0</v>
      </c>
      <c r="BC523">
        <f t="shared" si="377"/>
        <v>0</v>
      </c>
    </row>
    <row r="524" spans="1:55" x14ac:dyDescent="0.2">
      <c r="A524" s="3">
        <f t="shared" si="349"/>
        <v>58714</v>
      </c>
      <c r="B524">
        <f t="shared" ref="B524:B587" si="391">B523+1</f>
        <v>526</v>
      </c>
      <c r="C524">
        <f t="shared" si="378"/>
        <v>43.75</v>
      </c>
      <c r="D524">
        <f t="shared" si="379"/>
        <v>0</v>
      </c>
      <c r="E524">
        <f t="shared" ref="E524:E587" si="392">$C$2+INT($C524)</f>
        <v>99</v>
      </c>
      <c r="F524">
        <f>IF(C524&gt;=$T$2,0,VLOOKUP($E524,'Mortality Table'!$A$3:$C$128,2+AF$2,FALSE))</f>
        <v>0</v>
      </c>
      <c r="G524">
        <f>F524*Assumptions!$B$1</f>
        <v>0</v>
      </c>
      <c r="H524">
        <f t="shared" si="380"/>
        <v>0</v>
      </c>
      <c r="I524">
        <f t="shared" si="381"/>
        <v>0</v>
      </c>
      <c r="J524">
        <f>IF(B524&gt;$AJ$2,0,HLOOKUP(C524,Assumptions!$A$6:$J$7,2,TRUE))</f>
        <v>0</v>
      </c>
      <c r="K524" s="4">
        <f t="shared" si="382"/>
        <v>0</v>
      </c>
      <c r="L524" s="4">
        <f t="shared" si="350"/>
        <v>0</v>
      </c>
      <c r="M524" s="4">
        <f t="shared" si="383"/>
        <v>0</v>
      </c>
      <c r="N524">
        <f t="shared" si="384"/>
        <v>0</v>
      </c>
      <c r="O524" s="21">
        <f t="shared" si="385"/>
        <v>0</v>
      </c>
      <c r="P524">
        <f>IF(B524&gt;$AJ$2,0,HLOOKUP(C524,Assumptions!$A$12:$J$13,2,TRUE))</f>
        <v>0</v>
      </c>
      <c r="Q524">
        <f t="shared" si="386"/>
        <v>0</v>
      </c>
      <c r="R524">
        <f t="shared" si="351"/>
        <v>0</v>
      </c>
      <c r="S524">
        <f t="shared" si="387"/>
        <v>0</v>
      </c>
      <c r="T524">
        <f t="shared" si="388"/>
        <v>0</v>
      </c>
      <c r="U524">
        <f t="shared" si="352"/>
        <v>0</v>
      </c>
      <c r="V524">
        <f t="shared" si="353"/>
        <v>0</v>
      </c>
      <c r="W524">
        <f t="shared" si="354"/>
        <v>0</v>
      </c>
      <c r="X524">
        <f t="shared" si="389"/>
        <v>0</v>
      </c>
      <c r="Y524">
        <f t="shared" si="355"/>
        <v>0</v>
      </c>
      <c r="Z524">
        <f t="shared" si="356"/>
        <v>0</v>
      </c>
      <c r="AA524">
        <f t="shared" si="357"/>
        <v>0</v>
      </c>
      <c r="AB524">
        <f t="shared" si="358"/>
        <v>0</v>
      </c>
      <c r="AC524" s="23">
        <f>IF(B524&gt;$AJ$2,0,HLOOKUP(YEAR(A524),Assumptions!$A$25:$AL$29,4,TRUE)/100)</f>
        <v>0</v>
      </c>
      <c r="AD524">
        <f t="shared" si="359"/>
        <v>0</v>
      </c>
      <c r="AE524">
        <f t="shared" si="360"/>
        <v>0</v>
      </c>
      <c r="AF524">
        <f t="shared" si="361"/>
        <v>0</v>
      </c>
      <c r="AG524">
        <f t="shared" si="362"/>
        <v>0</v>
      </c>
      <c r="AH524">
        <f t="shared" si="363"/>
        <v>0</v>
      </c>
      <c r="AI524">
        <f t="shared" si="364"/>
        <v>0</v>
      </c>
      <c r="AJ524">
        <f t="shared" si="365"/>
        <v>0</v>
      </c>
      <c r="AK524">
        <f t="shared" si="390"/>
        <v>0</v>
      </c>
      <c r="AL524">
        <f t="shared" si="366"/>
        <v>0</v>
      </c>
      <c r="AM524">
        <f t="shared" ref="AM524:AM587" si="393">IF($AJ$2+1=B524,O523*(Z523+AD523+MAX(0,IF(MONTH(A524)=1,AB523-AD523-Z523,0)))+R523*(AF523+AH523),0)</f>
        <v>0</v>
      </c>
      <c r="AN524">
        <f>IF($S$2=0,0,(SUMPRODUCT($K$2:$R$2,Assumptions!$B$34:$I$34)/$U$2+$J$2/$U$2*Assumptions!$A$34*G524)*K524*O523)</f>
        <v>0</v>
      </c>
      <c r="AO524">
        <f t="shared" si="367"/>
        <v>0</v>
      </c>
      <c r="AP524">
        <f t="shared" si="368"/>
        <v>0</v>
      </c>
      <c r="AQ524">
        <f>IF(B524&gt;$AJ$2,0,AQ523*(1+Assumptions!$B$43)^(1/12))</f>
        <v>0</v>
      </c>
      <c r="AR524" s="27">
        <f>IF(B524&gt;$AJ$2,0,(O523+R523)*Assumptions!$B$39/12*AQ523+AV524*Assumptions!$B$41/12)</f>
        <v>0</v>
      </c>
      <c r="AS524">
        <f t="shared" si="369"/>
        <v>0</v>
      </c>
      <c r="AT524" s="28">
        <f t="shared" si="370"/>
        <v>0</v>
      </c>
      <c r="AU524">
        <f t="shared" si="371"/>
        <v>0</v>
      </c>
      <c r="AV524" s="28">
        <f t="shared" si="372"/>
        <v>0</v>
      </c>
      <c r="AW524" s="28">
        <f t="shared" si="373"/>
        <v>0</v>
      </c>
      <c r="AX524" s="23">
        <f>HLOOKUP(YEAR(A524),Assumptions!$A$25:$AL$29,2,TRUE)/100</f>
        <v>1.1332999999999999E-2</v>
      </c>
      <c r="AY524" s="29">
        <f>1/(1+HLOOKUP(YEAR(A524),Assumptions!$A$18:$AL$20,3,TRUE))^(1/12)</f>
        <v>0.99906100631170314</v>
      </c>
      <c r="AZ524" s="26">
        <f t="shared" si="374"/>
        <v>0</v>
      </c>
      <c r="BA524">
        <f t="shared" si="375"/>
        <v>0</v>
      </c>
      <c r="BB524">
        <f t="shared" si="376"/>
        <v>0</v>
      </c>
      <c r="BC524">
        <f t="shared" si="377"/>
        <v>0</v>
      </c>
    </row>
    <row r="525" spans="1:55" x14ac:dyDescent="0.2">
      <c r="A525" s="3">
        <f t="shared" ref="A525:A588" si="394">DATE(YEAR(A524),MONTH(A524)+2,1)-1</f>
        <v>58745</v>
      </c>
      <c r="B525">
        <f t="shared" si="391"/>
        <v>527</v>
      </c>
      <c r="C525">
        <f t="shared" si="378"/>
        <v>43.833333333333336</v>
      </c>
      <c r="D525">
        <f t="shared" si="379"/>
        <v>0</v>
      </c>
      <c r="E525">
        <f t="shared" si="392"/>
        <v>99</v>
      </c>
      <c r="F525">
        <f>IF(C525&gt;=$T$2,0,VLOOKUP($E525,'Mortality Table'!$A$3:$C$128,2+AF$2,FALSE))</f>
        <v>0</v>
      </c>
      <c r="G525">
        <f>F525*Assumptions!$B$1</f>
        <v>0</v>
      </c>
      <c r="H525">
        <f t="shared" si="380"/>
        <v>0</v>
      </c>
      <c r="I525">
        <f t="shared" si="381"/>
        <v>0</v>
      </c>
      <c r="J525">
        <f>IF(B525&gt;$AJ$2,0,HLOOKUP(C525,Assumptions!$A$6:$J$7,2,TRUE))</f>
        <v>0</v>
      </c>
      <c r="K525" s="4">
        <f t="shared" si="382"/>
        <v>0</v>
      </c>
      <c r="L525" s="4">
        <f t="shared" ref="L525:L588" si="395">IF(B525&gt;$AJ$2,0,IF(B525=$AJ$2,1/$U$2,IF(K526=0,0,1/$U$2)))</f>
        <v>0</v>
      </c>
      <c r="M525" s="4">
        <f t="shared" si="383"/>
        <v>0</v>
      </c>
      <c r="N525">
        <f t="shared" si="384"/>
        <v>0</v>
      </c>
      <c r="O525" s="21">
        <f t="shared" si="385"/>
        <v>0</v>
      </c>
      <c r="P525">
        <f>IF(B525&gt;$AJ$2,0,HLOOKUP(C525,Assumptions!$A$12:$J$13,2,TRUE))</f>
        <v>0</v>
      </c>
      <c r="Q525">
        <f t="shared" si="386"/>
        <v>0</v>
      </c>
      <c r="R525">
        <f t="shared" ref="R525:R588" si="396">IF(B525&gt;$AJ$2,0,Q525+R524-S525-T525)</f>
        <v>0</v>
      </c>
      <c r="S525">
        <f t="shared" si="387"/>
        <v>0</v>
      </c>
      <c r="T525">
        <f t="shared" si="388"/>
        <v>0</v>
      </c>
      <c r="U525">
        <f t="shared" ref="U525:U588" si="397">IF(B525&gt;$AJ$2,0,U524*(1+$I$2/100)^D525)</f>
        <v>0</v>
      </c>
      <c r="V525">
        <f t="shared" ref="V525:V588" si="398">IF(B525&gt;$AJ$2,0,IF(E525&lt;=75,SUM($J$2:$R$2),0))</f>
        <v>0</v>
      </c>
      <c r="W525">
        <f t="shared" ref="W525:W588" si="399">IF(B525&gt;$AJ$2,0,($G$2+IF(B525&lt;13,$D$2,IF(B525&lt;25,$E$2,IF(B525&lt;37,$F$2,0))))/100)</f>
        <v>0</v>
      </c>
      <c r="X525">
        <f t="shared" si="389"/>
        <v>0</v>
      </c>
      <c r="Y525">
        <f t="shared" ref="Y525:Y588" si="400">IF($W$2=0,0,(U525-V525)*(1-W525)/$U$2*K525)</f>
        <v>0</v>
      </c>
      <c r="Z525">
        <f t="shared" ref="Z525:Z588" si="401">IF(B525&gt;$AJ$2,0,(Z524+Y525)*(1+$V$2/100)^(1/12))</f>
        <v>0</v>
      </c>
      <c r="AA525">
        <f t="shared" ref="AA525:AA588" si="402">IF(B525&gt;$AJ$2,0,MAX(0,IF(MONTH(A525)=1,AB524-AD524-Z524,0)))</f>
        <v>0</v>
      </c>
      <c r="AB525">
        <f t="shared" ref="AB525:AB588" si="403">IF(B525&gt;$AJ$2,0,(AB524+Y525)*(1+MAX(AC525,$V$2/100))^(1/12))</f>
        <v>0</v>
      </c>
      <c r="AC525" s="23">
        <f>IF(B525&gt;$AJ$2,0,HLOOKUP(YEAR(A525),Assumptions!$A$25:$AL$29,4,TRUE)/100)</f>
        <v>0</v>
      </c>
      <c r="AD525">
        <f t="shared" ref="AD525:AD588" si="404">IF(B525&gt;$AJ$2,0,AD524+AA525)*(1+$V$2/100)^(1/12)</f>
        <v>0</v>
      </c>
      <c r="AE525">
        <f t="shared" ref="AE525:AE588" si="405">IF(B525&gt;$AJ$2,0,IF(R525=0,0,(AF525*(R525-Q525)+Q525*Z525)/R525))</f>
        <v>0</v>
      </c>
      <c r="AF525">
        <f t="shared" ref="AF525:AF588" si="406">IF(B525&gt;$AJ$2,0,AE524*(1+$V$2/100)^(1/12))</f>
        <v>0</v>
      </c>
      <c r="AG525">
        <f t="shared" ref="AG525:AG588" si="407">IF(B525&gt;$AJ$2,0,IF(R525=0,0,(AG524*(R525-Q525)*(1+MAX(AC525,$V$2/100))^(1/12)+Q525*AB525)/R525))</f>
        <v>0</v>
      </c>
      <c r="AH525">
        <f t="shared" ref="AH525:AH588" si="408">IF(B525&gt;$AJ$2,0,IF(R525=0,0,(AI525*(R525-Q525)+Q525*AD525)/R525))</f>
        <v>0</v>
      </c>
      <c r="AI525">
        <f t="shared" ref="AI525:AI588" si="409">IF(B525&gt;$AJ$2,0,(AH524+AJ525)*(1+$V$2/100)^(1/12))</f>
        <v>0</v>
      </c>
      <c r="AJ525">
        <f t="shared" ref="AJ525:AJ588" si="410">IF(B525&gt;$AJ$2,0,MAX(0,IF(MONTH(A525)=1,AG524-AE524-AH524)))</f>
        <v>0</v>
      </c>
      <c r="AK525">
        <f t="shared" si="390"/>
        <v>0</v>
      </c>
      <c r="AL525">
        <f t="shared" ref="AL525:AL588" si="411">N525*(Z525+AD525+BC525)+T525*(AE525+AH525)</f>
        <v>0</v>
      </c>
      <c r="AM525">
        <f t="shared" si="393"/>
        <v>0</v>
      </c>
      <c r="AN525">
        <f>IF($S$2=0,0,(SUMPRODUCT($K$2:$R$2,Assumptions!$B$34:$I$34)/$U$2+$J$2/$U$2*Assumptions!$A$34*G525)*K525*O524)</f>
        <v>0</v>
      </c>
      <c r="AO525">
        <f t="shared" ref="AO525:AO588" si="412">($P$2+$R$2)/$U$2*K525*O524</f>
        <v>0</v>
      </c>
      <c r="AP525">
        <f t="shared" ref="AP525:AP588" si="413">IF(B525&lt;=12,(X525-AO525)*$AB$2+AO525*0.06,IF(B525&lt;=24,(X525-AO525)*$AC$2+AO525*0.06,IF(B525&lt;=36,(X525-AO525)*$AD$2+AO525*0.06,0)))</f>
        <v>0</v>
      </c>
      <c r="AQ525">
        <f>IF(B525&gt;$AJ$2,0,AQ524*(1+Assumptions!$B$43)^(1/12))</f>
        <v>0</v>
      </c>
      <c r="AR525" s="27">
        <f>IF(B525&gt;$AJ$2,0,(O524+R524)*Assumptions!$B$39/12*AQ524+AV525*Assumptions!$B$41/12)</f>
        <v>0</v>
      </c>
      <c r="AS525">
        <f t="shared" ref="AS525:AS588" si="414">IF(B525&gt;$AJ$2,0,Y525*K525*O524)</f>
        <v>0</v>
      </c>
      <c r="AT525" s="28">
        <f t="shared" ref="AT525:AT588" si="415">IF(B525&gt;$AJ$2,0,O525*(Z525+AD525+AA526+BC525)+R525*(AE525+AH525+AJ526))</f>
        <v>0</v>
      </c>
      <c r="AU525">
        <f t="shared" ref="AU525:AU588" si="416">IF(B525&gt;$AJ$2,0,IF(MONTH(A525)=12,0,AU524+AW525*((1+AX525)^(1/12)-1)-BB525*((1+$V$2/100)^(1/12)-1)))</f>
        <v>0</v>
      </c>
      <c r="AV525" s="28">
        <f t="shared" ref="AV525:AV588" si="417">IF(B525&gt;$AJ$2,0,AT524+AS525-AN525+AU524)</f>
        <v>0</v>
      </c>
      <c r="AW525" s="28">
        <f t="shared" ref="AW525:AW588" si="418">IF(B525&gt;$AJ$2,0,AT524+X525+AU524-AN525-AP525-AR525)</f>
        <v>0</v>
      </c>
      <c r="AX525" s="23">
        <f>HLOOKUP(YEAR(A525),Assumptions!$A$25:$AL$29,2,TRUE)/100</f>
        <v>1.1332999999999999E-2</v>
      </c>
      <c r="AY525" s="29">
        <f>1/(1+HLOOKUP(YEAR(A525),Assumptions!$A$18:$AL$20,3,TRUE))^(1/12)</f>
        <v>0.99906100631170314</v>
      </c>
      <c r="AZ525" s="26">
        <f t="shared" ref="AZ525:AZ588" si="419">(AZ526+BA526+AR526+AP526-X526)*AY526</f>
        <v>0</v>
      </c>
      <c r="BA525">
        <f t="shared" ref="BA525:BA588" si="420">AK525+AL525+AM525+AN525</f>
        <v>0</v>
      </c>
      <c r="BB525">
        <f t="shared" ref="BB525:BB588" si="421">IF(B525&gt;$AJ$2,0,AT524-BC524*O524+AS525-AN525)</f>
        <v>0</v>
      </c>
      <c r="BC525">
        <f t="shared" ref="BC525:BC588" si="422">IF($W$2=0,0,IF(B525&gt;$AJ$2,0,BC524+V525/$U$2*K525-$U$2/12*V525/$U$2))</f>
        <v>0</v>
      </c>
    </row>
    <row r="526" spans="1:55" x14ac:dyDescent="0.2">
      <c r="A526" s="3">
        <f t="shared" si="394"/>
        <v>58775</v>
      </c>
      <c r="B526">
        <f t="shared" si="391"/>
        <v>528</v>
      </c>
      <c r="C526">
        <f t="shared" si="378"/>
        <v>43.916666666666664</v>
      </c>
      <c r="D526">
        <f t="shared" si="379"/>
        <v>0</v>
      </c>
      <c r="E526">
        <f t="shared" si="392"/>
        <v>99</v>
      </c>
      <c r="F526">
        <f>IF(C526&gt;=$T$2,0,VLOOKUP($E526,'Mortality Table'!$A$3:$C$128,2+AF$2,FALSE))</f>
        <v>0</v>
      </c>
      <c r="G526">
        <f>F526*Assumptions!$B$1</f>
        <v>0</v>
      </c>
      <c r="H526">
        <f t="shared" si="380"/>
        <v>0</v>
      </c>
      <c r="I526">
        <f t="shared" si="381"/>
        <v>0</v>
      </c>
      <c r="J526">
        <f>IF(B526&gt;$AJ$2,0,HLOOKUP(C526,Assumptions!$A$6:$J$7,2,TRUE))</f>
        <v>0</v>
      </c>
      <c r="K526" s="4">
        <f t="shared" si="382"/>
        <v>0</v>
      </c>
      <c r="L526" s="4">
        <f t="shared" si="395"/>
        <v>0</v>
      </c>
      <c r="M526" s="4">
        <f t="shared" si="383"/>
        <v>0</v>
      </c>
      <c r="N526">
        <f t="shared" si="384"/>
        <v>0</v>
      </c>
      <c r="O526" s="21">
        <f t="shared" si="385"/>
        <v>0</v>
      </c>
      <c r="P526">
        <f>IF(B526&gt;$AJ$2,0,HLOOKUP(C526,Assumptions!$A$12:$J$13,2,TRUE))</f>
        <v>0</v>
      </c>
      <c r="Q526">
        <f t="shared" si="386"/>
        <v>0</v>
      </c>
      <c r="R526">
        <f t="shared" si="396"/>
        <v>0</v>
      </c>
      <c r="S526">
        <f t="shared" si="387"/>
        <v>0</v>
      </c>
      <c r="T526">
        <f t="shared" si="388"/>
        <v>0</v>
      </c>
      <c r="U526">
        <f t="shared" si="397"/>
        <v>0</v>
      </c>
      <c r="V526">
        <f t="shared" si="398"/>
        <v>0</v>
      </c>
      <c r="W526">
        <f t="shared" si="399"/>
        <v>0</v>
      </c>
      <c r="X526">
        <f t="shared" si="389"/>
        <v>0</v>
      </c>
      <c r="Y526">
        <f t="shared" si="400"/>
        <v>0</v>
      </c>
      <c r="Z526">
        <f t="shared" si="401"/>
        <v>0</v>
      </c>
      <c r="AA526">
        <f t="shared" si="402"/>
        <v>0</v>
      </c>
      <c r="AB526">
        <f t="shared" si="403"/>
        <v>0</v>
      </c>
      <c r="AC526" s="23">
        <f>IF(B526&gt;$AJ$2,0,HLOOKUP(YEAR(A526),Assumptions!$A$25:$AL$29,4,TRUE)/100)</f>
        <v>0</v>
      </c>
      <c r="AD526">
        <f t="shared" si="404"/>
        <v>0</v>
      </c>
      <c r="AE526">
        <f t="shared" si="405"/>
        <v>0</v>
      </c>
      <c r="AF526">
        <f t="shared" si="406"/>
        <v>0</v>
      </c>
      <c r="AG526">
        <f t="shared" si="407"/>
        <v>0</v>
      </c>
      <c r="AH526">
        <f t="shared" si="408"/>
        <v>0</v>
      </c>
      <c r="AI526">
        <f t="shared" si="409"/>
        <v>0</v>
      </c>
      <c r="AJ526">
        <f t="shared" si="410"/>
        <v>0</v>
      </c>
      <c r="AK526">
        <f t="shared" si="390"/>
        <v>0</v>
      </c>
      <c r="AL526">
        <f t="shared" si="411"/>
        <v>0</v>
      </c>
      <c r="AM526">
        <f t="shared" si="393"/>
        <v>0</v>
      </c>
      <c r="AN526">
        <f>IF($S$2=0,0,(SUMPRODUCT($K$2:$R$2,Assumptions!$B$34:$I$34)/$U$2+$J$2/$U$2*Assumptions!$A$34*G526)*K526*O525)</f>
        <v>0</v>
      </c>
      <c r="AO526">
        <f t="shared" si="412"/>
        <v>0</v>
      </c>
      <c r="AP526">
        <f t="shared" si="413"/>
        <v>0</v>
      </c>
      <c r="AQ526">
        <f>IF(B526&gt;$AJ$2,0,AQ525*(1+Assumptions!$B$43)^(1/12))</f>
        <v>0</v>
      </c>
      <c r="AR526" s="27">
        <f>IF(B526&gt;$AJ$2,0,(O525+R525)*Assumptions!$B$39/12*AQ525+AV526*Assumptions!$B$41/12)</f>
        <v>0</v>
      </c>
      <c r="AS526">
        <f t="shared" si="414"/>
        <v>0</v>
      </c>
      <c r="AT526" s="28">
        <f t="shared" si="415"/>
        <v>0</v>
      </c>
      <c r="AU526">
        <f t="shared" si="416"/>
        <v>0</v>
      </c>
      <c r="AV526" s="28">
        <f t="shared" si="417"/>
        <v>0</v>
      </c>
      <c r="AW526" s="28">
        <f t="shared" si="418"/>
        <v>0</v>
      </c>
      <c r="AX526" s="23">
        <f>HLOOKUP(YEAR(A526),Assumptions!$A$25:$AL$29,2,TRUE)/100</f>
        <v>1.1332999999999999E-2</v>
      </c>
      <c r="AY526" s="29">
        <f>1/(1+HLOOKUP(YEAR(A526),Assumptions!$A$18:$AL$20,3,TRUE))^(1/12)</f>
        <v>0.99906100631170314</v>
      </c>
      <c r="AZ526" s="26">
        <f t="shared" si="419"/>
        <v>0</v>
      </c>
      <c r="BA526">
        <f t="shared" si="420"/>
        <v>0</v>
      </c>
      <c r="BB526">
        <f t="shared" si="421"/>
        <v>0</v>
      </c>
      <c r="BC526">
        <f t="shared" si="422"/>
        <v>0</v>
      </c>
    </row>
    <row r="527" spans="1:55" x14ac:dyDescent="0.2">
      <c r="A527" s="3">
        <f t="shared" si="394"/>
        <v>58806</v>
      </c>
      <c r="B527">
        <f t="shared" si="391"/>
        <v>529</v>
      </c>
      <c r="C527">
        <f t="shared" si="378"/>
        <v>44</v>
      </c>
      <c r="D527">
        <f t="shared" si="379"/>
        <v>1</v>
      </c>
      <c r="E527">
        <f t="shared" si="392"/>
        <v>100</v>
      </c>
      <c r="F527">
        <f>IF(C527&gt;=$T$2,0,VLOOKUP($E527,'Mortality Table'!$A$3:$C$128,2+AF$2,FALSE))</f>
        <v>0</v>
      </c>
      <c r="G527">
        <f>F527*Assumptions!$B$1</f>
        <v>0</v>
      </c>
      <c r="H527">
        <f t="shared" si="380"/>
        <v>0</v>
      </c>
      <c r="I527">
        <f t="shared" si="381"/>
        <v>0</v>
      </c>
      <c r="J527">
        <f>IF(B527&gt;$AJ$2,0,HLOOKUP(C527,Assumptions!$A$6:$J$7,2,TRUE))</f>
        <v>0</v>
      </c>
      <c r="K527" s="4">
        <f t="shared" si="382"/>
        <v>0</v>
      </c>
      <c r="L527" s="4">
        <f t="shared" si="395"/>
        <v>0</v>
      </c>
      <c r="M527" s="4">
        <f t="shared" si="383"/>
        <v>0</v>
      </c>
      <c r="N527">
        <f t="shared" si="384"/>
        <v>0</v>
      </c>
      <c r="O527" s="21">
        <f t="shared" si="385"/>
        <v>0</v>
      </c>
      <c r="P527">
        <f>IF(B527&gt;$AJ$2,0,HLOOKUP(C527,Assumptions!$A$12:$J$13,2,TRUE))</f>
        <v>0</v>
      </c>
      <c r="Q527">
        <f t="shared" si="386"/>
        <v>0</v>
      </c>
      <c r="R527">
        <f t="shared" si="396"/>
        <v>0</v>
      </c>
      <c r="S527">
        <f t="shared" si="387"/>
        <v>0</v>
      </c>
      <c r="T527">
        <f t="shared" si="388"/>
        <v>0</v>
      </c>
      <c r="U527">
        <f t="shared" si="397"/>
        <v>0</v>
      </c>
      <c r="V527">
        <f t="shared" si="398"/>
        <v>0</v>
      </c>
      <c r="W527">
        <f t="shared" si="399"/>
        <v>0</v>
      </c>
      <c r="X527">
        <f t="shared" si="389"/>
        <v>0</v>
      </c>
      <c r="Y527">
        <f t="shared" si="400"/>
        <v>0</v>
      </c>
      <c r="Z527">
        <f t="shared" si="401"/>
        <v>0</v>
      </c>
      <c r="AA527">
        <f t="shared" si="402"/>
        <v>0</v>
      </c>
      <c r="AB527">
        <f t="shared" si="403"/>
        <v>0</v>
      </c>
      <c r="AC527" s="23">
        <f>IF(B527&gt;$AJ$2,0,HLOOKUP(YEAR(A527),Assumptions!$A$25:$AL$29,4,TRUE)/100)</f>
        <v>0</v>
      </c>
      <c r="AD527">
        <f t="shared" si="404"/>
        <v>0</v>
      </c>
      <c r="AE527">
        <f t="shared" si="405"/>
        <v>0</v>
      </c>
      <c r="AF527">
        <f t="shared" si="406"/>
        <v>0</v>
      </c>
      <c r="AG527">
        <f t="shared" si="407"/>
        <v>0</v>
      </c>
      <c r="AH527">
        <f t="shared" si="408"/>
        <v>0</v>
      </c>
      <c r="AI527">
        <f t="shared" si="409"/>
        <v>0</v>
      </c>
      <c r="AJ527">
        <f t="shared" si="410"/>
        <v>0</v>
      </c>
      <c r="AK527">
        <f t="shared" si="390"/>
        <v>0</v>
      </c>
      <c r="AL527">
        <f t="shared" si="411"/>
        <v>0</v>
      </c>
      <c r="AM527">
        <f t="shared" si="393"/>
        <v>0</v>
      </c>
      <c r="AN527">
        <f>IF($S$2=0,0,(SUMPRODUCT($K$2:$R$2,Assumptions!$B$34:$I$34)/$U$2+$J$2/$U$2*Assumptions!$A$34*G527)*K527*O526)</f>
        <v>0</v>
      </c>
      <c r="AO527">
        <f t="shared" si="412"/>
        <v>0</v>
      </c>
      <c r="AP527">
        <f t="shared" si="413"/>
        <v>0</v>
      </c>
      <c r="AQ527">
        <f>IF(B527&gt;$AJ$2,0,AQ526*(1+Assumptions!$B$43)^(1/12))</f>
        <v>0</v>
      </c>
      <c r="AR527" s="27">
        <f>IF(B527&gt;$AJ$2,0,(O526+R526)*Assumptions!$B$39/12*AQ526+AV527*Assumptions!$B$41/12)</f>
        <v>0</v>
      </c>
      <c r="AS527">
        <f t="shared" si="414"/>
        <v>0</v>
      </c>
      <c r="AT527" s="28">
        <f t="shared" si="415"/>
        <v>0</v>
      </c>
      <c r="AU527">
        <f t="shared" si="416"/>
        <v>0</v>
      </c>
      <c r="AV527" s="28">
        <f t="shared" si="417"/>
        <v>0</v>
      </c>
      <c r="AW527" s="28">
        <f t="shared" si="418"/>
        <v>0</v>
      </c>
      <c r="AX527" s="23">
        <f>HLOOKUP(YEAR(A527),Assumptions!$A$25:$AL$29,2,TRUE)/100</f>
        <v>1.1332999999999999E-2</v>
      </c>
      <c r="AY527" s="29">
        <f>1/(1+HLOOKUP(YEAR(A527),Assumptions!$A$18:$AL$20,3,TRUE))^(1/12)</f>
        <v>0.99906100631170314</v>
      </c>
      <c r="AZ527" s="26">
        <f t="shared" si="419"/>
        <v>0</v>
      </c>
      <c r="BA527">
        <f t="shared" si="420"/>
        <v>0</v>
      </c>
      <c r="BB527">
        <f t="shared" si="421"/>
        <v>0</v>
      </c>
      <c r="BC527">
        <f t="shared" si="422"/>
        <v>0</v>
      </c>
    </row>
    <row r="528" spans="1:55" x14ac:dyDescent="0.2">
      <c r="A528" s="3">
        <f t="shared" si="394"/>
        <v>58837</v>
      </c>
      <c r="B528">
        <f t="shared" si="391"/>
        <v>530</v>
      </c>
      <c r="C528">
        <f t="shared" si="378"/>
        <v>44.083333333333336</v>
      </c>
      <c r="D528">
        <f t="shared" si="379"/>
        <v>0</v>
      </c>
      <c r="E528">
        <f t="shared" si="392"/>
        <v>100</v>
      </c>
      <c r="F528">
        <f>IF(C528&gt;=$T$2,0,VLOOKUP($E528,'Mortality Table'!$A$3:$C$128,2+AF$2,FALSE))</f>
        <v>0</v>
      </c>
      <c r="G528">
        <f>F528*Assumptions!$B$1</f>
        <v>0</v>
      </c>
      <c r="H528">
        <f t="shared" si="380"/>
        <v>0</v>
      </c>
      <c r="I528">
        <f t="shared" si="381"/>
        <v>0</v>
      </c>
      <c r="J528">
        <f>IF(B528&gt;$AJ$2,0,HLOOKUP(C528,Assumptions!$A$6:$J$7,2,TRUE))</f>
        <v>0</v>
      </c>
      <c r="K528" s="4">
        <f t="shared" si="382"/>
        <v>0</v>
      </c>
      <c r="L528" s="4">
        <f t="shared" si="395"/>
        <v>0</v>
      </c>
      <c r="M528" s="4">
        <f t="shared" si="383"/>
        <v>0</v>
      </c>
      <c r="N528">
        <f t="shared" si="384"/>
        <v>0</v>
      </c>
      <c r="O528" s="21">
        <f t="shared" si="385"/>
        <v>0</v>
      </c>
      <c r="P528">
        <f>IF(B528&gt;$AJ$2,0,HLOOKUP(C528,Assumptions!$A$12:$J$13,2,TRUE))</f>
        <v>0</v>
      </c>
      <c r="Q528">
        <f t="shared" si="386"/>
        <v>0</v>
      </c>
      <c r="R528">
        <f t="shared" si="396"/>
        <v>0</v>
      </c>
      <c r="S528">
        <f t="shared" si="387"/>
        <v>0</v>
      </c>
      <c r="T528">
        <f t="shared" si="388"/>
        <v>0</v>
      </c>
      <c r="U528">
        <f t="shared" si="397"/>
        <v>0</v>
      </c>
      <c r="V528">
        <f t="shared" si="398"/>
        <v>0</v>
      </c>
      <c r="W528">
        <f t="shared" si="399"/>
        <v>0</v>
      </c>
      <c r="X528">
        <f t="shared" si="389"/>
        <v>0</v>
      </c>
      <c r="Y528">
        <f t="shared" si="400"/>
        <v>0</v>
      </c>
      <c r="Z528">
        <f t="shared" si="401"/>
        <v>0</v>
      </c>
      <c r="AA528">
        <f t="shared" si="402"/>
        <v>0</v>
      </c>
      <c r="AB528">
        <f t="shared" si="403"/>
        <v>0</v>
      </c>
      <c r="AC528" s="23">
        <f>IF(B528&gt;$AJ$2,0,HLOOKUP(YEAR(A528),Assumptions!$A$25:$AL$29,4,TRUE)/100)</f>
        <v>0</v>
      </c>
      <c r="AD528">
        <f t="shared" si="404"/>
        <v>0</v>
      </c>
      <c r="AE528">
        <f t="shared" si="405"/>
        <v>0</v>
      </c>
      <c r="AF528">
        <f t="shared" si="406"/>
        <v>0</v>
      </c>
      <c r="AG528">
        <f t="shared" si="407"/>
        <v>0</v>
      </c>
      <c r="AH528">
        <f t="shared" si="408"/>
        <v>0</v>
      </c>
      <c r="AI528">
        <f t="shared" si="409"/>
        <v>0</v>
      </c>
      <c r="AJ528">
        <f t="shared" si="410"/>
        <v>0</v>
      </c>
      <c r="AK528">
        <f t="shared" si="390"/>
        <v>0</v>
      </c>
      <c r="AL528">
        <f t="shared" si="411"/>
        <v>0</v>
      </c>
      <c r="AM528">
        <f t="shared" si="393"/>
        <v>0</v>
      </c>
      <c r="AN528">
        <f>IF($S$2=0,0,(SUMPRODUCT($K$2:$R$2,Assumptions!$B$34:$I$34)/$U$2+$J$2/$U$2*Assumptions!$A$34*G528)*K528*O527)</f>
        <v>0</v>
      </c>
      <c r="AO528">
        <f t="shared" si="412"/>
        <v>0</v>
      </c>
      <c r="AP528">
        <f t="shared" si="413"/>
        <v>0</v>
      </c>
      <c r="AQ528">
        <f>IF(B528&gt;$AJ$2,0,AQ527*(1+Assumptions!$B$43)^(1/12))</f>
        <v>0</v>
      </c>
      <c r="AR528" s="27">
        <f>IF(B528&gt;$AJ$2,0,(O527+R527)*Assumptions!$B$39/12*AQ527+AV528*Assumptions!$B$41/12)</f>
        <v>0</v>
      </c>
      <c r="AS528">
        <f t="shared" si="414"/>
        <v>0</v>
      </c>
      <c r="AT528" s="28">
        <f t="shared" si="415"/>
        <v>0</v>
      </c>
      <c r="AU528">
        <f t="shared" si="416"/>
        <v>0</v>
      </c>
      <c r="AV528" s="28">
        <f t="shared" si="417"/>
        <v>0</v>
      </c>
      <c r="AW528" s="28">
        <f t="shared" si="418"/>
        <v>0</v>
      </c>
      <c r="AX528" s="23">
        <f>HLOOKUP(YEAR(A528),Assumptions!$A$25:$AL$29,2,TRUE)/100</f>
        <v>1.1332999999999999E-2</v>
      </c>
      <c r="AY528" s="29">
        <f>1/(1+HLOOKUP(YEAR(A528),Assumptions!$A$18:$AL$20,3,TRUE))^(1/12)</f>
        <v>0.99906100631170314</v>
      </c>
      <c r="AZ528" s="26">
        <f t="shared" si="419"/>
        <v>0</v>
      </c>
      <c r="BA528">
        <f t="shared" si="420"/>
        <v>0</v>
      </c>
      <c r="BB528">
        <f t="shared" si="421"/>
        <v>0</v>
      </c>
      <c r="BC528">
        <f t="shared" si="422"/>
        <v>0</v>
      </c>
    </row>
    <row r="529" spans="1:55" x14ac:dyDescent="0.2">
      <c r="A529" s="3">
        <f t="shared" si="394"/>
        <v>58865</v>
      </c>
      <c r="B529">
        <f t="shared" si="391"/>
        <v>531</v>
      </c>
      <c r="C529">
        <f t="shared" si="378"/>
        <v>44.166666666666664</v>
      </c>
      <c r="D529">
        <f t="shared" si="379"/>
        <v>0</v>
      </c>
      <c r="E529">
        <f t="shared" si="392"/>
        <v>100</v>
      </c>
      <c r="F529">
        <f>IF(C529&gt;=$T$2,0,VLOOKUP($E529,'Mortality Table'!$A$3:$C$128,2+AF$2,FALSE))</f>
        <v>0</v>
      </c>
      <c r="G529">
        <f>F529*Assumptions!$B$1</f>
        <v>0</v>
      </c>
      <c r="H529">
        <f t="shared" si="380"/>
        <v>0</v>
      </c>
      <c r="I529">
        <f t="shared" si="381"/>
        <v>0</v>
      </c>
      <c r="J529">
        <f>IF(B529&gt;$AJ$2,0,HLOOKUP(C529,Assumptions!$A$6:$J$7,2,TRUE))</f>
        <v>0</v>
      </c>
      <c r="K529" s="4">
        <f t="shared" si="382"/>
        <v>0</v>
      </c>
      <c r="L529" s="4">
        <f t="shared" si="395"/>
        <v>0</v>
      </c>
      <c r="M529" s="4">
        <f t="shared" si="383"/>
        <v>0</v>
      </c>
      <c r="N529">
        <f t="shared" si="384"/>
        <v>0</v>
      </c>
      <c r="O529" s="21">
        <f t="shared" si="385"/>
        <v>0</v>
      </c>
      <c r="P529">
        <f>IF(B529&gt;$AJ$2,0,HLOOKUP(C529,Assumptions!$A$12:$J$13,2,TRUE))</f>
        <v>0</v>
      </c>
      <c r="Q529">
        <f t="shared" si="386"/>
        <v>0</v>
      </c>
      <c r="R529">
        <f t="shared" si="396"/>
        <v>0</v>
      </c>
      <c r="S529">
        <f t="shared" si="387"/>
        <v>0</v>
      </c>
      <c r="T529">
        <f t="shared" si="388"/>
        <v>0</v>
      </c>
      <c r="U529">
        <f t="shared" si="397"/>
        <v>0</v>
      </c>
      <c r="V529">
        <f t="shared" si="398"/>
        <v>0</v>
      </c>
      <c r="W529">
        <f t="shared" si="399"/>
        <v>0</v>
      </c>
      <c r="X529">
        <f t="shared" si="389"/>
        <v>0</v>
      </c>
      <c r="Y529">
        <f t="shared" si="400"/>
        <v>0</v>
      </c>
      <c r="Z529">
        <f t="shared" si="401"/>
        <v>0</v>
      </c>
      <c r="AA529">
        <f t="shared" si="402"/>
        <v>0</v>
      </c>
      <c r="AB529">
        <f t="shared" si="403"/>
        <v>0</v>
      </c>
      <c r="AC529" s="23">
        <f>IF(B529&gt;$AJ$2,0,HLOOKUP(YEAR(A529),Assumptions!$A$25:$AL$29,4,TRUE)/100)</f>
        <v>0</v>
      </c>
      <c r="AD529">
        <f t="shared" si="404"/>
        <v>0</v>
      </c>
      <c r="AE529">
        <f t="shared" si="405"/>
        <v>0</v>
      </c>
      <c r="AF529">
        <f t="shared" si="406"/>
        <v>0</v>
      </c>
      <c r="AG529">
        <f t="shared" si="407"/>
        <v>0</v>
      </c>
      <c r="AH529">
        <f t="shared" si="408"/>
        <v>0</v>
      </c>
      <c r="AI529">
        <f t="shared" si="409"/>
        <v>0</v>
      </c>
      <c r="AJ529">
        <f t="shared" si="410"/>
        <v>0</v>
      </c>
      <c r="AK529">
        <f t="shared" si="390"/>
        <v>0</v>
      </c>
      <c r="AL529">
        <f t="shared" si="411"/>
        <v>0</v>
      </c>
      <c r="AM529">
        <f t="shared" si="393"/>
        <v>0</v>
      </c>
      <c r="AN529">
        <f>IF($S$2=0,0,(SUMPRODUCT($K$2:$R$2,Assumptions!$B$34:$I$34)/$U$2+$J$2/$U$2*Assumptions!$A$34*G529)*K529*O528)</f>
        <v>0</v>
      </c>
      <c r="AO529">
        <f t="shared" si="412"/>
        <v>0</v>
      </c>
      <c r="AP529">
        <f t="shared" si="413"/>
        <v>0</v>
      </c>
      <c r="AQ529">
        <f>IF(B529&gt;$AJ$2,0,AQ528*(1+Assumptions!$B$43)^(1/12))</f>
        <v>0</v>
      </c>
      <c r="AR529" s="27">
        <f>IF(B529&gt;$AJ$2,0,(O528+R528)*Assumptions!$B$39/12*AQ528+AV529*Assumptions!$B$41/12)</f>
        <v>0</v>
      </c>
      <c r="AS529">
        <f t="shared" si="414"/>
        <v>0</v>
      </c>
      <c r="AT529" s="28">
        <f t="shared" si="415"/>
        <v>0</v>
      </c>
      <c r="AU529">
        <f t="shared" si="416"/>
        <v>0</v>
      </c>
      <c r="AV529" s="28">
        <f t="shared" si="417"/>
        <v>0</v>
      </c>
      <c r="AW529" s="28">
        <f t="shared" si="418"/>
        <v>0</v>
      </c>
      <c r="AX529" s="23">
        <f>HLOOKUP(YEAR(A529),Assumptions!$A$25:$AL$29,2,TRUE)/100</f>
        <v>1.1332999999999999E-2</v>
      </c>
      <c r="AY529" s="29">
        <f>1/(1+HLOOKUP(YEAR(A529),Assumptions!$A$18:$AL$20,3,TRUE))^(1/12)</f>
        <v>0.99906100631170314</v>
      </c>
      <c r="AZ529" s="26">
        <f t="shared" si="419"/>
        <v>0</v>
      </c>
      <c r="BA529">
        <f t="shared" si="420"/>
        <v>0</v>
      </c>
      <c r="BB529">
        <f t="shared" si="421"/>
        <v>0</v>
      </c>
      <c r="BC529">
        <f t="shared" si="422"/>
        <v>0</v>
      </c>
    </row>
    <row r="530" spans="1:55" x14ac:dyDescent="0.2">
      <c r="A530" s="3">
        <f t="shared" si="394"/>
        <v>58896</v>
      </c>
      <c r="B530">
        <f t="shared" si="391"/>
        <v>532</v>
      </c>
      <c r="C530">
        <f t="shared" si="378"/>
        <v>44.25</v>
      </c>
      <c r="D530">
        <f t="shared" si="379"/>
        <v>0</v>
      </c>
      <c r="E530">
        <f t="shared" si="392"/>
        <v>100</v>
      </c>
      <c r="F530">
        <f>IF(C530&gt;=$T$2,0,VLOOKUP($E530,'Mortality Table'!$A$3:$C$128,2+AF$2,FALSE))</f>
        <v>0</v>
      </c>
      <c r="G530">
        <f>F530*Assumptions!$B$1</f>
        <v>0</v>
      </c>
      <c r="H530">
        <f t="shared" si="380"/>
        <v>0</v>
      </c>
      <c r="I530">
        <f t="shared" si="381"/>
        <v>0</v>
      </c>
      <c r="J530">
        <f>IF(B530&gt;$AJ$2,0,HLOOKUP(C530,Assumptions!$A$6:$J$7,2,TRUE))</f>
        <v>0</v>
      </c>
      <c r="K530" s="4">
        <f t="shared" si="382"/>
        <v>0</v>
      </c>
      <c r="L530" s="4">
        <f t="shared" si="395"/>
        <v>0</v>
      </c>
      <c r="M530" s="4">
        <f t="shared" si="383"/>
        <v>0</v>
      </c>
      <c r="N530">
        <f t="shared" si="384"/>
        <v>0</v>
      </c>
      <c r="O530" s="21">
        <f t="shared" si="385"/>
        <v>0</v>
      </c>
      <c r="P530">
        <f>IF(B530&gt;$AJ$2,0,HLOOKUP(C530,Assumptions!$A$12:$J$13,2,TRUE))</f>
        <v>0</v>
      </c>
      <c r="Q530">
        <f t="shared" si="386"/>
        <v>0</v>
      </c>
      <c r="R530">
        <f t="shared" si="396"/>
        <v>0</v>
      </c>
      <c r="S530">
        <f t="shared" si="387"/>
        <v>0</v>
      </c>
      <c r="T530">
        <f t="shared" si="388"/>
        <v>0</v>
      </c>
      <c r="U530">
        <f t="shared" si="397"/>
        <v>0</v>
      </c>
      <c r="V530">
        <f t="shared" si="398"/>
        <v>0</v>
      </c>
      <c r="W530">
        <f t="shared" si="399"/>
        <v>0</v>
      </c>
      <c r="X530">
        <f t="shared" si="389"/>
        <v>0</v>
      </c>
      <c r="Y530">
        <f t="shared" si="400"/>
        <v>0</v>
      </c>
      <c r="Z530">
        <f t="shared" si="401"/>
        <v>0</v>
      </c>
      <c r="AA530">
        <f t="shared" si="402"/>
        <v>0</v>
      </c>
      <c r="AB530">
        <f t="shared" si="403"/>
        <v>0</v>
      </c>
      <c r="AC530" s="23">
        <f>IF(B530&gt;$AJ$2,0,HLOOKUP(YEAR(A530),Assumptions!$A$25:$AL$29,4,TRUE)/100)</f>
        <v>0</v>
      </c>
      <c r="AD530">
        <f t="shared" si="404"/>
        <v>0</v>
      </c>
      <c r="AE530">
        <f t="shared" si="405"/>
        <v>0</v>
      </c>
      <c r="AF530">
        <f t="shared" si="406"/>
        <v>0</v>
      </c>
      <c r="AG530">
        <f t="shared" si="407"/>
        <v>0</v>
      </c>
      <c r="AH530">
        <f t="shared" si="408"/>
        <v>0</v>
      </c>
      <c r="AI530">
        <f t="shared" si="409"/>
        <v>0</v>
      </c>
      <c r="AJ530">
        <f t="shared" si="410"/>
        <v>0</v>
      </c>
      <c r="AK530">
        <f t="shared" si="390"/>
        <v>0</v>
      </c>
      <c r="AL530">
        <f t="shared" si="411"/>
        <v>0</v>
      </c>
      <c r="AM530">
        <f t="shared" si="393"/>
        <v>0</v>
      </c>
      <c r="AN530">
        <f>IF($S$2=0,0,(SUMPRODUCT($K$2:$R$2,Assumptions!$B$34:$I$34)/$U$2+$J$2/$U$2*Assumptions!$A$34*G530)*K530*O529)</f>
        <v>0</v>
      </c>
      <c r="AO530">
        <f t="shared" si="412"/>
        <v>0</v>
      </c>
      <c r="AP530">
        <f t="shared" si="413"/>
        <v>0</v>
      </c>
      <c r="AQ530">
        <f>IF(B530&gt;$AJ$2,0,AQ529*(1+Assumptions!$B$43)^(1/12))</f>
        <v>0</v>
      </c>
      <c r="AR530" s="27">
        <f>IF(B530&gt;$AJ$2,0,(O529+R529)*Assumptions!$B$39/12*AQ529+AV530*Assumptions!$B$41/12)</f>
        <v>0</v>
      </c>
      <c r="AS530">
        <f t="shared" si="414"/>
        <v>0</v>
      </c>
      <c r="AT530" s="28">
        <f t="shared" si="415"/>
        <v>0</v>
      </c>
      <c r="AU530">
        <f t="shared" si="416"/>
        <v>0</v>
      </c>
      <c r="AV530" s="28">
        <f t="shared" si="417"/>
        <v>0</v>
      </c>
      <c r="AW530" s="28">
        <f t="shared" si="418"/>
        <v>0</v>
      </c>
      <c r="AX530" s="23">
        <f>HLOOKUP(YEAR(A530),Assumptions!$A$25:$AL$29,2,TRUE)/100</f>
        <v>1.1332999999999999E-2</v>
      </c>
      <c r="AY530" s="29">
        <f>1/(1+HLOOKUP(YEAR(A530),Assumptions!$A$18:$AL$20,3,TRUE))^(1/12)</f>
        <v>0.99906100631170314</v>
      </c>
      <c r="AZ530" s="26">
        <f t="shared" si="419"/>
        <v>0</v>
      </c>
      <c r="BA530">
        <f t="shared" si="420"/>
        <v>0</v>
      </c>
      <c r="BB530">
        <f t="shared" si="421"/>
        <v>0</v>
      </c>
      <c r="BC530">
        <f t="shared" si="422"/>
        <v>0</v>
      </c>
    </row>
    <row r="531" spans="1:55" x14ac:dyDescent="0.2">
      <c r="A531" s="3">
        <f t="shared" si="394"/>
        <v>58926</v>
      </c>
      <c r="B531">
        <f t="shared" si="391"/>
        <v>533</v>
      </c>
      <c r="C531">
        <f t="shared" si="378"/>
        <v>44.333333333333336</v>
      </c>
      <c r="D531">
        <f t="shared" si="379"/>
        <v>0</v>
      </c>
      <c r="E531">
        <f t="shared" si="392"/>
        <v>100</v>
      </c>
      <c r="F531">
        <f>IF(C531&gt;=$T$2,0,VLOOKUP($E531,'Mortality Table'!$A$3:$C$128,2+AF$2,FALSE))</f>
        <v>0</v>
      </c>
      <c r="G531">
        <f>F531*Assumptions!$B$1</f>
        <v>0</v>
      </c>
      <c r="H531">
        <f t="shared" si="380"/>
        <v>0</v>
      </c>
      <c r="I531">
        <f t="shared" si="381"/>
        <v>0</v>
      </c>
      <c r="J531">
        <f>IF(B531&gt;$AJ$2,0,HLOOKUP(C531,Assumptions!$A$6:$J$7,2,TRUE))</f>
        <v>0</v>
      </c>
      <c r="K531" s="4">
        <f t="shared" si="382"/>
        <v>0</v>
      </c>
      <c r="L531" s="4">
        <f t="shared" si="395"/>
        <v>0</v>
      </c>
      <c r="M531" s="4">
        <f t="shared" si="383"/>
        <v>0</v>
      </c>
      <c r="N531">
        <f t="shared" si="384"/>
        <v>0</v>
      </c>
      <c r="O531" s="21">
        <f t="shared" si="385"/>
        <v>0</v>
      </c>
      <c r="P531">
        <f>IF(B531&gt;$AJ$2,0,HLOOKUP(C531,Assumptions!$A$12:$J$13,2,TRUE))</f>
        <v>0</v>
      </c>
      <c r="Q531">
        <f t="shared" si="386"/>
        <v>0</v>
      </c>
      <c r="R531">
        <f t="shared" si="396"/>
        <v>0</v>
      </c>
      <c r="S531">
        <f t="shared" si="387"/>
        <v>0</v>
      </c>
      <c r="T531">
        <f t="shared" si="388"/>
        <v>0</v>
      </c>
      <c r="U531">
        <f t="shared" si="397"/>
        <v>0</v>
      </c>
      <c r="V531">
        <f t="shared" si="398"/>
        <v>0</v>
      </c>
      <c r="W531">
        <f t="shared" si="399"/>
        <v>0</v>
      </c>
      <c r="X531">
        <f t="shared" si="389"/>
        <v>0</v>
      </c>
      <c r="Y531">
        <f t="shared" si="400"/>
        <v>0</v>
      </c>
      <c r="Z531">
        <f t="shared" si="401"/>
        <v>0</v>
      </c>
      <c r="AA531">
        <f t="shared" si="402"/>
        <v>0</v>
      </c>
      <c r="AB531">
        <f t="shared" si="403"/>
        <v>0</v>
      </c>
      <c r="AC531" s="23">
        <f>IF(B531&gt;$AJ$2,0,HLOOKUP(YEAR(A531),Assumptions!$A$25:$AL$29,4,TRUE)/100)</f>
        <v>0</v>
      </c>
      <c r="AD531">
        <f t="shared" si="404"/>
        <v>0</v>
      </c>
      <c r="AE531">
        <f t="shared" si="405"/>
        <v>0</v>
      </c>
      <c r="AF531">
        <f t="shared" si="406"/>
        <v>0</v>
      </c>
      <c r="AG531">
        <f t="shared" si="407"/>
        <v>0</v>
      </c>
      <c r="AH531">
        <f t="shared" si="408"/>
        <v>0</v>
      </c>
      <c r="AI531">
        <f t="shared" si="409"/>
        <v>0</v>
      </c>
      <c r="AJ531">
        <f t="shared" si="410"/>
        <v>0</v>
      </c>
      <c r="AK531">
        <f t="shared" si="390"/>
        <v>0</v>
      </c>
      <c r="AL531">
        <f t="shared" si="411"/>
        <v>0</v>
      </c>
      <c r="AM531">
        <f t="shared" si="393"/>
        <v>0</v>
      </c>
      <c r="AN531">
        <f>IF($S$2=0,0,(SUMPRODUCT($K$2:$R$2,Assumptions!$B$34:$I$34)/$U$2+$J$2/$U$2*Assumptions!$A$34*G531)*K531*O530)</f>
        <v>0</v>
      </c>
      <c r="AO531">
        <f t="shared" si="412"/>
        <v>0</v>
      </c>
      <c r="AP531">
        <f t="shared" si="413"/>
        <v>0</v>
      </c>
      <c r="AQ531">
        <f>IF(B531&gt;$AJ$2,0,AQ530*(1+Assumptions!$B$43)^(1/12))</f>
        <v>0</v>
      </c>
      <c r="AR531" s="27">
        <f>IF(B531&gt;$AJ$2,0,(O530+R530)*Assumptions!$B$39/12*AQ530+AV531*Assumptions!$B$41/12)</f>
        <v>0</v>
      </c>
      <c r="AS531">
        <f t="shared" si="414"/>
        <v>0</v>
      </c>
      <c r="AT531" s="28">
        <f t="shared" si="415"/>
        <v>0</v>
      </c>
      <c r="AU531">
        <f t="shared" si="416"/>
        <v>0</v>
      </c>
      <c r="AV531" s="28">
        <f t="shared" si="417"/>
        <v>0</v>
      </c>
      <c r="AW531" s="28">
        <f t="shared" si="418"/>
        <v>0</v>
      </c>
      <c r="AX531" s="23">
        <f>HLOOKUP(YEAR(A531),Assumptions!$A$25:$AL$29,2,TRUE)/100</f>
        <v>1.1332999999999999E-2</v>
      </c>
      <c r="AY531" s="29">
        <f>1/(1+HLOOKUP(YEAR(A531),Assumptions!$A$18:$AL$20,3,TRUE))^(1/12)</f>
        <v>0.99906100631170314</v>
      </c>
      <c r="AZ531" s="26">
        <f t="shared" si="419"/>
        <v>0</v>
      </c>
      <c r="BA531">
        <f t="shared" si="420"/>
        <v>0</v>
      </c>
      <c r="BB531">
        <f t="shared" si="421"/>
        <v>0</v>
      </c>
      <c r="BC531">
        <f t="shared" si="422"/>
        <v>0</v>
      </c>
    </row>
    <row r="532" spans="1:55" x14ac:dyDescent="0.2">
      <c r="A532" s="3">
        <f t="shared" si="394"/>
        <v>58957</v>
      </c>
      <c r="B532">
        <f t="shared" si="391"/>
        <v>534</v>
      </c>
      <c r="C532">
        <f t="shared" si="378"/>
        <v>44.416666666666664</v>
      </c>
      <c r="D532">
        <f t="shared" si="379"/>
        <v>0</v>
      </c>
      <c r="E532">
        <f t="shared" si="392"/>
        <v>100</v>
      </c>
      <c r="F532">
        <f>IF(C532&gt;=$T$2,0,VLOOKUP($E532,'Mortality Table'!$A$3:$C$128,2+AF$2,FALSE))</f>
        <v>0</v>
      </c>
      <c r="G532">
        <f>F532*Assumptions!$B$1</f>
        <v>0</v>
      </c>
      <c r="H532">
        <f t="shared" si="380"/>
        <v>0</v>
      </c>
      <c r="I532">
        <f t="shared" si="381"/>
        <v>0</v>
      </c>
      <c r="J532">
        <f>IF(B532&gt;$AJ$2,0,HLOOKUP(C532,Assumptions!$A$6:$J$7,2,TRUE))</f>
        <v>0</v>
      </c>
      <c r="K532" s="4">
        <f t="shared" si="382"/>
        <v>0</v>
      </c>
      <c r="L532" s="4">
        <f t="shared" si="395"/>
        <v>0</v>
      </c>
      <c r="M532" s="4">
        <f t="shared" si="383"/>
        <v>0</v>
      </c>
      <c r="N532">
        <f t="shared" si="384"/>
        <v>0</v>
      </c>
      <c r="O532" s="21">
        <f t="shared" si="385"/>
        <v>0</v>
      </c>
      <c r="P532">
        <f>IF(B532&gt;$AJ$2,0,HLOOKUP(C532,Assumptions!$A$12:$J$13,2,TRUE))</f>
        <v>0</v>
      </c>
      <c r="Q532">
        <f t="shared" si="386"/>
        <v>0</v>
      </c>
      <c r="R532">
        <f t="shared" si="396"/>
        <v>0</v>
      </c>
      <c r="S532">
        <f t="shared" si="387"/>
        <v>0</v>
      </c>
      <c r="T532">
        <f t="shared" si="388"/>
        <v>0</v>
      </c>
      <c r="U532">
        <f t="shared" si="397"/>
        <v>0</v>
      </c>
      <c r="V532">
        <f t="shared" si="398"/>
        <v>0</v>
      </c>
      <c r="W532">
        <f t="shared" si="399"/>
        <v>0</v>
      </c>
      <c r="X532">
        <f t="shared" si="389"/>
        <v>0</v>
      </c>
      <c r="Y532">
        <f t="shared" si="400"/>
        <v>0</v>
      </c>
      <c r="Z532">
        <f t="shared" si="401"/>
        <v>0</v>
      </c>
      <c r="AA532">
        <f t="shared" si="402"/>
        <v>0</v>
      </c>
      <c r="AB532">
        <f t="shared" si="403"/>
        <v>0</v>
      </c>
      <c r="AC532" s="23">
        <f>IF(B532&gt;$AJ$2,0,HLOOKUP(YEAR(A532),Assumptions!$A$25:$AL$29,4,TRUE)/100)</f>
        <v>0</v>
      </c>
      <c r="AD532">
        <f t="shared" si="404"/>
        <v>0</v>
      </c>
      <c r="AE532">
        <f t="shared" si="405"/>
        <v>0</v>
      </c>
      <c r="AF532">
        <f t="shared" si="406"/>
        <v>0</v>
      </c>
      <c r="AG532">
        <f t="shared" si="407"/>
        <v>0</v>
      </c>
      <c r="AH532">
        <f t="shared" si="408"/>
        <v>0</v>
      </c>
      <c r="AI532">
        <f t="shared" si="409"/>
        <v>0</v>
      </c>
      <c r="AJ532">
        <f t="shared" si="410"/>
        <v>0</v>
      </c>
      <c r="AK532">
        <f t="shared" si="390"/>
        <v>0</v>
      </c>
      <c r="AL532">
        <f t="shared" si="411"/>
        <v>0</v>
      </c>
      <c r="AM532">
        <f t="shared" si="393"/>
        <v>0</v>
      </c>
      <c r="AN532">
        <f>IF($S$2=0,0,(SUMPRODUCT($K$2:$R$2,Assumptions!$B$34:$I$34)/$U$2+$J$2/$U$2*Assumptions!$A$34*G532)*K532*O531)</f>
        <v>0</v>
      </c>
      <c r="AO532">
        <f t="shared" si="412"/>
        <v>0</v>
      </c>
      <c r="AP532">
        <f t="shared" si="413"/>
        <v>0</v>
      </c>
      <c r="AQ532">
        <f>IF(B532&gt;$AJ$2,0,AQ531*(1+Assumptions!$B$43)^(1/12))</f>
        <v>0</v>
      </c>
      <c r="AR532" s="27">
        <f>IF(B532&gt;$AJ$2,0,(O531+R531)*Assumptions!$B$39/12*AQ531+AV532*Assumptions!$B$41/12)</f>
        <v>0</v>
      </c>
      <c r="AS532">
        <f t="shared" si="414"/>
        <v>0</v>
      </c>
      <c r="AT532" s="28">
        <f t="shared" si="415"/>
        <v>0</v>
      </c>
      <c r="AU532">
        <f t="shared" si="416"/>
        <v>0</v>
      </c>
      <c r="AV532" s="28">
        <f t="shared" si="417"/>
        <v>0</v>
      </c>
      <c r="AW532" s="28">
        <f t="shared" si="418"/>
        <v>0</v>
      </c>
      <c r="AX532" s="23">
        <f>HLOOKUP(YEAR(A532),Assumptions!$A$25:$AL$29,2,TRUE)/100</f>
        <v>1.1332999999999999E-2</v>
      </c>
      <c r="AY532" s="29">
        <f>1/(1+HLOOKUP(YEAR(A532),Assumptions!$A$18:$AL$20,3,TRUE))^(1/12)</f>
        <v>0.99906100631170314</v>
      </c>
      <c r="AZ532" s="26">
        <f t="shared" si="419"/>
        <v>0</v>
      </c>
      <c r="BA532">
        <f t="shared" si="420"/>
        <v>0</v>
      </c>
      <c r="BB532">
        <f t="shared" si="421"/>
        <v>0</v>
      </c>
      <c r="BC532">
        <f t="shared" si="422"/>
        <v>0</v>
      </c>
    </row>
    <row r="533" spans="1:55" x14ac:dyDescent="0.2">
      <c r="A533" s="3">
        <f t="shared" si="394"/>
        <v>58987</v>
      </c>
      <c r="B533">
        <f t="shared" si="391"/>
        <v>535</v>
      </c>
      <c r="C533">
        <f t="shared" si="378"/>
        <v>44.5</v>
      </c>
      <c r="D533">
        <f t="shared" si="379"/>
        <v>0</v>
      </c>
      <c r="E533">
        <f t="shared" si="392"/>
        <v>100</v>
      </c>
      <c r="F533">
        <f>IF(C533&gt;=$T$2,0,VLOOKUP($E533,'Mortality Table'!$A$3:$C$128,2+AF$2,FALSE))</f>
        <v>0</v>
      </c>
      <c r="G533">
        <f>F533*Assumptions!$B$1</f>
        <v>0</v>
      </c>
      <c r="H533">
        <f t="shared" si="380"/>
        <v>0</v>
      </c>
      <c r="I533">
        <f t="shared" si="381"/>
        <v>0</v>
      </c>
      <c r="J533">
        <f>IF(B533&gt;$AJ$2,0,HLOOKUP(C533,Assumptions!$A$6:$J$7,2,TRUE))</f>
        <v>0</v>
      </c>
      <c r="K533" s="4">
        <f t="shared" si="382"/>
        <v>0</v>
      </c>
      <c r="L533" s="4">
        <f t="shared" si="395"/>
        <v>0</v>
      </c>
      <c r="M533" s="4">
        <f t="shared" si="383"/>
        <v>0</v>
      </c>
      <c r="N533">
        <f t="shared" si="384"/>
        <v>0</v>
      </c>
      <c r="O533" s="21">
        <f t="shared" si="385"/>
        <v>0</v>
      </c>
      <c r="P533">
        <f>IF(B533&gt;$AJ$2,0,HLOOKUP(C533,Assumptions!$A$12:$J$13,2,TRUE))</f>
        <v>0</v>
      </c>
      <c r="Q533">
        <f t="shared" si="386"/>
        <v>0</v>
      </c>
      <c r="R533">
        <f t="shared" si="396"/>
        <v>0</v>
      </c>
      <c r="S533">
        <f t="shared" si="387"/>
        <v>0</v>
      </c>
      <c r="T533">
        <f t="shared" si="388"/>
        <v>0</v>
      </c>
      <c r="U533">
        <f t="shared" si="397"/>
        <v>0</v>
      </c>
      <c r="V533">
        <f t="shared" si="398"/>
        <v>0</v>
      </c>
      <c r="W533">
        <f t="shared" si="399"/>
        <v>0</v>
      </c>
      <c r="X533">
        <f t="shared" si="389"/>
        <v>0</v>
      </c>
      <c r="Y533">
        <f t="shared" si="400"/>
        <v>0</v>
      </c>
      <c r="Z533">
        <f t="shared" si="401"/>
        <v>0</v>
      </c>
      <c r="AA533">
        <f t="shared" si="402"/>
        <v>0</v>
      </c>
      <c r="AB533">
        <f t="shared" si="403"/>
        <v>0</v>
      </c>
      <c r="AC533" s="23">
        <f>IF(B533&gt;$AJ$2,0,HLOOKUP(YEAR(A533),Assumptions!$A$25:$AL$29,4,TRUE)/100)</f>
        <v>0</v>
      </c>
      <c r="AD533">
        <f t="shared" si="404"/>
        <v>0</v>
      </c>
      <c r="AE533">
        <f t="shared" si="405"/>
        <v>0</v>
      </c>
      <c r="AF533">
        <f t="shared" si="406"/>
        <v>0</v>
      </c>
      <c r="AG533">
        <f t="shared" si="407"/>
        <v>0</v>
      </c>
      <c r="AH533">
        <f t="shared" si="408"/>
        <v>0</v>
      </c>
      <c r="AI533">
        <f t="shared" si="409"/>
        <v>0</v>
      </c>
      <c r="AJ533">
        <f t="shared" si="410"/>
        <v>0</v>
      </c>
      <c r="AK533">
        <f t="shared" si="390"/>
        <v>0</v>
      </c>
      <c r="AL533">
        <f t="shared" si="411"/>
        <v>0</v>
      </c>
      <c r="AM533">
        <f t="shared" si="393"/>
        <v>0</v>
      </c>
      <c r="AN533">
        <f>IF($S$2=0,0,(SUMPRODUCT($K$2:$R$2,Assumptions!$B$34:$I$34)/$U$2+$J$2/$U$2*Assumptions!$A$34*G533)*K533*O532)</f>
        <v>0</v>
      </c>
      <c r="AO533">
        <f t="shared" si="412"/>
        <v>0</v>
      </c>
      <c r="AP533">
        <f t="shared" si="413"/>
        <v>0</v>
      </c>
      <c r="AQ533">
        <f>IF(B533&gt;$AJ$2,0,AQ532*(1+Assumptions!$B$43)^(1/12))</f>
        <v>0</v>
      </c>
      <c r="AR533" s="27">
        <f>IF(B533&gt;$AJ$2,0,(O532+R532)*Assumptions!$B$39/12*AQ532+AV533*Assumptions!$B$41/12)</f>
        <v>0</v>
      </c>
      <c r="AS533">
        <f t="shared" si="414"/>
        <v>0</v>
      </c>
      <c r="AT533" s="28">
        <f t="shared" si="415"/>
        <v>0</v>
      </c>
      <c r="AU533">
        <f t="shared" si="416"/>
        <v>0</v>
      </c>
      <c r="AV533" s="28">
        <f t="shared" si="417"/>
        <v>0</v>
      </c>
      <c r="AW533" s="28">
        <f t="shared" si="418"/>
        <v>0</v>
      </c>
      <c r="AX533" s="23">
        <f>HLOOKUP(YEAR(A533),Assumptions!$A$25:$AL$29,2,TRUE)/100</f>
        <v>1.1332999999999999E-2</v>
      </c>
      <c r="AY533" s="29">
        <f>1/(1+HLOOKUP(YEAR(A533),Assumptions!$A$18:$AL$20,3,TRUE))^(1/12)</f>
        <v>0.99906100631170314</v>
      </c>
      <c r="AZ533" s="26">
        <f t="shared" si="419"/>
        <v>0</v>
      </c>
      <c r="BA533">
        <f t="shared" si="420"/>
        <v>0</v>
      </c>
      <c r="BB533">
        <f t="shared" si="421"/>
        <v>0</v>
      </c>
      <c r="BC533">
        <f t="shared" si="422"/>
        <v>0</v>
      </c>
    </row>
    <row r="534" spans="1:55" x14ac:dyDescent="0.2">
      <c r="A534" s="3">
        <f t="shared" si="394"/>
        <v>59018</v>
      </c>
      <c r="B534">
        <f t="shared" si="391"/>
        <v>536</v>
      </c>
      <c r="C534">
        <f t="shared" si="378"/>
        <v>44.583333333333336</v>
      </c>
      <c r="D534">
        <f t="shared" si="379"/>
        <v>0</v>
      </c>
      <c r="E534">
        <f t="shared" si="392"/>
        <v>100</v>
      </c>
      <c r="F534">
        <f>IF(C534&gt;=$T$2,0,VLOOKUP($E534,'Mortality Table'!$A$3:$C$128,2+AF$2,FALSE))</f>
        <v>0</v>
      </c>
      <c r="G534">
        <f>F534*Assumptions!$B$1</f>
        <v>0</v>
      </c>
      <c r="H534">
        <f t="shared" si="380"/>
        <v>0</v>
      </c>
      <c r="I534">
        <f t="shared" si="381"/>
        <v>0</v>
      </c>
      <c r="J534">
        <f>IF(B534&gt;$AJ$2,0,HLOOKUP(C534,Assumptions!$A$6:$J$7,2,TRUE))</f>
        <v>0</v>
      </c>
      <c r="K534" s="4">
        <f t="shared" si="382"/>
        <v>0</v>
      </c>
      <c r="L534" s="4">
        <f t="shared" si="395"/>
        <v>0</v>
      </c>
      <c r="M534" s="4">
        <f t="shared" si="383"/>
        <v>0</v>
      </c>
      <c r="N534">
        <f t="shared" si="384"/>
        <v>0</v>
      </c>
      <c r="O534" s="21">
        <f t="shared" si="385"/>
        <v>0</v>
      </c>
      <c r="P534">
        <f>IF(B534&gt;$AJ$2,0,HLOOKUP(C534,Assumptions!$A$12:$J$13,2,TRUE))</f>
        <v>0</v>
      </c>
      <c r="Q534">
        <f t="shared" si="386"/>
        <v>0</v>
      </c>
      <c r="R534">
        <f t="shared" si="396"/>
        <v>0</v>
      </c>
      <c r="S534">
        <f t="shared" si="387"/>
        <v>0</v>
      </c>
      <c r="T534">
        <f t="shared" si="388"/>
        <v>0</v>
      </c>
      <c r="U534">
        <f t="shared" si="397"/>
        <v>0</v>
      </c>
      <c r="V534">
        <f t="shared" si="398"/>
        <v>0</v>
      </c>
      <c r="W534">
        <f t="shared" si="399"/>
        <v>0</v>
      </c>
      <c r="X534">
        <f t="shared" si="389"/>
        <v>0</v>
      </c>
      <c r="Y534">
        <f t="shared" si="400"/>
        <v>0</v>
      </c>
      <c r="Z534">
        <f t="shared" si="401"/>
        <v>0</v>
      </c>
      <c r="AA534">
        <f t="shared" si="402"/>
        <v>0</v>
      </c>
      <c r="AB534">
        <f t="shared" si="403"/>
        <v>0</v>
      </c>
      <c r="AC534" s="23">
        <f>IF(B534&gt;$AJ$2,0,HLOOKUP(YEAR(A534),Assumptions!$A$25:$AL$29,4,TRUE)/100)</f>
        <v>0</v>
      </c>
      <c r="AD534">
        <f t="shared" si="404"/>
        <v>0</v>
      </c>
      <c r="AE534">
        <f t="shared" si="405"/>
        <v>0</v>
      </c>
      <c r="AF534">
        <f t="shared" si="406"/>
        <v>0</v>
      </c>
      <c r="AG534">
        <f t="shared" si="407"/>
        <v>0</v>
      </c>
      <c r="AH534">
        <f t="shared" si="408"/>
        <v>0</v>
      </c>
      <c r="AI534">
        <f t="shared" si="409"/>
        <v>0</v>
      </c>
      <c r="AJ534">
        <f t="shared" si="410"/>
        <v>0</v>
      </c>
      <c r="AK534">
        <f t="shared" si="390"/>
        <v>0</v>
      </c>
      <c r="AL534">
        <f t="shared" si="411"/>
        <v>0</v>
      </c>
      <c r="AM534">
        <f t="shared" si="393"/>
        <v>0</v>
      </c>
      <c r="AN534">
        <f>IF($S$2=0,0,(SUMPRODUCT($K$2:$R$2,Assumptions!$B$34:$I$34)/$U$2+$J$2/$U$2*Assumptions!$A$34*G534)*K534*O533)</f>
        <v>0</v>
      </c>
      <c r="AO534">
        <f t="shared" si="412"/>
        <v>0</v>
      </c>
      <c r="AP534">
        <f t="shared" si="413"/>
        <v>0</v>
      </c>
      <c r="AQ534">
        <f>IF(B534&gt;$AJ$2,0,AQ533*(1+Assumptions!$B$43)^(1/12))</f>
        <v>0</v>
      </c>
      <c r="AR534" s="27">
        <f>IF(B534&gt;$AJ$2,0,(O533+R533)*Assumptions!$B$39/12*AQ533+AV534*Assumptions!$B$41/12)</f>
        <v>0</v>
      </c>
      <c r="AS534">
        <f t="shared" si="414"/>
        <v>0</v>
      </c>
      <c r="AT534" s="28">
        <f t="shared" si="415"/>
        <v>0</v>
      </c>
      <c r="AU534">
        <f t="shared" si="416"/>
        <v>0</v>
      </c>
      <c r="AV534" s="28">
        <f t="shared" si="417"/>
        <v>0</v>
      </c>
      <c r="AW534" s="28">
        <f t="shared" si="418"/>
        <v>0</v>
      </c>
      <c r="AX534" s="23">
        <f>HLOOKUP(YEAR(A534),Assumptions!$A$25:$AL$29,2,TRUE)/100</f>
        <v>1.1332999999999999E-2</v>
      </c>
      <c r="AY534" s="29">
        <f>1/(1+HLOOKUP(YEAR(A534),Assumptions!$A$18:$AL$20,3,TRUE))^(1/12)</f>
        <v>0.99906100631170314</v>
      </c>
      <c r="AZ534" s="26">
        <f t="shared" si="419"/>
        <v>0</v>
      </c>
      <c r="BA534">
        <f t="shared" si="420"/>
        <v>0</v>
      </c>
      <c r="BB534">
        <f t="shared" si="421"/>
        <v>0</v>
      </c>
      <c r="BC534">
        <f t="shared" si="422"/>
        <v>0</v>
      </c>
    </row>
    <row r="535" spans="1:55" x14ac:dyDescent="0.2">
      <c r="A535" s="3">
        <f t="shared" si="394"/>
        <v>59049</v>
      </c>
      <c r="B535">
        <f t="shared" si="391"/>
        <v>537</v>
      </c>
      <c r="C535">
        <f t="shared" si="378"/>
        <v>44.666666666666664</v>
      </c>
      <c r="D535">
        <f t="shared" si="379"/>
        <v>0</v>
      </c>
      <c r="E535">
        <f t="shared" si="392"/>
        <v>100</v>
      </c>
      <c r="F535">
        <f>IF(C535&gt;=$T$2,0,VLOOKUP($E535,'Mortality Table'!$A$3:$C$128,2+AF$2,FALSE))</f>
        <v>0</v>
      </c>
      <c r="G535">
        <f>F535*Assumptions!$B$1</f>
        <v>0</v>
      </c>
      <c r="H535">
        <f t="shared" si="380"/>
        <v>0</v>
      </c>
      <c r="I535">
        <f t="shared" si="381"/>
        <v>0</v>
      </c>
      <c r="J535">
        <f>IF(B535&gt;$AJ$2,0,HLOOKUP(C535,Assumptions!$A$6:$J$7,2,TRUE))</f>
        <v>0</v>
      </c>
      <c r="K535" s="4">
        <f t="shared" si="382"/>
        <v>0</v>
      </c>
      <c r="L535" s="4">
        <f t="shared" si="395"/>
        <v>0</v>
      </c>
      <c r="M535" s="4">
        <f t="shared" si="383"/>
        <v>0</v>
      </c>
      <c r="N535">
        <f t="shared" si="384"/>
        <v>0</v>
      </c>
      <c r="O535" s="21">
        <f t="shared" si="385"/>
        <v>0</v>
      </c>
      <c r="P535">
        <f>IF(B535&gt;$AJ$2,0,HLOOKUP(C535,Assumptions!$A$12:$J$13,2,TRUE))</f>
        <v>0</v>
      </c>
      <c r="Q535">
        <f t="shared" si="386"/>
        <v>0</v>
      </c>
      <c r="R535">
        <f t="shared" si="396"/>
        <v>0</v>
      </c>
      <c r="S535">
        <f t="shared" si="387"/>
        <v>0</v>
      </c>
      <c r="T535">
        <f t="shared" si="388"/>
        <v>0</v>
      </c>
      <c r="U535">
        <f t="shared" si="397"/>
        <v>0</v>
      </c>
      <c r="V535">
        <f t="shared" si="398"/>
        <v>0</v>
      </c>
      <c r="W535">
        <f t="shared" si="399"/>
        <v>0</v>
      </c>
      <c r="X535">
        <f t="shared" si="389"/>
        <v>0</v>
      </c>
      <c r="Y535">
        <f t="shared" si="400"/>
        <v>0</v>
      </c>
      <c r="Z535">
        <f t="shared" si="401"/>
        <v>0</v>
      </c>
      <c r="AA535">
        <f t="shared" si="402"/>
        <v>0</v>
      </c>
      <c r="AB535">
        <f t="shared" si="403"/>
        <v>0</v>
      </c>
      <c r="AC535" s="23">
        <f>IF(B535&gt;$AJ$2,0,HLOOKUP(YEAR(A535),Assumptions!$A$25:$AL$29,4,TRUE)/100)</f>
        <v>0</v>
      </c>
      <c r="AD535">
        <f t="shared" si="404"/>
        <v>0</v>
      </c>
      <c r="AE535">
        <f t="shared" si="405"/>
        <v>0</v>
      </c>
      <c r="AF535">
        <f t="shared" si="406"/>
        <v>0</v>
      </c>
      <c r="AG535">
        <f t="shared" si="407"/>
        <v>0</v>
      </c>
      <c r="AH535">
        <f t="shared" si="408"/>
        <v>0</v>
      </c>
      <c r="AI535">
        <f t="shared" si="409"/>
        <v>0</v>
      </c>
      <c r="AJ535">
        <f t="shared" si="410"/>
        <v>0</v>
      </c>
      <c r="AK535">
        <f t="shared" si="390"/>
        <v>0</v>
      </c>
      <c r="AL535">
        <f t="shared" si="411"/>
        <v>0</v>
      </c>
      <c r="AM535">
        <f t="shared" si="393"/>
        <v>0</v>
      </c>
      <c r="AN535">
        <f>IF($S$2=0,0,(SUMPRODUCT($K$2:$R$2,Assumptions!$B$34:$I$34)/$U$2+$J$2/$U$2*Assumptions!$A$34*G535)*K535*O534)</f>
        <v>0</v>
      </c>
      <c r="AO535">
        <f t="shared" si="412"/>
        <v>0</v>
      </c>
      <c r="AP535">
        <f t="shared" si="413"/>
        <v>0</v>
      </c>
      <c r="AQ535">
        <f>IF(B535&gt;$AJ$2,0,AQ534*(1+Assumptions!$B$43)^(1/12))</f>
        <v>0</v>
      </c>
      <c r="AR535" s="27">
        <f>IF(B535&gt;$AJ$2,0,(O534+R534)*Assumptions!$B$39/12*AQ534+AV535*Assumptions!$B$41/12)</f>
        <v>0</v>
      </c>
      <c r="AS535">
        <f t="shared" si="414"/>
        <v>0</v>
      </c>
      <c r="AT535" s="28">
        <f t="shared" si="415"/>
        <v>0</v>
      </c>
      <c r="AU535">
        <f t="shared" si="416"/>
        <v>0</v>
      </c>
      <c r="AV535" s="28">
        <f t="shared" si="417"/>
        <v>0</v>
      </c>
      <c r="AW535" s="28">
        <f t="shared" si="418"/>
        <v>0</v>
      </c>
      <c r="AX535" s="23">
        <f>HLOOKUP(YEAR(A535),Assumptions!$A$25:$AL$29,2,TRUE)/100</f>
        <v>1.1332999999999999E-2</v>
      </c>
      <c r="AY535" s="29">
        <f>1/(1+HLOOKUP(YEAR(A535),Assumptions!$A$18:$AL$20,3,TRUE))^(1/12)</f>
        <v>0.99906100631170314</v>
      </c>
      <c r="AZ535" s="26">
        <f t="shared" si="419"/>
        <v>0</v>
      </c>
      <c r="BA535">
        <f t="shared" si="420"/>
        <v>0</v>
      </c>
      <c r="BB535">
        <f t="shared" si="421"/>
        <v>0</v>
      </c>
      <c r="BC535">
        <f t="shared" si="422"/>
        <v>0</v>
      </c>
    </row>
    <row r="536" spans="1:55" x14ac:dyDescent="0.2">
      <c r="A536" s="3">
        <f t="shared" si="394"/>
        <v>59079</v>
      </c>
      <c r="B536">
        <f t="shared" si="391"/>
        <v>538</v>
      </c>
      <c r="C536">
        <f t="shared" si="378"/>
        <v>44.75</v>
      </c>
      <c r="D536">
        <f t="shared" si="379"/>
        <v>0</v>
      </c>
      <c r="E536">
        <f t="shared" si="392"/>
        <v>100</v>
      </c>
      <c r="F536">
        <f>IF(C536&gt;=$T$2,0,VLOOKUP($E536,'Mortality Table'!$A$3:$C$128,2+AF$2,FALSE))</f>
        <v>0</v>
      </c>
      <c r="G536">
        <f>F536*Assumptions!$B$1</f>
        <v>0</v>
      </c>
      <c r="H536">
        <f t="shared" si="380"/>
        <v>0</v>
      </c>
      <c r="I536">
        <f t="shared" si="381"/>
        <v>0</v>
      </c>
      <c r="J536">
        <f>IF(B536&gt;$AJ$2,0,HLOOKUP(C536,Assumptions!$A$6:$J$7,2,TRUE))</f>
        <v>0</v>
      </c>
      <c r="K536" s="4">
        <f t="shared" si="382"/>
        <v>0</v>
      </c>
      <c r="L536" s="4">
        <f t="shared" si="395"/>
        <v>0</v>
      </c>
      <c r="M536" s="4">
        <f t="shared" si="383"/>
        <v>0</v>
      </c>
      <c r="N536">
        <f t="shared" si="384"/>
        <v>0</v>
      </c>
      <c r="O536" s="21">
        <f t="shared" si="385"/>
        <v>0</v>
      </c>
      <c r="P536">
        <f>IF(B536&gt;$AJ$2,0,HLOOKUP(C536,Assumptions!$A$12:$J$13,2,TRUE))</f>
        <v>0</v>
      </c>
      <c r="Q536">
        <f t="shared" si="386"/>
        <v>0</v>
      </c>
      <c r="R536">
        <f t="shared" si="396"/>
        <v>0</v>
      </c>
      <c r="S536">
        <f t="shared" si="387"/>
        <v>0</v>
      </c>
      <c r="T536">
        <f t="shared" si="388"/>
        <v>0</v>
      </c>
      <c r="U536">
        <f t="shared" si="397"/>
        <v>0</v>
      </c>
      <c r="V536">
        <f t="shared" si="398"/>
        <v>0</v>
      </c>
      <c r="W536">
        <f t="shared" si="399"/>
        <v>0</v>
      </c>
      <c r="X536">
        <f t="shared" si="389"/>
        <v>0</v>
      </c>
      <c r="Y536">
        <f t="shared" si="400"/>
        <v>0</v>
      </c>
      <c r="Z536">
        <f t="shared" si="401"/>
        <v>0</v>
      </c>
      <c r="AA536">
        <f t="shared" si="402"/>
        <v>0</v>
      </c>
      <c r="AB536">
        <f t="shared" si="403"/>
        <v>0</v>
      </c>
      <c r="AC536" s="23">
        <f>IF(B536&gt;$AJ$2,0,HLOOKUP(YEAR(A536),Assumptions!$A$25:$AL$29,4,TRUE)/100)</f>
        <v>0</v>
      </c>
      <c r="AD536">
        <f t="shared" si="404"/>
        <v>0</v>
      </c>
      <c r="AE536">
        <f t="shared" si="405"/>
        <v>0</v>
      </c>
      <c r="AF536">
        <f t="shared" si="406"/>
        <v>0</v>
      </c>
      <c r="AG536">
        <f t="shared" si="407"/>
        <v>0</v>
      </c>
      <c r="AH536">
        <f t="shared" si="408"/>
        <v>0</v>
      </c>
      <c r="AI536">
        <f t="shared" si="409"/>
        <v>0</v>
      </c>
      <c r="AJ536">
        <f t="shared" si="410"/>
        <v>0</v>
      </c>
      <c r="AK536">
        <f t="shared" si="390"/>
        <v>0</v>
      </c>
      <c r="AL536">
        <f t="shared" si="411"/>
        <v>0</v>
      </c>
      <c r="AM536">
        <f t="shared" si="393"/>
        <v>0</v>
      </c>
      <c r="AN536">
        <f>IF($S$2=0,0,(SUMPRODUCT($K$2:$R$2,Assumptions!$B$34:$I$34)/$U$2+$J$2/$U$2*Assumptions!$A$34*G536)*K536*O535)</f>
        <v>0</v>
      </c>
      <c r="AO536">
        <f t="shared" si="412"/>
        <v>0</v>
      </c>
      <c r="AP536">
        <f t="shared" si="413"/>
        <v>0</v>
      </c>
      <c r="AQ536">
        <f>IF(B536&gt;$AJ$2,0,AQ535*(1+Assumptions!$B$43)^(1/12))</f>
        <v>0</v>
      </c>
      <c r="AR536" s="27">
        <f>IF(B536&gt;$AJ$2,0,(O535+R535)*Assumptions!$B$39/12*AQ535+AV536*Assumptions!$B$41/12)</f>
        <v>0</v>
      </c>
      <c r="AS536">
        <f t="shared" si="414"/>
        <v>0</v>
      </c>
      <c r="AT536" s="28">
        <f t="shared" si="415"/>
        <v>0</v>
      </c>
      <c r="AU536">
        <f t="shared" si="416"/>
        <v>0</v>
      </c>
      <c r="AV536" s="28">
        <f t="shared" si="417"/>
        <v>0</v>
      </c>
      <c r="AW536" s="28">
        <f t="shared" si="418"/>
        <v>0</v>
      </c>
      <c r="AX536" s="23">
        <f>HLOOKUP(YEAR(A536),Assumptions!$A$25:$AL$29,2,TRUE)/100</f>
        <v>1.1332999999999999E-2</v>
      </c>
      <c r="AY536" s="29">
        <f>1/(1+HLOOKUP(YEAR(A536),Assumptions!$A$18:$AL$20,3,TRUE))^(1/12)</f>
        <v>0.99906100631170314</v>
      </c>
      <c r="AZ536" s="26">
        <f t="shared" si="419"/>
        <v>0</v>
      </c>
      <c r="BA536">
        <f t="shared" si="420"/>
        <v>0</v>
      </c>
      <c r="BB536">
        <f t="shared" si="421"/>
        <v>0</v>
      </c>
      <c r="BC536">
        <f t="shared" si="422"/>
        <v>0</v>
      </c>
    </row>
    <row r="537" spans="1:55" x14ac:dyDescent="0.2">
      <c r="A537" s="3">
        <f t="shared" si="394"/>
        <v>59110</v>
      </c>
      <c r="B537">
        <f t="shared" si="391"/>
        <v>539</v>
      </c>
      <c r="C537">
        <f t="shared" si="378"/>
        <v>44.833333333333336</v>
      </c>
      <c r="D537">
        <f t="shared" si="379"/>
        <v>0</v>
      </c>
      <c r="E537">
        <f t="shared" si="392"/>
        <v>100</v>
      </c>
      <c r="F537">
        <f>IF(C537&gt;=$T$2,0,VLOOKUP($E537,'Mortality Table'!$A$3:$C$128,2+AF$2,FALSE))</f>
        <v>0</v>
      </c>
      <c r="G537">
        <f>F537*Assumptions!$B$1</f>
        <v>0</v>
      </c>
      <c r="H537">
        <f t="shared" si="380"/>
        <v>0</v>
      </c>
      <c r="I537">
        <f t="shared" si="381"/>
        <v>0</v>
      </c>
      <c r="J537">
        <f>IF(B537&gt;$AJ$2,0,HLOOKUP(C537,Assumptions!$A$6:$J$7,2,TRUE))</f>
        <v>0</v>
      </c>
      <c r="K537" s="4">
        <f t="shared" si="382"/>
        <v>0</v>
      </c>
      <c r="L537" s="4">
        <f t="shared" si="395"/>
        <v>0</v>
      </c>
      <c r="M537" s="4">
        <f t="shared" si="383"/>
        <v>0</v>
      </c>
      <c r="N537">
        <f t="shared" si="384"/>
        <v>0</v>
      </c>
      <c r="O537" s="21">
        <f t="shared" si="385"/>
        <v>0</v>
      </c>
      <c r="P537">
        <f>IF(B537&gt;$AJ$2,0,HLOOKUP(C537,Assumptions!$A$12:$J$13,2,TRUE))</f>
        <v>0</v>
      </c>
      <c r="Q537">
        <f t="shared" si="386"/>
        <v>0</v>
      </c>
      <c r="R537">
        <f t="shared" si="396"/>
        <v>0</v>
      </c>
      <c r="S537">
        <f t="shared" si="387"/>
        <v>0</v>
      </c>
      <c r="T537">
        <f t="shared" si="388"/>
        <v>0</v>
      </c>
      <c r="U537">
        <f t="shared" si="397"/>
        <v>0</v>
      </c>
      <c r="V537">
        <f t="shared" si="398"/>
        <v>0</v>
      </c>
      <c r="W537">
        <f t="shared" si="399"/>
        <v>0</v>
      </c>
      <c r="X537">
        <f t="shared" si="389"/>
        <v>0</v>
      </c>
      <c r="Y537">
        <f t="shared" si="400"/>
        <v>0</v>
      </c>
      <c r="Z537">
        <f t="shared" si="401"/>
        <v>0</v>
      </c>
      <c r="AA537">
        <f t="shared" si="402"/>
        <v>0</v>
      </c>
      <c r="AB537">
        <f t="shared" si="403"/>
        <v>0</v>
      </c>
      <c r="AC537" s="23">
        <f>IF(B537&gt;$AJ$2,0,HLOOKUP(YEAR(A537),Assumptions!$A$25:$AL$29,4,TRUE)/100)</f>
        <v>0</v>
      </c>
      <c r="AD537">
        <f t="shared" si="404"/>
        <v>0</v>
      </c>
      <c r="AE537">
        <f t="shared" si="405"/>
        <v>0</v>
      </c>
      <c r="AF537">
        <f t="shared" si="406"/>
        <v>0</v>
      </c>
      <c r="AG537">
        <f t="shared" si="407"/>
        <v>0</v>
      </c>
      <c r="AH537">
        <f t="shared" si="408"/>
        <v>0</v>
      </c>
      <c r="AI537">
        <f t="shared" si="409"/>
        <v>0</v>
      </c>
      <c r="AJ537">
        <f t="shared" si="410"/>
        <v>0</v>
      </c>
      <c r="AK537">
        <f t="shared" si="390"/>
        <v>0</v>
      </c>
      <c r="AL537">
        <f t="shared" si="411"/>
        <v>0</v>
      </c>
      <c r="AM537">
        <f t="shared" si="393"/>
        <v>0</v>
      </c>
      <c r="AN537">
        <f>IF($S$2=0,0,(SUMPRODUCT($K$2:$R$2,Assumptions!$B$34:$I$34)/$U$2+$J$2/$U$2*Assumptions!$A$34*G537)*K537*O536)</f>
        <v>0</v>
      </c>
      <c r="AO537">
        <f t="shared" si="412"/>
        <v>0</v>
      </c>
      <c r="AP537">
        <f t="shared" si="413"/>
        <v>0</v>
      </c>
      <c r="AQ537">
        <f>IF(B537&gt;$AJ$2,0,AQ536*(1+Assumptions!$B$43)^(1/12))</f>
        <v>0</v>
      </c>
      <c r="AR537" s="27">
        <f>IF(B537&gt;$AJ$2,0,(O536+R536)*Assumptions!$B$39/12*AQ536+AV537*Assumptions!$B$41/12)</f>
        <v>0</v>
      </c>
      <c r="AS537">
        <f t="shared" si="414"/>
        <v>0</v>
      </c>
      <c r="AT537" s="28">
        <f t="shared" si="415"/>
        <v>0</v>
      </c>
      <c r="AU537">
        <f t="shared" si="416"/>
        <v>0</v>
      </c>
      <c r="AV537" s="28">
        <f t="shared" si="417"/>
        <v>0</v>
      </c>
      <c r="AW537" s="28">
        <f t="shared" si="418"/>
        <v>0</v>
      </c>
      <c r="AX537" s="23">
        <f>HLOOKUP(YEAR(A537),Assumptions!$A$25:$AL$29,2,TRUE)/100</f>
        <v>1.1332999999999999E-2</v>
      </c>
      <c r="AY537" s="29">
        <f>1/(1+HLOOKUP(YEAR(A537),Assumptions!$A$18:$AL$20,3,TRUE))^(1/12)</f>
        <v>0.99906100631170314</v>
      </c>
      <c r="AZ537" s="26">
        <f t="shared" si="419"/>
        <v>0</v>
      </c>
      <c r="BA537">
        <f t="shared" si="420"/>
        <v>0</v>
      </c>
      <c r="BB537">
        <f t="shared" si="421"/>
        <v>0</v>
      </c>
      <c r="BC537">
        <f t="shared" si="422"/>
        <v>0</v>
      </c>
    </row>
    <row r="538" spans="1:55" x14ac:dyDescent="0.2">
      <c r="A538" s="3">
        <f t="shared" si="394"/>
        <v>59140</v>
      </c>
      <c r="B538">
        <f t="shared" si="391"/>
        <v>540</v>
      </c>
      <c r="C538">
        <f t="shared" si="378"/>
        <v>44.916666666666664</v>
      </c>
      <c r="D538">
        <f t="shared" si="379"/>
        <v>0</v>
      </c>
      <c r="E538">
        <f t="shared" si="392"/>
        <v>100</v>
      </c>
      <c r="F538">
        <f>IF(C538&gt;=$T$2,0,VLOOKUP($E538,'Mortality Table'!$A$3:$C$128,2+AF$2,FALSE))</f>
        <v>0</v>
      </c>
      <c r="G538">
        <f>F538*Assumptions!$B$1</f>
        <v>0</v>
      </c>
      <c r="H538">
        <f t="shared" si="380"/>
        <v>0</v>
      </c>
      <c r="I538">
        <f t="shared" si="381"/>
        <v>0</v>
      </c>
      <c r="J538">
        <f>IF(B538&gt;$AJ$2,0,HLOOKUP(C538,Assumptions!$A$6:$J$7,2,TRUE))</f>
        <v>0</v>
      </c>
      <c r="K538" s="4">
        <f t="shared" si="382"/>
        <v>0</v>
      </c>
      <c r="L538" s="4">
        <f t="shared" si="395"/>
        <v>0</v>
      </c>
      <c r="M538" s="4">
        <f t="shared" si="383"/>
        <v>0</v>
      </c>
      <c r="N538">
        <f t="shared" si="384"/>
        <v>0</v>
      </c>
      <c r="O538" s="21">
        <f t="shared" si="385"/>
        <v>0</v>
      </c>
      <c r="P538">
        <f>IF(B538&gt;$AJ$2,0,HLOOKUP(C538,Assumptions!$A$12:$J$13,2,TRUE))</f>
        <v>0</v>
      </c>
      <c r="Q538">
        <f t="shared" si="386"/>
        <v>0</v>
      </c>
      <c r="R538">
        <f t="shared" si="396"/>
        <v>0</v>
      </c>
      <c r="S538">
        <f t="shared" si="387"/>
        <v>0</v>
      </c>
      <c r="T538">
        <f t="shared" si="388"/>
        <v>0</v>
      </c>
      <c r="U538">
        <f t="shared" si="397"/>
        <v>0</v>
      </c>
      <c r="V538">
        <f t="shared" si="398"/>
        <v>0</v>
      </c>
      <c r="W538">
        <f t="shared" si="399"/>
        <v>0</v>
      </c>
      <c r="X538">
        <f t="shared" si="389"/>
        <v>0</v>
      </c>
      <c r="Y538">
        <f t="shared" si="400"/>
        <v>0</v>
      </c>
      <c r="Z538">
        <f t="shared" si="401"/>
        <v>0</v>
      </c>
      <c r="AA538">
        <f t="shared" si="402"/>
        <v>0</v>
      </c>
      <c r="AB538">
        <f t="shared" si="403"/>
        <v>0</v>
      </c>
      <c r="AC538" s="23">
        <f>IF(B538&gt;$AJ$2,0,HLOOKUP(YEAR(A538),Assumptions!$A$25:$AL$29,4,TRUE)/100)</f>
        <v>0</v>
      </c>
      <c r="AD538">
        <f t="shared" si="404"/>
        <v>0</v>
      </c>
      <c r="AE538">
        <f t="shared" si="405"/>
        <v>0</v>
      </c>
      <c r="AF538">
        <f t="shared" si="406"/>
        <v>0</v>
      </c>
      <c r="AG538">
        <f t="shared" si="407"/>
        <v>0</v>
      </c>
      <c r="AH538">
        <f t="shared" si="408"/>
        <v>0</v>
      </c>
      <c r="AI538">
        <f t="shared" si="409"/>
        <v>0</v>
      </c>
      <c r="AJ538">
        <f t="shared" si="410"/>
        <v>0</v>
      </c>
      <c r="AK538">
        <f t="shared" si="390"/>
        <v>0</v>
      </c>
      <c r="AL538">
        <f t="shared" si="411"/>
        <v>0</v>
      </c>
      <c r="AM538">
        <f t="shared" si="393"/>
        <v>0</v>
      </c>
      <c r="AN538">
        <f>IF($S$2=0,0,(SUMPRODUCT($K$2:$R$2,Assumptions!$B$34:$I$34)/$U$2+$J$2/$U$2*Assumptions!$A$34*G538)*K538*O537)</f>
        <v>0</v>
      </c>
      <c r="AO538">
        <f t="shared" si="412"/>
        <v>0</v>
      </c>
      <c r="AP538">
        <f t="shared" si="413"/>
        <v>0</v>
      </c>
      <c r="AQ538">
        <f>IF(B538&gt;$AJ$2,0,AQ537*(1+Assumptions!$B$43)^(1/12))</f>
        <v>0</v>
      </c>
      <c r="AR538" s="27">
        <f>IF(B538&gt;$AJ$2,0,(O537+R537)*Assumptions!$B$39/12*AQ537+AV538*Assumptions!$B$41/12)</f>
        <v>0</v>
      </c>
      <c r="AS538">
        <f t="shared" si="414"/>
        <v>0</v>
      </c>
      <c r="AT538" s="28">
        <f t="shared" si="415"/>
        <v>0</v>
      </c>
      <c r="AU538">
        <f t="shared" si="416"/>
        <v>0</v>
      </c>
      <c r="AV538" s="28">
        <f t="shared" si="417"/>
        <v>0</v>
      </c>
      <c r="AW538" s="28">
        <f t="shared" si="418"/>
        <v>0</v>
      </c>
      <c r="AX538" s="23">
        <f>HLOOKUP(YEAR(A538),Assumptions!$A$25:$AL$29,2,TRUE)/100</f>
        <v>1.1332999999999999E-2</v>
      </c>
      <c r="AY538" s="29">
        <f>1/(1+HLOOKUP(YEAR(A538),Assumptions!$A$18:$AL$20,3,TRUE))^(1/12)</f>
        <v>0.99906100631170314</v>
      </c>
      <c r="AZ538" s="26">
        <f t="shared" si="419"/>
        <v>0</v>
      </c>
      <c r="BA538">
        <f t="shared" si="420"/>
        <v>0</v>
      </c>
      <c r="BB538">
        <f t="shared" si="421"/>
        <v>0</v>
      </c>
      <c r="BC538">
        <f t="shared" si="422"/>
        <v>0</v>
      </c>
    </row>
    <row r="539" spans="1:55" x14ac:dyDescent="0.2">
      <c r="A539" s="3">
        <f t="shared" si="394"/>
        <v>59171</v>
      </c>
      <c r="B539">
        <f t="shared" si="391"/>
        <v>541</v>
      </c>
      <c r="C539">
        <f t="shared" si="378"/>
        <v>45</v>
      </c>
      <c r="D539">
        <f t="shared" si="379"/>
        <v>1</v>
      </c>
      <c r="E539">
        <f t="shared" si="392"/>
        <v>101</v>
      </c>
      <c r="F539">
        <f>IF(C539&gt;=$T$2,0,VLOOKUP($E539,'Mortality Table'!$A$3:$C$128,2+AF$2,FALSE))</f>
        <v>0</v>
      </c>
      <c r="G539">
        <f>F539*Assumptions!$B$1</f>
        <v>0</v>
      </c>
      <c r="H539">
        <f t="shared" si="380"/>
        <v>0</v>
      </c>
      <c r="I539">
        <f t="shared" si="381"/>
        <v>0</v>
      </c>
      <c r="J539">
        <f>IF(B539&gt;$AJ$2,0,HLOOKUP(C539,Assumptions!$A$6:$J$7,2,TRUE))</f>
        <v>0</v>
      </c>
      <c r="K539" s="4">
        <f t="shared" si="382"/>
        <v>0</v>
      </c>
      <c r="L539" s="4">
        <f t="shared" si="395"/>
        <v>0</v>
      </c>
      <c r="M539" s="4">
        <f t="shared" si="383"/>
        <v>0</v>
      </c>
      <c r="N539">
        <f t="shared" si="384"/>
        <v>0</v>
      </c>
      <c r="O539" s="21">
        <f t="shared" si="385"/>
        <v>0</v>
      </c>
      <c r="P539">
        <f>IF(B539&gt;$AJ$2,0,HLOOKUP(C539,Assumptions!$A$12:$J$13,2,TRUE))</f>
        <v>0</v>
      </c>
      <c r="Q539">
        <f t="shared" si="386"/>
        <v>0</v>
      </c>
      <c r="R539">
        <f t="shared" si="396"/>
        <v>0</v>
      </c>
      <c r="S539">
        <f t="shared" si="387"/>
        <v>0</v>
      </c>
      <c r="T539">
        <f t="shared" si="388"/>
        <v>0</v>
      </c>
      <c r="U539">
        <f t="shared" si="397"/>
        <v>0</v>
      </c>
      <c r="V539">
        <f t="shared" si="398"/>
        <v>0</v>
      </c>
      <c r="W539">
        <f t="shared" si="399"/>
        <v>0</v>
      </c>
      <c r="X539">
        <f t="shared" si="389"/>
        <v>0</v>
      </c>
      <c r="Y539">
        <f t="shared" si="400"/>
        <v>0</v>
      </c>
      <c r="Z539">
        <f t="shared" si="401"/>
        <v>0</v>
      </c>
      <c r="AA539">
        <f t="shared" si="402"/>
        <v>0</v>
      </c>
      <c r="AB539">
        <f t="shared" si="403"/>
        <v>0</v>
      </c>
      <c r="AC539" s="23">
        <f>IF(B539&gt;$AJ$2,0,HLOOKUP(YEAR(A539),Assumptions!$A$25:$AL$29,4,TRUE)/100)</f>
        <v>0</v>
      </c>
      <c r="AD539">
        <f t="shared" si="404"/>
        <v>0</v>
      </c>
      <c r="AE539">
        <f t="shared" si="405"/>
        <v>0</v>
      </c>
      <c r="AF539">
        <f t="shared" si="406"/>
        <v>0</v>
      </c>
      <c r="AG539">
        <f t="shared" si="407"/>
        <v>0</v>
      </c>
      <c r="AH539">
        <f t="shared" si="408"/>
        <v>0</v>
      </c>
      <c r="AI539">
        <f t="shared" si="409"/>
        <v>0</v>
      </c>
      <c r="AJ539">
        <f t="shared" si="410"/>
        <v>0</v>
      </c>
      <c r="AK539">
        <f t="shared" si="390"/>
        <v>0</v>
      </c>
      <c r="AL539">
        <f t="shared" si="411"/>
        <v>0</v>
      </c>
      <c r="AM539">
        <f t="shared" si="393"/>
        <v>0</v>
      </c>
      <c r="AN539">
        <f>IF($S$2=0,0,(SUMPRODUCT($K$2:$R$2,Assumptions!$B$34:$I$34)/$U$2+$J$2/$U$2*Assumptions!$A$34*G539)*K539*O538)</f>
        <v>0</v>
      </c>
      <c r="AO539">
        <f t="shared" si="412"/>
        <v>0</v>
      </c>
      <c r="AP539">
        <f t="shared" si="413"/>
        <v>0</v>
      </c>
      <c r="AQ539">
        <f>IF(B539&gt;$AJ$2,0,AQ538*(1+Assumptions!$B$43)^(1/12))</f>
        <v>0</v>
      </c>
      <c r="AR539" s="27">
        <f>IF(B539&gt;$AJ$2,0,(O538+R538)*Assumptions!$B$39/12*AQ538+AV539*Assumptions!$B$41/12)</f>
        <v>0</v>
      </c>
      <c r="AS539">
        <f t="shared" si="414"/>
        <v>0</v>
      </c>
      <c r="AT539" s="28">
        <f t="shared" si="415"/>
        <v>0</v>
      </c>
      <c r="AU539">
        <f t="shared" si="416"/>
        <v>0</v>
      </c>
      <c r="AV539" s="28">
        <f t="shared" si="417"/>
        <v>0</v>
      </c>
      <c r="AW539" s="28">
        <f t="shared" si="418"/>
        <v>0</v>
      </c>
      <c r="AX539" s="23">
        <f>HLOOKUP(YEAR(A539),Assumptions!$A$25:$AL$29,2,TRUE)/100</f>
        <v>1.1332999999999999E-2</v>
      </c>
      <c r="AY539" s="29">
        <f>1/(1+HLOOKUP(YEAR(A539),Assumptions!$A$18:$AL$20,3,TRUE))^(1/12)</f>
        <v>0.99906100631170314</v>
      </c>
      <c r="AZ539" s="26">
        <f t="shared" si="419"/>
        <v>0</v>
      </c>
      <c r="BA539">
        <f t="shared" si="420"/>
        <v>0</v>
      </c>
      <c r="BB539">
        <f t="shared" si="421"/>
        <v>0</v>
      </c>
      <c r="BC539">
        <f t="shared" si="422"/>
        <v>0</v>
      </c>
    </row>
    <row r="540" spans="1:55" x14ac:dyDescent="0.2">
      <c r="A540" s="3">
        <f t="shared" si="394"/>
        <v>59202</v>
      </c>
      <c r="B540">
        <f t="shared" si="391"/>
        <v>542</v>
      </c>
      <c r="C540">
        <f t="shared" si="378"/>
        <v>45.083333333333336</v>
      </c>
      <c r="D540">
        <f t="shared" si="379"/>
        <v>0</v>
      </c>
      <c r="E540">
        <f t="shared" si="392"/>
        <v>101</v>
      </c>
      <c r="F540">
        <f>IF(C540&gt;=$T$2,0,VLOOKUP($E540,'Mortality Table'!$A$3:$C$128,2+AF$2,FALSE))</f>
        <v>0</v>
      </c>
      <c r="G540">
        <f>F540*Assumptions!$B$1</f>
        <v>0</v>
      </c>
      <c r="H540">
        <f t="shared" si="380"/>
        <v>0</v>
      </c>
      <c r="I540">
        <f t="shared" si="381"/>
        <v>0</v>
      </c>
      <c r="J540">
        <f>IF(B540&gt;$AJ$2,0,HLOOKUP(C540,Assumptions!$A$6:$J$7,2,TRUE))</f>
        <v>0</v>
      </c>
      <c r="K540" s="4">
        <f t="shared" si="382"/>
        <v>0</v>
      </c>
      <c r="L540" s="4">
        <f t="shared" si="395"/>
        <v>0</v>
      </c>
      <c r="M540" s="4">
        <f t="shared" si="383"/>
        <v>0</v>
      </c>
      <c r="N540">
        <f t="shared" si="384"/>
        <v>0</v>
      </c>
      <c r="O540" s="21">
        <f t="shared" si="385"/>
        <v>0</v>
      </c>
      <c r="P540">
        <f>IF(B540&gt;$AJ$2,0,HLOOKUP(C540,Assumptions!$A$12:$J$13,2,TRUE))</f>
        <v>0</v>
      </c>
      <c r="Q540">
        <f t="shared" si="386"/>
        <v>0</v>
      </c>
      <c r="R540">
        <f t="shared" si="396"/>
        <v>0</v>
      </c>
      <c r="S540">
        <f t="shared" si="387"/>
        <v>0</v>
      </c>
      <c r="T540">
        <f t="shared" si="388"/>
        <v>0</v>
      </c>
      <c r="U540">
        <f t="shared" si="397"/>
        <v>0</v>
      </c>
      <c r="V540">
        <f t="shared" si="398"/>
        <v>0</v>
      </c>
      <c r="W540">
        <f t="shared" si="399"/>
        <v>0</v>
      </c>
      <c r="X540">
        <f t="shared" si="389"/>
        <v>0</v>
      </c>
      <c r="Y540">
        <f t="shared" si="400"/>
        <v>0</v>
      </c>
      <c r="Z540">
        <f t="shared" si="401"/>
        <v>0</v>
      </c>
      <c r="AA540">
        <f t="shared" si="402"/>
        <v>0</v>
      </c>
      <c r="AB540">
        <f t="shared" si="403"/>
        <v>0</v>
      </c>
      <c r="AC540" s="23">
        <f>IF(B540&gt;$AJ$2,0,HLOOKUP(YEAR(A540),Assumptions!$A$25:$AL$29,4,TRUE)/100)</f>
        <v>0</v>
      </c>
      <c r="AD540">
        <f t="shared" si="404"/>
        <v>0</v>
      </c>
      <c r="AE540">
        <f t="shared" si="405"/>
        <v>0</v>
      </c>
      <c r="AF540">
        <f t="shared" si="406"/>
        <v>0</v>
      </c>
      <c r="AG540">
        <f t="shared" si="407"/>
        <v>0</v>
      </c>
      <c r="AH540">
        <f t="shared" si="408"/>
        <v>0</v>
      </c>
      <c r="AI540">
        <f t="shared" si="409"/>
        <v>0</v>
      </c>
      <c r="AJ540">
        <f t="shared" si="410"/>
        <v>0</v>
      </c>
      <c r="AK540">
        <f t="shared" si="390"/>
        <v>0</v>
      </c>
      <c r="AL540">
        <f t="shared" si="411"/>
        <v>0</v>
      </c>
      <c r="AM540">
        <f t="shared" si="393"/>
        <v>0</v>
      </c>
      <c r="AN540">
        <f>IF($S$2=0,0,(SUMPRODUCT($K$2:$R$2,Assumptions!$B$34:$I$34)/$U$2+$J$2/$U$2*Assumptions!$A$34*G540)*K540*O539)</f>
        <v>0</v>
      </c>
      <c r="AO540">
        <f t="shared" si="412"/>
        <v>0</v>
      </c>
      <c r="AP540">
        <f t="shared" si="413"/>
        <v>0</v>
      </c>
      <c r="AQ540">
        <f>IF(B540&gt;$AJ$2,0,AQ539*(1+Assumptions!$B$43)^(1/12))</f>
        <v>0</v>
      </c>
      <c r="AR540" s="27">
        <f>IF(B540&gt;$AJ$2,0,(O539+R539)*Assumptions!$B$39/12*AQ539+AV540*Assumptions!$B$41/12)</f>
        <v>0</v>
      </c>
      <c r="AS540">
        <f t="shared" si="414"/>
        <v>0</v>
      </c>
      <c r="AT540" s="28">
        <f t="shared" si="415"/>
        <v>0</v>
      </c>
      <c r="AU540">
        <f t="shared" si="416"/>
        <v>0</v>
      </c>
      <c r="AV540" s="28">
        <f t="shared" si="417"/>
        <v>0</v>
      </c>
      <c r="AW540" s="28">
        <f t="shared" si="418"/>
        <v>0</v>
      </c>
      <c r="AX540" s="23">
        <f>HLOOKUP(YEAR(A540),Assumptions!$A$25:$AL$29,2,TRUE)/100</f>
        <v>1.1332999999999999E-2</v>
      </c>
      <c r="AY540" s="29">
        <f>1/(1+HLOOKUP(YEAR(A540),Assumptions!$A$18:$AL$20,3,TRUE))^(1/12)</f>
        <v>0.99906100631170314</v>
      </c>
      <c r="AZ540" s="26">
        <f t="shared" si="419"/>
        <v>0</v>
      </c>
      <c r="BA540">
        <f t="shared" si="420"/>
        <v>0</v>
      </c>
      <c r="BB540">
        <f t="shared" si="421"/>
        <v>0</v>
      </c>
      <c r="BC540">
        <f t="shared" si="422"/>
        <v>0</v>
      </c>
    </row>
    <row r="541" spans="1:55" x14ac:dyDescent="0.2">
      <c r="A541" s="3">
        <f t="shared" si="394"/>
        <v>59230</v>
      </c>
      <c r="B541">
        <f t="shared" si="391"/>
        <v>543</v>
      </c>
      <c r="C541">
        <f t="shared" si="378"/>
        <v>45.166666666666664</v>
      </c>
      <c r="D541">
        <f t="shared" si="379"/>
        <v>0</v>
      </c>
      <c r="E541">
        <f t="shared" si="392"/>
        <v>101</v>
      </c>
      <c r="F541">
        <f>IF(C541&gt;=$T$2,0,VLOOKUP($E541,'Mortality Table'!$A$3:$C$128,2+AF$2,FALSE))</f>
        <v>0</v>
      </c>
      <c r="G541">
        <f>F541*Assumptions!$B$1</f>
        <v>0</v>
      </c>
      <c r="H541">
        <f t="shared" si="380"/>
        <v>0</v>
      </c>
      <c r="I541">
        <f t="shared" si="381"/>
        <v>0</v>
      </c>
      <c r="J541">
        <f>IF(B541&gt;$AJ$2,0,HLOOKUP(C541,Assumptions!$A$6:$J$7,2,TRUE))</f>
        <v>0</v>
      </c>
      <c r="K541" s="4">
        <f t="shared" si="382"/>
        <v>0</v>
      </c>
      <c r="L541" s="4">
        <f t="shared" si="395"/>
        <v>0</v>
      </c>
      <c r="M541" s="4">
        <f t="shared" si="383"/>
        <v>0</v>
      </c>
      <c r="N541">
        <f t="shared" si="384"/>
        <v>0</v>
      </c>
      <c r="O541" s="21">
        <f t="shared" si="385"/>
        <v>0</v>
      </c>
      <c r="P541">
        <f>IF(B541&gt;$AJ$2,0,HLOOKUP(C541,Assumptions!$A$12:$J$13,2,TRUE))</f>
        <v>0</v>
      </c>
      <c r="Q541">
        <f t="shared" si="386"/>
        <v>0</v>
      </c>
      <c r="R541">
        <f t="shared" si="396"/>
        <v>0</v>
      </c>
      <c r="S541">
        <f t="shared" si="387"/>
        <v>0</v>
      </c>
      <c r="T541">
        <f t="shared" si="388"/>
        <v>0</v>
      </c>
      <c r="U541">
        <f t="shared" si="397"/>
        <v>0</v>
      </c>
      <c r="V541">
        <f t="shared" si="398"/>
        <v>0</v>
      </c>
      <c r="W541">
        <f t="shared" si="399"/>
        <v>0</v>
      </c>
      <c r="X541">
        <f t="shared" si="389"/>
        <v>0</v>
      </c>
      <c r="Y541">
        <f t="shared" si="400"/>
        <v>0</v>
      </c>
      <c r="Z541">
        <f t="shared" si="401"/>
        <v>0</v>
      </c>
      <c r="AA541">
        <f t="shared" si="402"/>
        <v>0</v>
      </c>
      <c r="AB541">
        <f t="shared" si="403"/>
        <v>0</v>
      </c>
      <c r="AC541" s="23">
        <f>IF(B541&gt;$AJ$2,0,HLOOKUP(YEAR(A541),Assumptions!$A$25:$AL$29,4,TRUE)/100)</f>
        <v>0</v>
      </c>
      <c r="AD541">
        <f t="shared" si="404"/>
        <v>0</v>
      </c>
      <c r="AE541">
        <f t="shared" si="405"/>
        <v>0</v>
      </c>
      <c r="AF541">
        <f t="shared" si="406"/>
        <v>0</v>
      </c>
      <c r="AG541">
        <f t="shared" si="407"/>
        <v>0</v>
      </c>
      <c r="AH541">
        <f t="shared" si="408"/>
        <v>0</v>
      </c>
      <c r="AI541">
        <f t="shared" si="409"/>
        <v>0</v>
      </c>
      <c r="AJ541">
        <f t="shared" si="410"/>
        <v>0</v>
      </c>
      <c r="AK541">
        <f t="shared" si="390"/>
        <v>0</v>
      </c>
      <c r="AL541">
        <f t="shared" si="411"/>
        <v>0</v>
      </c>
      <c r="AM541">
        <f t="shared" si="393"/>
        <v>0</v>
      </c>
      <c r="AN541">
        <f>IF($S$2=0,0,(SUMPRODUCT($K$2:$R$2,Assumptions!$B$34:$I$34)/$U$2+$J$2/$U$2*Assumptions!$A$34*G541)*K541*O540)</f>
        <v>0</v>
      </c>
      <c r="AO541">
        <f t="shared" si="412"/>
        <v>0</v>
      </c>
      <c r="AP541">
        <f t="shared" si="413"/>
        <v>0</v>
      </c>
      <c r="AQ541">
        <f>IF(B541&gt;$AJ$2,0,AQ540*(1+Assumptions!$B$43)^(1/12))</f>
        <v>0</v>
      </c>
      <c r="AR541" s="27">
        <f>IF(B541&gt;$AJ$2,0,(O540+R540)*Assumptions!$B$39/12*AQ540+AV541*Assumptions!$B$41/12)</f>
        <v>0</v>
      </c>
      <c r="AS541">
        <f t="shared" si="414"/>
        <v>0</v>
      </c>
      <c r="AT541" s="28">
        <f t="shared" si="415"/>
        <v>0</v>
      </c>
      <c r="AU541">
        <f t="shared" si="416"/>
        <v>0</v>
      </c>
      <c r="AV541" s="28">
        <f t="shared" si="417"/>
        <v>0</v>
      </c>
      <c r="AW541" s="28">
        <f t="shared" si="418"/>
        <v>0</v>
      </c>
      <c r="AX541" s="23">
        <f>HLOOKUP(YEAR(A541),Assumptions!$A$25:$AL$29,2,TRUE)/100</f>
        <v>1.1332999999999999E-2</v>
      </c>
      <c r="AY541" s="29">
        <f>1/(1+HLOOKUP(YEAR(A541),Assumptions!$A$18:$AL$20,3,TRUE))^(1/12)</f>
        <v>0.99906100631170314</v>
      </c>
      <c r="AZ541" s="26">
        <f t="shared" si="419"/>
        <v>0</v>
      </c>
      <c r="BA541">
        <f t="shared" si="420"/>
        <v>0</v>
      </c>
      <c r="BB541">
        <f t="shared" si="421"/>
        <v>0</v>
      </c>
      <c r="BC541">
        <f t="shared" si="422"/>
        <v>0</v>
      </c>
    </row>
    <row r="542" spans="1:55" x14ac:dyDescent="0.2">
      <c r="A542" s="3">
        <f t="shared" si="394"/>
        <v>59261</v>
      </c>
      <c r="B542">
        <f t="shared" si="391"/>
        <v>544</v>
      </c>
      <c r="C542">
        <f t="shared" si="378"/>
        <v>45.25</v>
      </c>
      <c r="D542">
        <f t="shared" si="379"/>
        <v>0</v>
      </c>
      <c r="E542">
        <f t="shared" si="392"/>
        <v>101</v>
      </c>
      <c r="F542">
        <f>IF(C542&gt;=$T$2,0,VLOOKUP($E542,'Mortality Table'!$A$3:$C$128,2+AF$2,FALSE))</f>
        <v>0</v>
      </c>
      <c r="G542">
        <f>F542*Assumptions!$B$1</f>
        <v>0</v>
      </c>
      <c r="H542">
        <f t="shared" si="380"/>
        <v>0</v>
      </c>
      <c r="I542">
        <f t="shared" si="381"/>
        <v>0</v>
      </c>
      <c r="J542">
        <f>IF(B542&gt;$AJ$2,0,HLOOKUP(C542,Assumptions!$A$6:$J$7,2,TRUE))</f>
        <v>0</v>
      </c>
      <c r="K542" s="4">
        <f t="shared" si="382"/>
        <v>0</v>
      </c>
      <c r="L542" s="4">
        <f t="shared" si="395"/>
        <v>0</v>
      </c>
      <c r="M542" s="4">
        <f t="shared" si="383"/>
        <v>0</v>
      </c>
      <c r="N542">
        <f t="shared" si="384"/>
        <v>0</v>
      </c>
      <c r="O542" s="21">
        <f t="shared" si="385"/>
        <v>0</v>
      </c>
      <c r="P542">
        <f>IF(B542&gt;$AJ$2,0,HLOOKUP(C542,Assumptions!$A$12:$J$13,2,TRUE))</f>
        <v>0</v>
      </c>
      <c r="Q542">
        <f t="shared" si="386"/>
        <v>0</v>
      </c>
      <c r="R542">
        <f t="shared" si="396"/>
        <v>0</v>
      </c>
      <c r="S542">
        <f t="shared" si="387"/>
        <v>0</v>
      </c>
      <c r="T542">
        <f t="shared" si="388"/>
        <v>0</v>
      </c>
      <c r="U542">
        <f t="shared" si="397"/>
        <v>0</v>
      </c>
      <c r="V542">
        <f t="shared" si="398"/>
        <v>0</v>
      </c>
      <c r="W542">
        <f t="shared" si="399"/>
        <v>0</v>
      </c>
      <c r="X542">
        <f t="shared" si="389"/>
        <v>0</v>
      </c>
      <c r="Y542">
        <f t="shared" si="400"/>
        <v>0</v>
      </c>
      <c r="Z542">
        <f t="shared" si="401"/>
        <v>0</v>
      </c>
      <c r="AA542">
        <f t="shared" si="402"/>
        <v>0</v>
      </c>
      <c r="AB542">
        <f t="shared" si="403"/>
        <v>0</v>
      </c>
      <c r="AC542" s="23">
        <f>IF(B542&gt;$AJ$2,0,HLOOKUP(YEAR(A542),Assumptions!$A$25:$AL$29,4,TRUE)/100)</f>
        <v>0</v>
      </c>
      <c r="AD542">
        <f t="shared" si="404"/>
        <v>0</v>
      </c>
      <c r="AE542">
        <f t="shared" si="405"/>
        <v>0</v>
      </c>
      <c r="AF542">
        <f t="shared" si="406"/>
        <v>0</v>
      </c>
      <c r="AG542">
        <f t="shared" si="407"/>
        <v>0</v>
      </c>
      <c r="AH542">
        <f t="shared" si="408"/>
        <v>0</v>
      </c>
      <c r="AI542">
        <f t="shared" si="409"/>
        <v>0</v>
      </c>
      <c r="AJ542">
        <f t="shared" si="410"/>
        <v>0</v>
      </c>
      <c r="AK542">
        <f t="shared" si="390"/>
        <v>0</v>
      </c>
      <c r="AL542">
        <f t="shared" si="411"/>
        <v>0</v>
      </c>
      <c r="AM542">
        <f t="shared" si="393"/>
        <v>0</v>
      </c>
      <c r="AN542">
        <f>IF($S$2=0,0,(SUMPRODUCT($K$2:$R$2,Assumptions!$B$34:$I$34)/$U$2+$J$2/$U$2*Assumptions!$A$34*G542)*K542*O541)</f>
        <v>0</v>
      </c>
      <c r="AO542">
        <f t="shared" si="412"/>
        <v>0</v>
      </c>
      <c r="AP542">
        <f t="shared" si="413"/>
        <v>0</v>
      </c>
      <c r="AQ542">
        <f>IF(B542&gt;$AJ$2,0,AQ541*(1+Assumptions!$B$43)^(1/12))</f>
        <v>0</v>
      </c>
      <c r="AR542" s="27">
        <f>IF(B542&gt;$AJ$2,0,(O541+R541)*Assumptions!$B$39/12*AQ541+AV542*Assumptions!$B$41/12)</f>
        <v>0</v>
      </c>
      <c r="AS542">
        <f t="shared" si="414"/>
        <v>0</v>
      </c>
      <c r="AT542" s="28">
        <f t="shared" si="415"/>
        <v>0</v>
      </c>
      <c r="AU542">
        <f t="shared" si="416"/>
        <v>0</v>
      </c>
      <c r="AV542" s="28">
        <f t="shared" si="417"/>
        <v>0</v>
      </c>
      <c r="AW542" s="28">
        <f t="shared" si="418"/>
        <v>0</v>
      </c>
      <c r="AX542" s="23">
        <f>HLOOKUP(YEAR(A542),Assumptions!$A$25:$AL$29,2,TRUE)/100</f>
        <v>1.1332999999999999E-2</v>
      </c>
      <c r="AY542" s="29">
        <f>1/(1+HLOOKUP(YEAR(A542),Assumptions!$A$18:$AL$20,3,TRUE))^(1/12)</f>
        <v>0.99906100631170314</v>
      </c>
      <c r="AZ542" s="26">
        <f t="shared" si="419"/>
        <v>0</v>
      </c>
      <c r="BA542">
        <f t="shared" si="420"/>
        <v>0</v>
      </c>
      <c r="BB542">
        <f t="shared" si="421"/>
        <v>0</v>
      </c>
      <c r="BC542">
        <f t="shared" si="422"/>
        <v>0</v>
      </c>
    </row>
    <row r="543" spans="1:55" x14ac:dyDescent="0.2">
      <c r="A543" s="3">
        <f t="shared" si="394"/>
        <v>59291</v>
      </c>
      <c r="B543">
        <f t="shared" si="391"/>
        <v>545</v>
      </c>
      <c r="C543">
        <f t="shared" si="378"/>
        <v>45.333333333333336</v>
      </c>
      <c r="D543">
        <f t="shared" si="379"/>
        <v>0</v>
      </c>
      <c r="E543">
        <f t="shared" si="392"/>
        <v>101</v>
      </c>
      <c r="F543">
        <f>IF(C543&gt;=$T$2,0,VLOOKUP($E543,'Mortality Table'!$A$3:$C$128,2+AF$2,FALSE))</f>
        <v>0</v>
      </c>
      <c r="G543">
        <f>F543*Assumptions!$B$1</f>
        <v>0</v>
      </c>
      <c r="H543">
        <f t="shared" si="380"/>
        <v>0</v>
      </c>
      <c r="I543">
        <f t="shared" si="381"/>
        <v>0</v>
      </c>
      <c r="J543">
        <f>IF(B543&gt;$AJ$2,0,HLOOKUP(C543,Assumptions!$A$6:$J$7,2,TRUE))</f>
        <v>0</v>
      </c>
      <c r="K543" s="4">
        <f t="shared" si="382"/>
        <v>0</v>
      </c>
      <c r="L543" s="4">
        <f t="shared" si="395"/>
        <v>0</v>
      </c>
      <c r="M543" s="4">
        <f t="shared" si="383"/>
        <v>0</v>
      </c>
      <c r="N543">
        <f t="shared" si="384"/>
        <v>0</v>
      </c>
      <c r="O543" s="21">
        <f t="shared" si="385"/>
        <v>0</v>
      </c>
      <c r="P543">
        <f>IF(B543&gt;$AJ$2,0,HLOOKUP(C543,Assumptions!$A$12:$J$13,2,TRUE))</f>
        <v>0</v>
      </c>
      <c r="Q543">
        <f t="shared" si="386"/>
        <v>0</v>
      </c>
      <c r="R543">
        <f t="shared" si="396"/>
        <v>0</v>
      </c>
      <c r="S543">
        <f t="shared" si="387"/>
        <v>0</v>
      </c>
      <c r="T543">
        <f t="shared" si="388"/>
        <v>0</v>
      </c>
      <c r="U543">
        <f t="shared" si="397"/>
        <v>0</v>
      </c>
      <c r="V543">
        <f t="shared" si="398"/>
        <v>0</v>
      </c>
      <c r="W543">
        <f t="shared" si="399"/>
        <v>0</v>
      </c>
      <c r="X543">
        <f t="shared" si="389"/>
        <v>0</v>
      </c>
      <c r="Y543">
        <f t="shared" si="400"/>
        <v>0</v>
      </c>
      <c r="Z543">
        <f t="shared" si="401"/>
        <v>0</v>
      </c>
      <c r="AA543">
        <f t="shared" si="402"/>
        <v>0</v>
      </c>
      <c r="AB543">
        <f t="shared" si="403"/>
        <v>0</v>
      </c>
      <c r="AC543" s="23">
        <f>IF(B543&gt;$AJ$2,0,HLOOKUP(YEAR(A543),Assumptions!$A$25:$AL$29,4,TRUE)/100)</f>
        <v>0</v>
      </c>
      <c r="AD543">
        <f t="shared" si="404"/>
        <v>0</v>
      </c>
      <c r="AE543">
        <f t="shared" si="405"/>
        <v>0</v>
      </c>
      <c r="AF543">
        <f t="shared" si="406"/>
        <v>0</v>
      </c>
      <c r="AG543">
        <f t="shared" si="407"/>
        <v>0</v>
      </c>
      <c r="AH543">
        <f t="shared" si="408"/>
        <v>0</v>
      </c>
      <c r="AI543">
        <f t="shared" si="409"/>
        <v>0</v>
      </c>
      <c r="AJ543">
        <f t="shared" si="410"/>
        <v>0</v>
      </c>
      <c r="AK543">
        <f t="shared" si="390"/>
        <v>0</v>
      </c>
      <c r="AL543">
        <f t="shared" si="411"/>
        <v>0</v>
      </c>
      <c r="AM543">
        <f t="shared" si="393"/>
        <v>0</v>
      </c>
      <c r="AN543">
        <f>IF($S$2=0,0,(SUMPRODUCT($K$2:$R$2,Assumptions!$B$34:$I$34)/$U$2+$J$2/$U$2*Assumptions!$A$34*G543)*K543*O542)</f>
        <v>0</v>
      </c>
      <c r="AO543">
        <f t="shared" si="412"/>
        <v>0</v>
      </c>
      <c r="AP543">
        <f t="shared" si="413"/>
        <v>0</v>
      </c>
      <c r="AQ543">
        <f>IF(B543&gt;$AJ$2,0,AQ542*(1+Assumptions!$B$43)^(1/12))</f>
        <v>0</v>
      </c>
      <c r="AR543" s="27">
        <f>IF(B543&gt;$AJ$2,0,(O542+R542)*Assumptions!$B$39/12*AQ542+AV543*Assumptions!$B$41/12)</f>
        <v>0</v>
      </c>
      <c r="AS543">
        <f t="shared" si="414"/>
        <v>0</v>
      </c>
      <c r="AT543" s="28">
        <f t="shared" si="415"/>
        <v>0</v>
      </c>
      <c r="AU543">
        <f t="shared" si="416"/>
        <v>0</v>
      </c>
      <c r="AV543" s="28">
        <f t="shared" si="417"/>
        <v>0</v>
      </c>
      <c r="AW543" s="28">
        <f t="shared" si="418"/>
        <v>0</v>
      </c>
      <c r="AX543" s="23">
        <f>HLOOKUP(YEAR(A543),Assumptions!$A$25:$AL$29,2,TRUE)/100</f>
        <v>1.1332999999999999E-2</v>
      </c>
      <c r="AY543" s="29">
        <f>1/(1+HLOOKUP(YEAR(A543),Assumptions!$A$18:$AL$20,3,TRUE))^(1/12)</f>
        <v>0.99906100631170314</v>
      </c>
      <c r="AZ543" s="26">
        <f t="shared" si="419"/>
        <v>0</v>
      </c>
      <c r="BA543">
        <f t="shared" si="420"/>
        <v>0</v>
      </c>
      <c r="BB543">
        <f t="shared" si="421"/>
        <v>0</v>
      </c>
      <c r="BC543">
        <f t="shared" si="422"/>
        <v>0</v>
      </c>
    </row>
    <row r="544" spans="1:55" x14ac:dyDescent="0.2">
      <c r="A544" s="3">
        <f t="shared" si="394"/>
        <v>59322</v>
      </c>
      <c r="B544">
        <f t="shared" si="391"/>
        <v>546</v>
      </c>
      <c r="C544">
        <f t="shared" si="378"/>
        <v>45.416666666666664</v>
      </c>
      <c r="D544">
        <f t="shared" si="379"/>
        <v>0</v>
      </c>
      <c r="E544">
        <f t="shared" si="392"/>
        <v>101</v>
      </c>
      <c r="F544">
        <f>IF(C544&gt;=$T$2,0,VLOOKUP($E544,'Mortality Table'!$A$3:$C$128,2+AF$2,FALSE))</f>
        <v>0</v>
      </c>
      <c r="G544">
        <f>F544*Assumptions!$B$1</f>
        <v>0</v>
      </c>
      <c r="H544">
        <f t="shared" si="380"/>
        <v>0</v>
      </c>
      <c r="I544">
        <f t="shared" si="381"/>
        <v>0</v>
      </c>
      <c r="J544">
        <f>IF(B544&gt;$AJ$2,0,HLOOKUP(C544,Assumptions!$A$6:$J$7,2,TRUE))</f>
        <v>0</v>
      </c>
      <c r="K544" s="4">
        <f t="shared" si="382"/>
        <v>0</v>
      </c>
      <c r="L544" s="4">
        <f t="shared" si="395"/>
        <v>0</v>
      </c>
      <c r="M544" s="4">
        <f t="shared" si="383"/>
        <v>0</v>
      </c>
      <c r="N544">
        <f t="shared" si="384"/>
        <v>0</v>
      </c>
      <c r="O544" s="21">
        <f t="shared" si="385"/>
        <v>0</v>
      </c>
      <c r="P544">
        <f>IF(B544&gt;$AJ$2,0,HLOOKUP(C544,Assumptions!$A$12:$J$13,2,TRUE))</f>
        <v>0</v>
      </c>
      <c r="Q544">
        <f t="shared" si="386"/>
        <v>0</v>
      </c>
      <c r="R544">
        <f t="shared" si="396"/>
        <v>0</v>
      </c>
      <c r="S544">
        <f t="shared" si="387"/>
        <v>0</v>
      </c>
      <c r="T544">
        <f t="shared" si="388"/>
        <v>0</v>
      </c>
      <c r="U544">
        <f t="shared" si="397"/>
        <v>0</v>
      </c>
      <c r="V544">
        <f t="shared" si="398"/>
        <v>0</v>
      </c>
      <c r="W544">
        <f t="shared" si="399"/>
        <v>0</v>
      </c>
      <c r="X544">
        <f t="shared" si="389"/>
        <v>0</v>
      </c>
      <c r="Y544">
        <f t="shared" si="400"/>
        <v>0</v>
      </c>
      <c r="Z544">
        <f t="shared" si="401"/>
        <v>0</v>
      </c>
      <c r="AA544">
        <f t="shared" si="402"/>
        <v>0</v>
      </c>
      <c r="AB544">
        <f t="shared" si="403"/>
        <v>0</v>
      </c>
      <c r="AC544" s="23">
        <f>IF(B544&gt;$AJ$2,0,HLOOKUP(YEAR(A544),Assumptions!$A$25:$AL$29,4,TRUE)/100)</f>
        <v>0</v>
      </c>
      <c r="AD544">
        <f t="shared" si="404"/>
        <v>0</v>
      </c>
      <c r="AE544">
        <f t="shared" si="405"/>
        <v>0</v>
      </c>
      <c r="AF544">
        <f t="shared" si="406"/>
        <v>0</v>
      </c>
      <c r="AG544">
        <f t="shared" si="407"/>
        <v>0</v>
      </c>
      <c r="AH544">
        <f t="shared" si="408"/>
        <v>0</v>
      </c>
      <c r="AI544">
        <f t="shared" si="409"/>
        <v>0</v>
      </c>
      <c r="AJ544">
        <f t="shared" si="410"/>
        <v>0</v>
      </c>
      <c r="AK544">
        <f t="shared" si="390"/>
        <v>0</v>
      </c>
      <c r="AL544">
        <f t="shared" si="411"/>
        <v>0</v>
      </c>
      <c r="AM544">
        <f t="shared" si="393"/>
        <v>0</v>
      </c>
      <c r="AN544">
        <f>IF($S$2=0,0,(SUMPRODUCT($K$2:$R$2,Assumptions!$B$34:$I$34)/$U$2+$J$2/$U$2*Assumptions!$A$34*G544)*K544*O543)</f>
        <v>0</v>
      </c>
      <c r="AO544">
        <f t="shared" si="412"/>
        <v>0</v>
      </c>
      <c r="AP544">
        <f t="shared" si="413"/>
        <v>0</v>
      </c>
      <c r="AQ544">
        <f>IF(B544&gt;$AJ$2,0,AQ543*(1+Assumptions!$B$43)^(1/12))</f>
        <v>0</v>
      </c>
      <c r="AR544" s="27">
        <f>IF(B544&gt;$AJ$2,0,(O543+R543)*Assumptions!$B$39/12*AQ543+AV544*Assumptions!$B$41/12)</f>
        <v>0</v>
      </c>
      <c r="AS544">
        <f t="shared" si="414"/>
        <v>0</v>
      </c>
      <c r="AT544" s="28">
        <f t="shared" si="415"/>
        <v>0</v>
      </c>
      <c r="AU544">
        <f t="shared" si="416"/>
        <v>0</v>
      </c>
      <c r="AV544" s="28">
        <f t="shared" si="417"/>
        <v>0</v>
      </c>
      <c r="AW544" s="28">
        <f t="shared" si="418"/>
        <v>0</v>
      </c>
      <c r="AX544" s="23">
        <f>HLOOKUP(YEAR(A544),Assumptions!$A$25:$AL$29,2,TRUE)/100</f>
        <v>1.1332999999999999E-2</v>
      </c>
      <c r="AY544" s="29">
        <f>1/(1+HLOOKUP(YEAR(A544),Assumptions!$A$18:$AL$20,3,TRUE))^(1/12)</f>
        <v>0.99906100631170314</v>
      </c>
      <c r="AZ544" s="26">
        <f t="shared" si="419"/>
        <v>0</v>
      </c>
      <c r="BA544">
        <f t="shared" si="420"/>
        <v>0</v>
      </c>
      <c r="BB544">
        <f t="shared" si="421"/>
        <v>0</v>
      </c>
      <c r="BC544">
        <f t="shared" si="422"/>
        <v>0</v>
      </c>
    </row>
    <row r="545" spans="1:55" x14ac:dyDescent="0.2">
      <c r="A545" s="3">
        <f t="shared" si="394"/>
        <v>59352</v>
      </c>
      <c r="B545">
        <f t="shared" si="391"/>
        <v>547</v>
      </c>
      <c r="C545">
        <f t="shared" si="378"/>
        <v>45.5</v>
      </c>
      <c r="D545">
        <f t="shared" si="379"/>
        <v>0</v>
      </c>
      <c r="E545">
        <f t="shared" si="392"/>
        <v>101</v>
      </c>
      <c r="F545">
        <f>IF(C545&gt;=$T$2,0,VLOOKUP($E545,'Mortality Table'!$A$3:$C$128,2+AF$2,FALSE))</f>
        <v>0</v>
      </c>
      <c r="G545">
        <f>F545*Assumptions!$B$1</f>
        <v>0</v>
      </c>
      <c r="H545">
        <f t="shared" si="380"/>
        <v>0</v>
      </c>
      <c r="I545">
        <f t="shared" si="381"/>
        <v>0</v>
      </c>
      <c r="J545">
        <f>IF(B545&gt;$AJ$2,0,HLOOKUP(C545,Assumptions!$A$6:$J$7,2,TRUE))</f>
        <v>0</v>
      </c>
      <c r="K545" s="4">
        <f t="shared" si="382"/>
        <v>0</v>
      </c>
      <c r="L545" s="4">
        <f t="shared" si="395"/>
        <v>0</v>
      </c>
      <c r="M545" s="4">
        <f t="shared" si="383"/>
        <v>0</v>
      </c>
      <c r="N545">
        <f t="shared" si="384"/>
        <v>0</v>
      </c>
      <c r="O545" s="21">
        <f t="shared" si="385"/>
        <v>0</v>
      </c>
      <c r="P545">
        <f>IF(B545&gt;$AJ$2,0,HLOOKUP(C545,Assumptions!$A$12:$J$13,2,TRUE))</f>
        <v>0</v>
      </c>
      <c r="Q545">
        <f t="shared" si="386"/>
        <v>0</v>
      </c>
      <c r="R545">
        <f t="shared" si="396"/>
        <v>0</v>
      </c>
      <c r="S545">
        <f t="shared" si="387"/>
        <v>0</v>
      </c>
      <c r="T545">
        <f t="shared" si="388"/>
        <v>0</v>
      </c>
      <c r="U545">
        <f t="shared" si="397"/>
        <v>0</v>
      </c>
      <c r="V545">
        <f t="shared" si="398"/>
        <v>0</v>
      </c>
      <c r="W545">
        <f t="shared" si="399"/>
        <v>0</v>
      </c>
      <c r="X545">
        <f t="shared" si="389"/>
        <v>0</v>
      </c>
      <c r="Y545">
        <f t="shared" si="400"/>
        <v>0</v>
      </c>
      <c r="Z545">
        <f t="shared" si="401"/>
        <v>0</v>
      </c>
      <c r="AA545">
        <f t="shared" si="402"/>
        <v>0</v>
      </c>
      <c r="AB545">
        <f t="shared" si="403"/>
        <v>0</v>
      </c>
      <c r="AC545" s="23">
        <f>IF(B545&gt;$AJ$2,0,HLOOKUP(YEAR(A545),Assumptions!$A$25:$AL$29,4,TRUE)/100)</f>
        <v>0</v>
      </c>
      <c r="AD545">
        <f t="shared" si="404"/>
        <v>0</v>
      </c>
      <c r="AE545">
        <f t="shared" si="405"/>
        <v>0</v>
      </c>
      <c r="AF545">
        <f t="shared" si="406"/>
        <v>0</v>
      </c>
      <c r="AG545">
        <f t="shared" si="407"/>
        <v>0</v>
      </c>
      <c r="AH545">
        <f t="shared" si="408"/>
        <v>0</v>
      </c>
      <c r="AI545">
        <f t="shared" si="409"/>
        <v>0</v>
      </c>
      <c r="AJ545">
        <f t="shared" si="410"/>
        <v>0</v>
      </c>
      <c r="AK545">
        <f t="shared" si="390"/>
        <v>0</v>
      </c>
      <c r="AL545">
        <f t="shared" si="411"/>
        <v>0</v>
      </c>
      <c r="AM545">
        <f t="shared" si="393"/>
        <v>0</v>
      </c>
      <c r="AN545">
        <f>IF($S$2=0,0,(SUMPRODUCT($K$2:$R$2,Assumptions!$B$34:$I$34)/$U$2+$J$2/$U$2*Assumptions!$A$34*G545)*K545*O544)</f>
        <v>0</v>
      </c>
      <c r="AO545">
        <f t="shared" si="412"/>
        <v>0</v>
      </c>
      <c r="AP545">
        <f t="shared" si="413"/>
        <v>0</v>
      </c>
      <c r="AQ545">
        <f>IF(B545&gt;$AJ$2,0,AQ544*(1+Assumptions!$B$43)^(1/12))</f>
        <v>0</v>
      </c>
      <c r="AR545" s="27">
        <f>IF(B545&gt;$AJ$2,0,(O544+R544)*Assumptions!$B$39/12*AQ544+AV545*Assumptions!$B$41/12)</f>
        <v>0</v>
      </c>
      <c r="AS545">
        <f t="shared" si="414"/>
        <v>0</v>
      </c>
      <c r="AT545" s="28">
        <f t="shared" si="415"/>
        <v>0</v>
      </c>
      <c r="AU545">
        <f t="shared" si="416"/>
        <v>0</v>
      </c>
      <c r="AV545" s="28">
        <f t="shared" si="417"/>
        <v>0</v>
      </c>
      <c r="AW545" s="28">
        <f t="shared" si="418"/>
        <v>0</v>
      </c>
      <c r="AX545" s="23">
        <f>HLOOKUP(YEAR(A545),Assumptions!$A$25:$AL$29,2,TRUE)/100</f>
        <v>1.1332999999999999E-2</v>
      </c>
      <c r="AY545" s="29">
        <f>1/(1+HLOOKUP(YEAR(A545),Assumptions!$A$18:$AL$20,3,TRUE))^(1/12)</f>
        <v>0.99906100631170314</v>
      </c>
      <c r="AZ545" s="26">
        <f t="shared" si="419"/>
        <v>0</v>
      </c>
      <c r="BA545">
        <f t="shared" si="420"/>
        <v>0</v>
      </c>
      <c r="BB545">
        <f t="shared" si="421"/>
        <v>0</v>
      </c>
      <c r="BC545">
        <f t="shared" si="422"/>
        <v>0</v>
      </c>
    </row>
    <row r="546" spans="1:55" x14ac:dyDescent="0.2">
      <c r="A546" s="3">
        <f t="shared" si="394"/>
        <v>59383</v>
      </c>
      <c r="B546">
        <f t="shared" si="391"/>
        <v>548</v>
      </c>
      <c r="C546">
        <f t="shared" si="378"/>
        <v>45.583333333333336</v>
      </c>
      <c r="D546">
        <f t="shared" si="379"/>
        <v>0</v>
      </c>
      <c r="E546">
        <f t="shared" si="392"/>
        <v>101</v>
      </c>
      <c r="F546">
        <f>IF(C546&gt;=$T$2,0,VLOOKUP($E546,'Mortality Table'!$A$3:$C$128,2+AF$2,FALSE))</f>
        <v>0</v>
      </c>
      <c r="G546">
        <f>F546*Assumptions!$B$1</f>
        <v>0</v>
      </c>
      <c r="H546">
        <f t="shared" si="380"/>
        <v>0</v>
      </c>
      <c r="I546">
        <f t="shared" si="381"/>
        <v>0</v>
      </c>
      <c r="J546">
        <f>IF(B546&gt;$AJ$2,0,HLOOKUP(C546,Assumptions!$A$6:$J$7,2,TRUE))</f>
        <v>0</v>
      </c>
      <c r="K546" s="4">
        <f t="shared" si="382"/>
        <v>0</v>
      </c>
      <c r="L546" s="4">
        <f t="shared" si="395"/>
        <v>0</v>
      </c>
      <c r="M546" s="4">
        <f t="shared" si="383"/>
        <v>0</v>
      </c>
      <c r="N546">
        <f t="shared" si="384"/>
        <v>0</v>
      </c>
      <c r="O546" s="21">
        <f t="shared" si="385"/>
        <v>0</v>
      </c>
      <c r="P546">
        <f>IF(B546&gt;$AJ$2,0,HLOOKUP(C546,Assumptions!$A$12:$J$13,2,TRUE))</f>
        <v>0</v>
      </c>
      <c r="Q546">
        <f t="shared" si="386"/>
        <v>0</v>
      </c>
      <c r="R546">
        <f t="shared" si="396"/>
        <v>0</v>
      </c>
      <c r="S546">
        <f t="shared" si="387"/>
        <v>0</v>
      </c>
      <c r="T546">
        <f t="shared" si="388"/>
        <v>0</v>
      </c>
      <c r="U546">
        <f t="shared" si="397"/>
        <v>0</v>
      </c>
      <c r="V546">
        <f t="shared" si="398"/>
        <v>0</v>
      </c>
      <c r="W546">
        <f t="shared" si="399"/>
        <v>0</v>
      </c>
      <c r="X546">
        <f t="shared" si="389"/>
        <v>0</v>
      </c>
      <c r="Y546">
        <f t="shared" si="400"/>
        <v>0</v>
      </c>
      <c r="Z546">
        <f t="shared" si="401"/>
        <v>0</v>
      </c>
      <c r="AA546">
        <f t="shared" si="402"/>
        <v>0</v>
      </c>
      <c r="AB546">
        <f t="shared" si="403"/>
        <v>0</v>
      </c>
      <c r="AC546" s="23">
        <f>IF(B546&gt;$AJ$2,0,HLOOKUP(YEAR(A546),Assumptions!$A$25:$AL$29,4,TRUE)/100)</f>
        <v>0</v>
      </c>
      <c r="AD546">
        <f t="shared" si="404"/>
        <v>0</v>
      </c>
      <c r="AE546">
        <f t="shared" si="405"/>
        <v>0</v>
      </c>
      <c r="AF546">
        <f t="shared" si="406"/>
        <v>0</v>
      </c>
      <c r="AG546">
        <f t="shared" si="407"/>
        <v>0</v>
      </c>
      <c r="AH546">
        <f t="shared" si="408"/>
        <v>0</v>
      </c>
      <c r="AI546">
        <f t="shared" si="409"/>
        <v>0</v>
      </c>
      <c r="AJ546">
        <f t="shared" si="410"/>
        <v>0</v>
      </c>
      <c r="AK546">
        <f t="shared" si="390"/>
        <v>0</v>
      </c>
      <c r="AL546">
        <f t="shared" si="411"/>
        <v>0</v>
      </c>
      <c r="AM546">
        <f t="shared" si="393"/>
        <v>0</v>
      </c>
      <c r="AN546">
        <f>IF($S$2=0,0,(SUMPRODUCT($K$2:$R$2,Assumptions!$B$34:$I$34)/$U$2+$J$2/$U$2*Assumptions!$A$34*G546)*K546*O545)</f>
        <v>0</v>
      </c>
      <c r="AO546">
        <f t="shared" si="412"/>
        <v>0</v>
      </c>
      <c r="AP546">
        <f t="shared" si="413"/>
        <v>0</v>
      </c>
      <c r="AQ546">
        <f>IF(B546&gt;$AJ$2,0,AQ545*(1+Assumptions!$B$43)^(1/12))</f>
        <v>0</v>
      </c>
      <c r="AR546" s="27">
        <f>IF(B546&gt;$AJ$2,0,(O545+R545)*Assumptions!$B$39/12*AQ545+AV546*Assumptions!$B$41/12)</f>
        <v>0</v>
      </c>
      <c r="AS546">
        <f t="shared" si="414"/>
        <v>0</v>
      </c>
      <c r="AT546" s="28">
        <f t="shared" si="415"/>
        <v>0</v>
      </c>
      <c r="AU546">
        <f t="shared" si="416"/>
        <v>0</v>
      </c>
      <c r="AV546" s="28">
        <f t="shared" si="417"/>
        <v>0</v>
      </c>
      <c r="AW546" s="28">
        <f t="shared" si="418"/>
        <v>0</v>
      </c>
      <c r="AX546" s="23">
        <f>HLOOKUP(YEAR(A546),Assumptions!$A$25:$AL$29,2,TRUE)/100</f>
        <v>1.1332999999999999E-2</v>
      </c>
      <c r="AY546" s="29">
        <f>1/(1+HLOOKUP(YEAR(A546),Assumptions!$A$18:$AL$20,3,TRUE))^(1/12)</f>
        <v>0.99906100631170314</v>
      </c>
      <c r="AZ546" s="26">
        <f t="shared" si="419"/>
        <v>0</v>
      </c>
      <c r="BA546">
        <f t="shared" si="420"/>
        <v>0</v>
      </c>
      <c r="BB546">
        <f t="shared" si="421"/>
        <v>0</v>
      </c>
      <c r="BC546">
        <f t="shared" si="422"/>
        <v>0</v>
      </c>
    </row>
    <row r="547" spans="1:55" x14ac:dyDescent="0.2">
      <c r="A547" s="3">
        <f t="shared" si="394"/>
        <v>59414</v>
      </c>
      <c r="B547">
        <f t="shared" si="391"/>
        <v>549</v>
      </c>
      <c r="C547">
        <f t="shared" si="378"/>
        <v>45.666666666666664</v>
      </c>
      <c r="D547">
        <f t="shared" si="379"/>
        <v>0</v>
      </c>
      <c r="E547">
        <f t="shared" si="392"/>
        <v>101</v>
      </c>
      <c r="F547">
        <f>IF(C547&gt;=$T$2,0,VLOOKUP($E547,'Mortality Table'!$A$3:$C$128,2+AF$2,FALSE))</f>
        <v>0</v>
      </c>
      <c r="G547">
        <f>F547*Assumptions!$B$1</f>
        <v>0</v>
      </c>
      <c r="H547">
        <f t="shared" si="380"/>
        <v>0</v>
      </c>
      <c r="I547">
        <f t="shared" si="381"/>
        <v>0</v>
      </c>
      <c r="J547">
        <f>IF(B547&gt;$AJ$2,0,HLOOKUP(C547,Assumptions!$A$6:$J$7,2,TRUE))</f>
        <v>0</v>
      </c>
      <c r="K547" s="4">
        <f t="shared" si="382"/>
        <v>0</v>
      </c>
      <c r="L547" s="4">
        <f t="shared" si="395"/>
        <v>0</v>
      </c>
      <c r="M547" s="4">
        <f t="shared" si="383"/>
        <v>0</v>
      </c>
      <c r="N547">
        <f t="shared" si="384"/>
        <v>0</v>
      </c>
      <c r="O547" s="21">
        <f t="shared" si="385"/>
        <v>0</v>
      </c>
      <c r="P547">
        <f>IF(B547&gt;$AJ$2,0,HLOOKUP(C547,Assumptions!$A$12:$J$13,2,TRUE))</f>
        <v>0</v>
      </c>
      <c r="Q547">
        <f t="shared" si="386"/>
        <v>0</v>
      </c>
      <c r="R547">
        <f t="shared" si="396"/>
        <v>0</v>
      </c>
      <c r="S547">
        <f t="shared" si="387"/>
        <v>0</v>
      </c>
      <c r="T547">
        <f t="shared" si="388"/>
        <v>0</v>
      </c>
      <c r="U547">
        <f t="shared" si="397"/>
        <v>0</v>
      </c>
      <c r="V547">
        <f t="shared" si="398"/>
        <v>0</v>
      </c>
      <c r="W547">
        <f t="shared" si="399"/>
        <v>0</v>
      </c>
      <c r="X547">
        <f t="shared" si="389"/>
        <v>0</v>
      </c>
      <c r="Y547">
        <f t="shared" si="400"/>
        <v>0</v>
      </c>
      <c r="Z547">
        <f t="shared" si="401"/>
        <v>0</v>
      </c>
      <c r="AA547">
        <f t="shared" si="402"/>
        <v>0</v>
      </c>
      <c r="AB547">
        <f t="shared" si="403"/>
        <v>0</v>
      </c>
      <c r="AC547" s="23">
        <f>IF(B547&gt;$AJ$2,0,HLOOKUP(YEAR(A547),Assumptions!$A$25:$AL$29,4,TRUE)/100)</f>
        <v>0</v>
      </c>
      <c r="AD547">
        <f t="shared" si="404"/>
        <v>0</v>
      </c>
      <c r="AE547">
        <f t="shared" si="405"/>
        <v>0</v>
      </c>
      <c r="AF547">
        <f t="shared" si="406"/>
        <v>0</v>
      </c>
      <c r="AG547">
        <f t="shared" si="407"/>
        <v>0</v>
      </c>
      <c r="AH547">
        <f t="shared" si="408"/>
        <v>0</v>
      </c>
      <c r="AI547">
        <f t="shared" si="409"/>
        <v>0</v>
      </c>
      <c r="AJ547">
        <f t="shared" si="410"/>
        <v>0</v>
      </c>
      <c r="AK547">
        <f t="shared" si="390"/>
        <v>0</v>
      </c>
      <c r="AL547">
        <f t="shared" si="411"/>
        <v>0</v>
      </c>
      <c r="AM547">
        <f t="shared" si="393"/>
        <v>0</v>
      </c>
      <c r="AN547">
        <f>IF($S$2=0,0,(SUMPRODUCT($K$2:$R$2,Assumptions!$B$34:$I$34)/$U$2+$J$2/$U$2*Assumptions!$A$34*G547)*K547*O546)</f>
        <v>0</v>
      </c>
      <c r="AO547">
        <f t="shared" si="412"/>
        <v>0</v>
      </c>
      <c r="AP547">
        <f t="shared" si="413"/>
        <v>0</v>
      </c>
      <c r="AQ547">
        <f>IF(B547&gt;$AJ$2,0,AQ546*(1+Assumptions!$B$43)^(1/12))</f>
        <v>0</v>
      </c>
      <c r="AR547" s="27">
        <f>IF(B547&gt;$AJ$2,0,(O546+R546)*Assumptions!$B$39/12*AQ546+AV547*Assumptions!$B$41/12)</f>
        <v>0</v>
      </c>
      <c r="AS547">
        <f t="shared" si="414"/>
        <v>0</v>
      </c>
      <c r="AT547" s="28">
        <f t="shared" si="415"/>
        <v>0</v>
      </c>
      <c r="AU547">
        <f t="shared" si="416"/>
        <v>0</v>
      </c>
      <c r="AV547" s="28">
        <f t="shared" si="417"/>
        <v>0</v>
      </c>
      <c r="AW547" s="28">
        <f t="shared" si="418"/>
        <v>0</v>
      </c>
      <c r="AX547" s="23">
        <f>HLOOKUP(YEAR(A547),Assumptions!$A$25:$AL$29,2,TRUE)/100</f>
        <v>1.1332999999999999E-2</v>
      </c>
      <c r="AY547" s="29">
        <f>1/(1+HLOOKUP(YEAR(A547),Assumptions!$A$18:$AL$20,3,TRUE))^(1/12)</f>
        <v>0.99906100631170314</v>
      </c>
      <c r="AZ547" s="26">
        <f t="shared" si="419"/>
        <v>0</v>
      </c>
      <c r="BA547">
        <f t="shared" si="420"/>
        <v>0</v>
      </c>
      <c r="BB547">
        <f t="shared" si="421"/>
        <v>0</v>
      </c>
      <c r="BC547">
        <f t="shared" si="422"/>
        <v>0</v>
      </c>
    </row>
    <row r="548" spans="1:55" x14ac:dyDescent="0.2">
      <c r="A548" s="3">
        <f t="shared" si="394"/>
        <v>59444</v>
      </c>
      <c r="B548">
        <f t="shared" si="391"/>
        <v>550</v>
      </c>
      <c r="C548">
        <f t="shared" si="378"/>
        <v>45.75</v>
      </c>
      <c r="D548">
        <f t="shared" si="379"/>
        <v>0</v>
      </c>
      <c r="E548">
        <f t="shared" si="392"/>
        <v>101</v>
      </c>
      <c r="F548">
        <f>IF(C548&gt;=$T$2,0,VLOOKUP($E548,'Mortality Table'!$A$3:$C$128,2+AF$2,FALSE))</f>
        <v>0</v>
      </c>
      <c r="G548">
        <f>F548*Assumptions!$B$1</f>
        <v>0</v>
      </c>
      <c r="H548">
        <f t="shared" si="380"/>
        <v>0</v>
      </c>
      <c r="I548">
        <f t="shared" si="381"/>
        <v>0</v>
      </c>
      <c r="J548">
        <f>IF(B548&gt;$AJ$2,0,HLOOKUP(C548,Assumptions!$A$6:$J$7,2,TRUE))</f>
        <v>0</v>
      </c>
      <c r="K548" s="4">
        <f t="shared" si="382"/>
        <v>0</v>
      </c>
      <c r="L548" s="4">
        <f t="shared" si="395"/>
        <v>0</v>
      </c>
      <c r="M548" s="4">
        <f t="shared" si="383"/>
        <v>0</v>
      </c>
      <c r="N548">
        <f t="shared" si="384"/>
        <v>0</v>
      </c>
      <c r="O548" s="21">
        <f t="shared" si="385"/>
        <v>0</v>
      </c>
      <c r="P548">
        <f>IF(B548&gt;$AJ$2,0,HLOOKUP(C548,Assumptions!$A$12:$J$13,2,TRUE))</f>
        <v>0</v>
      </c>
      <c r="Q548">
        <f t="shared" si="386"/>
        <v>0</v>
      </c>
      <c r="R548">
        <f t="shared" si="396"/>
        <v>0</v>
      </c>
      <c r="S548">
        <f t="shared" si="387"/>
        <v>0</v>
      </c>
      <c r="T548">
        <f t="shared" si="388"/>
        <v>0</v>
      </c>
      <c r="U548">
        <f t="shared" si="397"/>
        <v>0</v>
      </c>
      <c r="V548">
        <f t="shared" si="398"/>
        <v>0</v>
      </c>
      <c r="W548">
        <f t="shared" si="399"/>
        <v>0</v>
      </c>
      <c r="X548">
        <f t="shared" si="389"/>
        <v>0</v>
      </c>
      <c r="Y548">
        <f t="shared" si="400"/>
        <v>0</v>
      </c>
      <c r="Z548">
        <f t="shared" si="401"/>
        <v>0</v>
      </c>
      <c r="AA548">
        <f t="shared" si="402"/>
        <v>0</v>
      </c>
      <c r="AB548">
        <f t="shared" si="403"/>
        <v>0</v>
      </c>
      <c r="AC548" s="23">
        <f>IF(B548&gt;$AJ$2,0,HLOOKUP(YEAR(A548),Assumptions!$A$25:$AL$29,4,TRUE)/100)</f>
        <v>0</v>
      </c>
      <c r="AD548">
        <f t="shared" si="404"/>
        <v>0</v>
      </c>
      <c r="AE548">
        <f t="shared" si="405"/>
        <v>0</v>
      </c>
      <c r="AF548">
        <f t="shared" si="406"/>
        <v>0</v>
      </c>
      <c r="AG548">
        <f t="shared" si="407"/>
        <v>0</v>
      </c>
      <c r="AH548">
        <f t="shared" si="408"/>
        <v>0</v>
      </c>
      <c r="AI548">
        <f t="shared" si="409"/>
        <v>0</v>
      </c>
      <c r="AJ548">
        <f t="shared" si="410"/>
        <v>0</v>
      </c>
      <c r="AK548">
        <f t="shared" si="390"/>
        <v>0</v>
      </c>
      <c r="AL548">
        <f t="shared" si="411"/>
        <v>0</v>
      </c>
      <c r="AM548">
        <f t="shared" si="393"/>
        <v>0</v>
      </c>
      <c r="AN548">
        <f>IF($S$2=0,0,(SUMPRODUCT($K$2:$R$2,Assumptions!$B$34:$I$34)/$U$2+$J$2/$U$2*Assumptions!$A$34*G548)*K548*O547)</f>
        <v>0</v>
      </c>
      <c r="AO548">
        <f t="shared" si="412"/>
        <v>0</v>
      </c>
      <c r="AP548">
        <f t="shared" si="413"/>
        <v>0</v>
      </c>
      <c r="AQ548">
        <f>IF(B548&gt;$AJ$2,0,AQ547*(1+Assumptions!$B$43)^(1/12))</f>
        <v>0</v>
      </c>
      <c r="AR548" s="27">
        <f>IF(B548&gt;$AJ$2,0,(O547+R547)*Assumptions!$B$39/12*AQ547+AV548*Assumptions!$B$41/12)</f>
        <v>0</v>
      </c>
      <c r="AS548">
        <f t="shared" si="414"/>
        <v>0</v>
      </c>
      <c r="AT548" s="28">
        <f t="shared" si="415"/>
        <v>0</v>
      </c>
      <c r="AU548">
        <f t="shared" si="416"/>
        <v>0</v>
      </c>
      <c r="AV548" s="28">
        <f t="shared" si="417"/>
        <v>0</v>
      </c>
      <c r="AW548" s="28">
        <f t="shared" si="418"/>
        <v>0</v>
      </c>
      <c r="AX548" s="23">
        <f>HLOOKUP(YEAR(A548),Assumptions!$A$25:$AL$29,2,TRUE)/100</f>
        <v>1.1332999999999999E-2</v>
      </c>
      <c r="AY548" s="29">
        <f>1/(1+HLOOKUP(YEAR(A548),Assumptions!$A$18:$AL$20,3,TRUE))^(1/12)</f>
        <v>0.99906100631170314</v>
      </c>
      <c r="AZ548" s="26">
        <f t="shared" si="419"/>
        <v>0</v>
      </c>
      <c r="BA548">
        <f t="shared" si="420"/>
        <v>0</v>
      </c>
      <c r="BB548">
        <f t="shared" si="421"/>
        <v>0</v>
      </c>
      <c r="BC548">
        <f t="shared" si="422"/>
        <v>0</v>
      </c>
    </row>
    <row r="549" spans="1:55" x14ac:dyDescent="0.2">
      <c r="A549" s="3">
        <f t="shared" si="394"/>
        <v>59475</v>
      </c>
      <c r="B549">
        <f t="shared" si="391"/>
        <v>551</v>
      </c>
      <c r="C549">
        <f t="shared" ref="C549:C612" si="423">(B549+11)/12-1</f>
        <v>45.833333333333336</v>
      </c>
      <c r="D549">
        <f t="shared" ref="D549:D612" si="424">IF(C549-INT(C549)=0,1,0)</f>
        <v>0</v>
      </c>
      <c r="E549">
        <f t="shared" si="392"/>
        <v>101</v>
      </c>
      <c r="F549">
        <f>IF(C549&gt;=$T$2,0,VLOOKUP($E549,'Mortality Table'!$A$3:$C$128,2+AF$2,FALSE))</f>
        <v>0</v>
      </c>
      <c r="G549">
        <f>F549*Assumptions!$B$1</f>
        <v>0</v>
      </c>
      <c r="H549">
        <f t="shared" ref="H549:H612" si="425">(1-(1-G549)^(1/12))</f>
        <v>0</v>
      </c>
      <c r="I549">
        <f t="shared" ref="I549:I612" si="426">H549*O548*(1-M549/2)</f>
        <v>0</v>
      </c>
      <c r="J549">
        <f>IF(B549&gt;$AJ$2,0,HLOOKUP(C549,Assumptions!$A$6:$J$7,2,TRUE))</f>
        <v>0</v>
      </c>
      <c r="K549" s="4">
        <f t="shared" ref="K549:K612" si="427">IF(B549&gt;$AJ$2,0,IF(($U$2*(B549+11))/12-INT(($U$2*(B549+11))/12)=0,1,0))</f>
        <v>0</v>
      </c>
      <c r="L549" s="4">
        <f t="shared" si="395"/>
        <v>0</v>
      </c>
      <c r="M549" s="4">
        <f t="shared" ref="M549:M612" si="428">(1-(1-J549)^L549)</f>
        <v>0</v>
      </c>
      <c r="N549">
        <f t="shared" ref="N549:N612" si="429">M549*O548*(1-H549/2)</f>
        <v>0</v>
      </c>
      <c r="O549" s="21">
        <f t="shared" ref="O549:O612" si="430">IF(B549&gt;$AJ$2,0,O548-I549-N549-Q549)</f>
        <v>0</v>
      </c>
      <c r="P549">
        <f>IF(B549&gt;$AJ$2,0,HLOOKUP(C549,Assumptions!$A$12:$J$13,2,TRUE))</f>
        <v>0</v>
      </c>
      <c r="Q549">
        <f t="shared" ref="Q549:Q612" si="431">(1-(1-P549)^L549)*(O548-I549-N549)</f>
        <v>0</v>
      </c>
      <c r="R549">
        <f t="shared" si="396"/>
        <v>0</v>
      </c>
      <c r="S549">
        <f t="shared" ref="S549:S612" si="432">H549*R548*(1-M549/2)</f>
        <v>0</v>
      </c>
      <c r="T549">
        <f t="shared" ref="T549:T612" si="433">M549*R548*(1-H549/2)</f>
        <v>0</v>
      </c>
      <c r="U549">
        <f t="shared" si="397"/>
        <v>0</v>
      </c>
      <c r="V549">
        <f t="shared" si="398"/>
        <v>0</v>
      </c>
      <c r="W549">
        <f t="shared" si="399"/>
        <v>0</v>
      </c>
      <c r="X549">
        <f t="shared" ref="X549:X612" si="434">U549/$U$2*K549*O548</f>
        <v>0</v>
      </c>
      <c r="Y549">
        <f t="shared" si="400"/>
        <v>0</v>
      </c>
      <c r="Z549">
        <f t="shared" si="401"/>
        <v>0</v>
      </c>
      <c r="AA549">
        <f t="shared" si="402"/>
        <v>0</v>
      </c>
      <c r="AB549">
        <f t="shared" si="403"/>
        <v>0</v>
      </c>
      <c r="AC549" s="23">
        <f>IF(B549&gt;$AJ$2,0,HLOOKUP(YEAR(A549),Assumptions!$A$25:$AL$29,4,TRUE)/100)</f>
        <v>0</v>
      </c>
      <c r="AD549">
        <f t="shared" si="404"/>
        <v>0</v>
      </c>
      <c r="AE549">
        <f t="shared" si="405"/>
        <v>0</v>
      </c>
      <c r="AF549">
        <f t="shared" si="406"/>
        <v>0</v>
      </c>
      <c r="AG549">
        <f t="shared" si="407"/>
        <v>0</v>
      </c>
      <c r="AH549">
        <f t="shared" si="408"/>
        <v>0</v>
      </c>
      <c r="AI549">
        <f t="shared" si="409"/>
        <v>0</v>
      </c>
      <c r="AJ549">
        <f t="shared" si="410"/>
        <v>0</v>
      </c>
      <c r="AK549">
        <f t="shared" ref="AK549:AK612" si="435">I549*(Z549+AD549)+S549*(AF549+AI549)</f>
        <v>0</v>
      </c>
      <c r="AL549">
        <f t="shared" si="411"/>
        <v>0</v>
      </c>
      <c r="AM549">
        <f t="shared" si="393"/>
        <v>0</v>
      </c>
      <c r="AN549">
        <f>IF($S$2=0,0,(SUMPRODUCT($K$2:$R$2,Assumptions!$B$34:$I$34)/$U$2+$J$2/$U$2*Assumptions!$A$34*G549)*K549*O548)</f>
        <v>0</v>
      </c>
      <c r="AO549">
        <f t="shared" si="412"/>
        <v>0</v>
      </c>
      <c r="AP549">
        <f t="shared" si="413"/>
        <v>0</v>
      </c>
      <c r="AQ549">
        <f>IF(B549&gt;$AJ$2,0,AQ548*(1+Assumptions!$B$43)^(1/12))</f>
        <v>0</v>
      </c>
      <c r="AR549" s="27">
        <f>IF(B549&gt;$AJ$2,0,(O548+R548)*Assumptions!$B$39/12*AQ548+AV549*Assumptions!$B$41/12)</f>
        <v>0</v>
      </c>
      <c r="AS549">
        <f t="shared" si="414"/>
        <v>0</v>
      </c>
      <c r="AT549" s="28">
        <f t="shared" si="415"/>
        <v>0</v>
      </c>
      <c r="AU549">
        <f t="shared" si="416"/>
        <v>0</v>
      </c>
      <c r="AV549" s="28">
        <f t="shared" si="417"/>
        <v>0</v>
      </c>
      <c r="AW549" s="28">
        <f t="shared" si="418"/>
        <v>0</v>
      </c>
      <c r="AX549" s="23">
        <f>HLOOKUP(YEAR(A549),Assumptions!$A$25:$AL$29,2,TRUE)/100</f>
        <v>1.1332999999999999E-2</v>
      </c>
      <c r="AY549" s="29">
        <f>1/(1+HLOOKUP(YEAR(A549),Assumptions!$A$18:$AL$20,3,TRUE))^(1/12)</f>
        <v>0.99906100631170314</v>
      </c>
      <c r="AZ549" s="26">
        <f t="shared" si="419"/>
        <v>0</v>
      </c>
      <c r="BA549">
        <f t="shared" si="420"/>
        <v>0</v>
      </c>
      <c r="BB549">
        <f t="shared" si="421"/>
        <v>0</v>
      </c>
      <c r="BC549">
        <f t="shared" si="422"/>
        <v>0</v>
      </c>
    </row>
    <row r="550" spans="1:55" x14ac:dyDescent="0.2">
      <c r="A550" s="3">
        <f t="shared" si="394"/>
        <v>59505</v>
      </c>
      <c r="B550">
        <f t="shared" si="391"/>
        <v>552</v>
      </c>
      <c r="C550">
        <f t="shared" si="423"/>
        <v>45.916666666666664</v>
      </c>
      <c r="D550">
        <f t="shared" si="424"/>
        <v>0</v>
      </c>
      <c r="E550">
        <f t="shared" si="392"/>
        <v>101</v>
      </c>
      <c r="F550">
        <f>IF(C550&gt;=$T$2,0,VLOOKUP($E550,'Mortality Table'!$A$3:$C$128,2+AF$2,FALSE))</f>
        <v>0</v>
      </c>
      <c r="G550">
        <f>F550*Assumptions!$B$1</f>
        <v>0</v>
      </c>
      <c r="H550">
        <f t="shared" si="425"/>
        <v>0</v>
      </c>
      <c r="I550">
        <f t="shared" si="426"/>
        <v>0</v>
      </c>
      <c r="J550">
        <f>IF(B550&gt;$AJ$2,0,HLOOKUP(C550,Assumptions!$A$6:$J$7,2,TRUE))</f>
        <v>0</v>
      </c>
      <c r="K550" s="4">
        <f t="shared" si="427"/>
        <v>0</v>
      </c>
      <c r="L550" s="4">
        <f t="shared" si="395"/>
        <v>0</v>
      </c>
      <c r="M550" s="4">
        <f t="shared" si="428"/>
        <v>0</v>
      </c>
      <c r="N550">
        <f t="shared" si="429"/>
        <v>0</v>
      </c>
      <c r="O550" s="21">
        <f t="shared" si="430"/>
        <v>0</v>
      </c>
      <c r="P550">
        <f>IF(B550&gt;$AJ$2,0,HLOOKUP(C550,Assumptions!$A$12:$J$13,2,TRUE))</f>
        <v>0</v>
      </c>
      <c r="Q550">
        <f t="shared" si="431"/>
        <v>0</v>
      </c>
      <c r="R550">
        <f t="shared" si="396"/>
        <v>0</v>
      </c>
      <c r="S550">
        <f t="shared" si="432"/>
        <v>0</v>
      </c>
      <c r="T550">
        <f t="shared" si="433"/>
        <v>0</v>
      </c>
      <c r="U550">
        <f t="shared" si="397"/>
        <v>0</v>
      </c>
      <c r="V550">
        <f t="shared" si="398"/>
        <v>0</v>
      </c>
      <c r="W550">
        <f t="shared" si="399"/>
        <v>0</v>
      </c>
      <c r="X550">
        <f t="shared" si="434"/>
        <v>0</v>
      </c>
      <c r="Y550">
        <f t="shared" si="400"/>
        <v>0</v>
      </c>
      <c r="Z550">
        <f t="shared" si="401"/>
        <v>0</v>
      </c>
      <c r="AA550">
        <f t="shared" si="402"/>
        <v>0</v>
      </c>
      <c r="AB550">
        <f t="shared" si="403"/>
        <v>0</v>
      </c>
      <c r="AC550" s="23">
        <f>IF(B550&gt;$AJ$2,0,HLOOKUP(YEAR(A550),Assumptions!$A$25:$AL$29,4,TRUE)/100)</f>
        <v>0</v>
      </c>
      <c r="AD550">
        <f t="shared" si="404"/>
        <v>0</v>
      </c>
      <c r="AE550">
        <f t="shared" si="405"/>
        <v>0</v>
      </c>
      <c r="AF550">
        <f t="shared" si="406"/>
        <v>0</v>
      </c>
      <c r="AG550">
        <f t="shared" si="407"/>
        <v>0</v>
      </c>
      <c r="AH550">
        <f t="shared" si="408"/>
        <v>0</v>
      </c>
      <c r="AI550">
        <f t="shared" si="409"/>
        <v>0</v>
      </c>
      <c r="AJ550">
        <f t="shared" si="410"/>
        <v>0</v>
      </c>
      <c r="AK550">
        <f t="shared" si="435"/>
        <v>0</v>
      </c>
      <c r="AL550">
        <f t="shared" si="411"/>
        <v>0</v>
      </c>
      <c r="AM550">
        <f t="shared" si="393"/>
        <v>0</v>
      </c>
      <c r="AN550">
        <f>IF($S$2=0,0,(SUMPRODUCT($K$2:$R$2,Assumptions!$B$34:$I$34)/$U$2+$J$2/$U$2*Assumptions!$A$34*G550)*K550*O549)</f>
        <v>0</v>
      </c>
      <c r="AO550">
        <f t="shared" si="412"/>
        <v>0</v>
      </c>
      <c r="AP550">
        <f t="shared" si="413"/>
        <v>0</v>
      </c>
      <c r="AQ550">
        <f>IF(B550&gt;$AJ$2,0,AQ549*(1+Assumptions!$B$43)^(1/12))</f>
        <v>0</v>
      </c>
      <c r="AR550" s="27">
        <f>IF(B550&gt;$AJ$2,0,(O549+R549)*Assumptions!$B$39/12*AQ549+AV550*Assumptions!$B$41/12)</f>
        <v>0</v>
      </c>
      <c r="AS550">
        <f t="shared" si="414"/>
        <v>0</v>
      </c>
      <c r="AT550" s="28">
        <f t="shared" si="415"/>
        <v>0</v>
      </c>
      <c r="AU550">
        <f t="shared" si="416"/>
        <v>0</v>
      </c>
      <c r="AV550" s="28">
        <f t="shared" si="417"/>
        <v>0</v>
      </c>
      <c r="AW550" s="28">
        <f t="shared" si="418"/>
        <v>0</v>
      </c>
      <c r="AX550" s="23">
        <f>HLOOKUP(YEAR(A550),Assumptions!$A$25:$AL$29,2,TRUE)/100</f>
        <v>1.1332999999999999E-2</v>
      </c>
      <c r="AY550" s="29">
        <f>1/(1+HLOOKUP(YEAR(A550),Assumptions!$A$18:$AL$20,3,TRUE))^(1/12)</f>
        <v>0.99906100631170314</v>
      </c>
      <c r="AZ550" s="26">
        <f t="shared" si="419"/>
        <v>0</v>
      </c>
      <c r="BA550">
        <f t="shared" si="420"/>
        <v>0</v>
      </c>
      <c r="BB550">
        <f t="shared" si="421"/>
        <v>0</v>
      </c>
      <c r="BC550">
        <f t="shared" si="422"/>
        <v>0</v>
      </c>
    </row>
    <row r="551" spans="1:55" x14ac:dyDescent="0.2">
      <c r="A551" s="3">
        <f t="shared" si="394"/>
        <v>59536</v>
      </c>
      <c r="B551">
        <f t="shared" si="391"/>
        <v>553</v>
      </c>
      <c r="C551">
        <f t="shared" si="423"/>
        <v>46</v>
      </c>
      <c r="D551">
        <f t="shared" si="424"/>
        <v>1</v>
      </c>
      <c r="E551">
        <f t="shared" si="392"/>
        <v>102</v>
      </c>
      <c r="F551">
        <f>IF(C551&gt;=$T$2,0,VLOOKUP($E551,'Mortality Table'!$A$3:$C$128,2+AF$2,FALSE))</f>
        <v>0</v>
      </c>
      <c r="G551">
        <f>F551*Assumptions!$B$1</f>
        <v>0</v>
      </c>
      <c r="H551">
        <f t="shared" si="425"/>
        <v>0</v>
      </c>
      <c r="I551">
        <f t="shared" si="426"/>
        <v>0</v>
      </c>
      <c r="J551">
        <f>IF(B551&gt;$AJ$2,0,HLOOKUP(C551,Assumptions!$A$6:$J$7,2,TRUE))</f>
        <v>0</v>
      </c>
      <c r="K551" s="4">
        <f t="shared" si="427"/>
        <v>0</v>
      </c>
      <c r="L551" s="4">
        <f t="shared" si="395"/>
        <v>0</v>
      </c>
      <c r="M551" s="4">
        <f t="shared" si="428"/>
        <v>0</v>
      </c>
      <c r="N551">
        <f t="shared" si="429"/>
        <v>0</v>
      </c>
      <c r="O551" s="21">
        <f t="shared" si="430"/>
        <v>0</v>
      </c>
      <c r="P551">
        <f>IF(B551&gt;$AJ$2,0,HLOOKUP(C551,Assumptions!$A$12:$J$13,2,TRUE))</f>
        <v>0</v>
      </c>
      <c r="Q551">
        <f t="shared" si="431"/>
        <v>0</v>
      </c>
      <c r="R551">
        <f t="shared" si="396"/>
        <v>0</v>
      </c>
      <c r="S551">
        <f t="shared" si="432"/>
        <v>0</v>
      </c>
      <c r="T551">
        <f t="shared" si="433"/>
        <v>0</v>
      </c>
      <c r="U551">
        <f t="shared" si="397"/>
        <v>0</v>
      </c>
      <c r="V551">
        <f t="shared" si="398"/>
        <v>0</v>
      </c>
      <c r="W551">
        <f t="shared" si="399"/>
        <v>0</v>
      </c>
      <c r="X551">
        <f t="shared" si="434"/>
        <v>0</v>
      </c>
      <c r="Y551">
        <f t="shared" si="400"/>
        <v>0</v>
      </c>
      <c r="Z551">
        <f t="shared" si="401"/>
        <v>0</v>
      </c>
      <c r="AA551">
        <f t="shared" si="402"/>
        <v>0</v>
      </c>
      <c r="AB551">
        <f t="shared" si="403"/>
        <v>0</v>
      </c>
      <c r="AC551" s="23">
        <f>IF(B551&gt;$AJ$2,0,HLOOKUP(YEAR(A551),Assumptions!$A$25:$AL$29,4,TRUE)/100)</f>
        <v>0</v>
      </c>
      <c r="AD551">
        <f t="shared" si="404"/>
        <v>0</v>
      </c>
      <c r="AE551">
        <f t="shared" si="405"/>
        <v>0</v>
      </c>
      <c r="AF551">
        <f t="shared" si="406"/>
        <v>0</v>
      </c>
      <c r="AG551">
        <f t="shared" si="407"/>
        <v>0</v>
      </c>
      <c r="AH551">
        <f t="shared" si="408"/>
        <v>0</v>
      </c>
      <c r="AI551">
        <f t="shared" si="409"/>
        <v>0</v>
      </c>
      <c r="AJ551">
        <f t="shared" si="410"/>
        <v>0</v>
      </c>
      <c r="AK551">
        <f t="shared" si="435"/>
        <v>0</v>
      </c>
      <c r="AL551">
        <f t="shared" si="411"/>
        <v>0</v>
      </c>
      <c r="AM551">
        <f t="shared" si="393"/>
        <v>0</v>
      </c>
      <c r="AN551">
        <f>IF($S$2=0,0,(SUMPRODUCT($K$2:$R$2,Assumptions!$B$34:$I$34)/$U$2+$J$2/$U$2*Assumptions!$A$34*G551)*K551*O550)</f>
        <v>0</v>
      </c>
      <c r="AO551">
        <f t="shared" si="412"/>
        <v>0</v>
      </c>
      <c r="AP551">
        <f t="shared" si="413"/>
        <v>0</v>
      </c>
      <c r="AQ551">
        <f>IF(B551&gt;$AJ$2,0,AQ550*(1+Assumptions!$B$43)^(1/12))</f>
        <v>0</v>
      </c>
      <c r="AR551" s="27">
        <f>IF(B551&gt;$AJ$2,0,(O550+R550)*Assumptions!$B$39/12*AQ550+AV551*Assumptions!$B$41/12)</f>
        <v>0</v>
      </c>
      <c r="AS551">
        <f t="shared" si="414"/>
        <v>0</v>
      </c>
      <c r="AT551" s="28">
        <f t="shared" si="415"/>
        <v>0</v>
      </c>
      <c r="AU551">
        <f t="shared" si="416"/>
        <v>0</v>
      </c>
      <c r="AV551" s="28">
        <f t="shared" si="417"/>
        <v>0</v>
      </c>
      <c r="AW551" s="28">
        <f t="shared" si="418"/>
        <v>0</v>
      </c>
      <c r="AX551" s="23">
        <f>HLOOKUP(YEAR(A551),Assumptions!$A$25:$AL$29,2,TRUE)/100</f>
        <v>1.1332999999999999E-2</v>
      </c>
      <c r="AY551" s="29">
        <f>1/(1+HLOOKUP(YEAR(A551),Assumptions!$A$18:$AL$20,3,TRUE))^(1/12)</f>
        <v>0.99906100631170314</v>
      </c>
      <c r="AZ551" s="26">
        <f t="shared" si="419"/>
        <v>0</v>
      </c>
      <c r="BA551">
        <f t="shared" si="420"/>
        <v>0</v>
      </c>
      <c r="BB551">
        <f t="shared" si="421"/>
        <v>0</v>
      </c>
      <c r="BC551">
        <f t="shared" si="422"/>
        <v>0</v>
      </c>
    </row>
    <row r="552" spans="1:55" x14ac:dyDescent="0.2">
      <c r="A552" s="3">
        <f t="shared" si="394"/>
        <v>59567</v>
      </c>
      <c r="B552">
        <f t="shared" si="391"/>
        <v>554</v>
      </c>
      <c r="C552">
        <f t="shared" si="423"/>
        <v>46.083333333333336</v>
      </c>
      <c r="D552">
        <f t="shared" si="424"/>
        <v>0</v>
      </c>
      <c r="E552">
        <f t="shared" si="392"/>
        <v>102</v>
      </c>
      <c r="F552">
        <f>IF(C552&gt;=$T$2,0,VLOOKUP($E552,'Mortality Table'!$A$3:$C$128,2+AF$2,FALSE))</f>
        <v>0</v>
      </c>
      <c r="G552">
        <f>F552*Assumptions!$B$1</f>
        <v>0</v>
      </c>
      <c r="H552">
        <f t="shared" si="425"/>
        <v>0</v>
      </c>
      <c r="I552">
        <f t="shared" si="426"/>
        <v>0</v>
      </c>
      <c r="J552">
        <f>IF(B552&gt;$AJ$2,0,HLOOKUP(C552,Assumptions!$A$6:$J$7,2,TRUE))</f>
        <v>0</v>
      </c>
      <c r="K552" s="4">
        <f t="shared" si="427"/>
        <v>0</v>
      </c>
      <c r="L552" s="4">
        <f t="shared" si="395"/>
        <v>0</v>
      </c>
      <c r="M552" s="4">
        <f t="shared" si="428"/>
        <v>0</v>
      </c>
      <c r="N552">
        <f t="shared" si="429"/>
        <v>0</v>
      </c>
      <c r="O552" s="21">
        <f t="shared" si="430"/>
        <v>0</v>
      </c>
      <c r="P552">
        <f>IF(B552&gt;$AJ$2,0,HLOOKUP(C552,Assumptions!$A$12:$J$13,2,TRUE))</f>
        <v>0</v>
      </c>
      <c r="Q552">
        <f t="shared" si="431"/>
        <v>0</v>
      </c>
      <c r="R552">
        <f t="shared" si="396"/>
        <v>0</v>
      </c>
      <c r="S552">
        <f t="shared" si="432"/>
        <v>0</v>
      </c>
      <c r="T552">
        <f t="shared" si="433"/>
        <v>0</v>
      </c>
      <c r="U552">
        <f t="shared" si="397"/>
        <v>0</v>
      </c>
      <c r="V552">
        <f t="shared" si="398"/>
        <v>0</v>
      </c>
      <c r="W552">
        <f t="shared" si="399"/>
        <v>0</v>
      </c>
      <c r="X552">
        <f t="shared" si="434"/>
        <v>0</v>
      </c>
      <c r="Y552">
        <f t="shared" si="400"/>
        <v>0</v>
      </c>
      <c r="Z552">
        <f t="shared" si="401"/>
        <v>0</v>
      </c>
      <c r="AA552">
        <f t="shared" si="402"/>
        <v>0</v>
      </c>
      <c r="AB552">
        <f t="shared" si="403"/>
        <v>0</v>
      </c>
      <c r="AC552" s="23">
        <f>IF(B552&gt;$AJ$2,0,HLOOKUP(YEAR(A552),Assumptions!$A$25:$AL$29,4,TRUE)/100)</f>
        <v>0</v>
      </c>
      <c r="AD552">
        <f t="shared" si="404"/>
        <v>0</v>
      </c>
      <c r="AE552">
        <f t="shared" si="405"/>
        <v>0</v>
      </c>
      <c r="AF552">
        <f t="shared" si="406"/>
        <v>0</v>
      </c>
      <c r="AG552">
        <f t="shared" si="407"/>
        <v>0</v>
      </c>
      <c r="AH552">
        <f t="shared" si="408"/>
        <v>0</v>
      </c>
      <c r="AI552">
        <f t="shared" si="409"/>
        <v>0</v>
      </c>
      <c r="AJ552">
        <f t="shared" si="410"/>
        <v>0</v>
      </c>
      <c r="AK552">
        <f t="shared" si="435"/>
        <v>0</v>
      </c>
      <c r="AL552">
        <f t="shared" si="411"/>
        <v>0</v>
      </c>
      <c r="AM552">
        <f t="shared" si="393"/>
        <v>0</v>
      </c>
      <c r="AN552">
        <f>IF($S$2=0,0,(SUMPRODUCT($K$2:$R$2,Assumptions!$B$34:$I$34)/$U$2+$J$2/$U$2*Assumptions!$A$34*G552)*K552*O551)</f>
        <v>0</v>
      </c>
      <c r="AO552">
        <f t="shared" si="412"/>
        <v>0</v>
      </c>
      <c r="AP552">
        <f t="shared" si="413"/>
        <v>0</v>
      </c>
      <c r="AQ552">
        <f>IF(B552&gt;$AJ$2,0,AQ551*(1+Assumptions!$B$43)^(1/12))</f>
        <v>0</v>
      </c>
      <c r="AR552" s="27">
        <f>IF(B552&gt;$AJ$2,0,(O551+R551)*Assumptions!$B$39/12*AQ551+AV552*Assumptions!$B$41/12)</f>
        <v>0</v>
      </c>
      <c r="AS552">
        <f t="shared" si="414"/>
        <v>0</v>
      </c>
      <c r="AT552" s="28">
        <f t="shared" si="415"/>
        <v>0</v>
      </c>
      <c r="AU552">
        <f t="shared" si="416"/>
        <v>0</v>
      </c>
      <c r="AV552" s="28">
        <f t="shared" si="417"/>
        <v>0</v>
      </c>
      <c r="AW552" s="28">
        <f t="shared" si="418"/>
        <v>0</v>
      </c>
      <c r="AX552" s="23">
        <f>HLOOKUP(YEAR(A552),Assumptions!$A$25:$AL$29,2,TRUE)/100</f>
        <v>1.1332999999999999E-2</v>
      </c>
      <c r="AY552" s="29">
        <f>1/(1+HLOOKUP(YEAR(A552),Assumptions!$A$18:$AL$20,3,TRUE))^(1/12)</f>
        <v>0.99906100631170314</v>
      </c>
      <c r="AZ552" s="26">
        <f t="shared" si="419"/>
        <v>0</v>
      </c>
      <c r="BA552">
        <f t="shared" si="420"/>
        <v>0</v>
      </c>
      <c r="BB552">
        <f t="shared" si="421"/>
        <v>0</v>
      </c>
      <c r="BC552">
        <f t="shared" si="422"/>
        <v>0</v>
      </c>
    </row>
    <row r="553" spans="1:55" x14ac:dyDescent="0.2">
      <c r="A553" s="3">
        <f t="shared" si="394"/>
        <v>59595</v>
      </c>
      <c r="B553">
        <f t="shared" si="391"/>
        <v>555</v>
      </c>
      <c r="C553">
        <f t="shared" si="423"/>
        <v>46.166666666666664</v>
      </c>
      <c r="D553">
        <f t="shared" si="424"/>
        <v>0</v>
      </c>
      <c r="E553">
        <f t="shared" si="392"/>
        <v>102</v>
      </c>
      <c r="F553">
        <f>IF(C553&gt;=$T$2,0,VLOOKUP($E553,'Mortality Table'!$A$3:$C$128,2+AF$2,FALSE))</f>
        <v>0</v>
      </c>
      <c r="G553">
        <f>F553*Assumptions!$B$1</f>
        <v>0</v>
      </c>
      <c r="H553">
        <f t="shared" si="425"/>
        <v>0</v>
      </c>
      <c r="I553">
        <f t="shared" si="426"/>
        <v>0</v>
      </c>
      <c r="J553">
        <f>IF(B553&gt;$AJ$2,0,HLOOKUP(C553,Assumptions!$A$6:$J$7,2,TRUE))</f>
        <v>0</v>
      </c>
      <c r="K553" s="4">
        <f t="shared" si="427"/>
        <v>0</v>
      </c>
      <c r="L553" s="4">
        <f t="shared" si="395"/>
        <v>0</v>
      </c>
      <c r="M553" s="4">
        <f t="shared" si="428"/>
        <v>0</v>
      </c>
      <c r="N553">
        <f t="shared" si="429"/>
        <v>0</v>
      </c>
      <c r="O553" s="21">
        <f t="shared" si="430"/>
        <v>0</v>
      </c>
      <c r="P553">
        <f>IF(B553&gt;$AJ$2,0,HLOOKUP(C553,Assumptions!$A$12:$J$13,2,TRUE))</f>
        <v>0</v>
      </c>
      <c r="Q553">
        <f t="shared" si="431"/>
        <v>0</v>
      </c>
      <c r="R553">
        <f t="shared" si="396"/>
        <v>0</v>
      </c>
      <c r="S553">
        <f t="shared" si="432"/>
        <v>0</v>
      </c>
      <c r="T553">
        <f t="shared" si="433"/>
        <v>0</v>
      </c>
      <c r="U553">
        <f t="shared" si="397"/>
        <v>0</v>
      </c>
      <c r="V553">
        <f t="shared" si="398"/>
        <v>0</v>
      </c>
      <c r="W553">
        <f t="shared" si="399"/>
        <v>0</v>
      </c>
      <c r="X553">
        <f t="shared" si="434"/>
        <v>0</v>
      </c>
      <c r="Y553">
        <f t="shared" si="400"/>
        <v>0</v>
      </c>
      <c r="Z553">
        <f t="shared" si="401"/>
        <v>0</v>
      </c>
      <c r="AA553">
        <f t="shared" si="402"/>
        <v>0</v>
      </c>
      <c r="AB553">
        <f t="shared" si="403"/>
        <v>0</v>
      </c>
      <c r="AC553" s="23">
        <f>IF(B553&gt;$AJ$2,0,HLOOKUP(YEAR(A553),Assumptions!$A$25:$AL$29,4,TRUE)/100)</f>
        <v>0</v>
      </c>
      <c r="AD553">
        <f t="shared" si="404"/>
        <v>0</v>
      </c>
      <c r="AE553">
        <f t="shared" si="405"/>
        <v>0</v>
      </c>
      <c r="AF553">
        <f t="shared" si="406"/>
        <v>0</v>
      </c>
      <c r="AG553">
        <f t="shared" si="407"/>
        <v>0</v>
      </c>
      <c r="AH553">
        <f t="shared" si="408"/>
        <v>0</v>
      </c>
      <c r="AI553">
        <f t="shared" si="409"/>
        <v>0</v>
      </c>
      <c r="AJ553">
        <f t="shared" si="410"/>
        <v>0</v>
      </c>
      <c r="AK553">
        <f t="shared" si="435"/>
        <v>0</v>
      </c>
      <c r="AL553">
        <f t="shared" si="411"/>
        <v>0</v>
      </c>
      <c r="AM553">
        <f t="shared" si="393"/>
        <v>0</v>
      </c>
      <c r="AN553">
        <f>IF($S$2=0,0,(SUMPRODUCT($K$2:$R$2,Assumptions!$B$34:$I$34)/$U$2+$J$2/$U$2*Assumptions!$A$34*G553)*K553*O552)</f>
        <v>0</v>
      </c>
      <c r="AO553">
        <f t="shared" si="412"/>
        <v>0</v>
      </c>
      <c r="AP553">
        <f t="shared" si="413"/>
        <v>0</v>
      </c>
      <c r="AQ553">
        <f>IF(B553&gt;$AJ$2,0,AQ552*(1+Assumptions!$B$43)^(1/12))</f>
        <v>0</v>
      </c>
      <c r="AR553" s="27">
        <f>IF(B553&gt;$AJ$2,0,(O552+R552)*Assumptions!$B$39/12*AQ552+AV553*Assumptions!$B$41/12)</f>
        <v>0</v>
      </c>
      <c r="AS553">
        <f t="shared" si="414"/>
        <v>0</v>
      </c>
      <c r="AT553" s="28">
        <f t="shared" si="415"/>
        <v>0</v>
      </c>
      <c r="AU553">
        <f t="shared" si="416"/>
        <v>0</v>
      </c>
      <c r="AV553" s="28">
        <f t="shared" si="417"/>
        <v>0</v>
      </c>
      <c r="AW553" s="28">
        <f t="shared" si="418"/>
        <v>0</v>
      </c>
      <c r="AX553" s="23">
        <f>HLOOKUP(YEAR(A553),Assumptions!$A$25:$AL$29,2,TRUE)/100</f>
        <v>1.1332999999999999E-2</v>
      </c>
      <c r="AY553" s="29">
        <f>1/(1+HLOOKUP(YEAR(A553),Assumptions!$A$18:$AL$20,3,TRUE))^(1/12)</f>
        <v>0.99906100631170314</v>
      </c>
      <c r="AZ553" s="26">
        <f t="shared" si="419"/>
        <v>0</v>
      </c>
      <c r="BA553">
        <f t="shared" si="420"/>
        <v>0</v>
      </c>
      <c r="BB553">
        <f t="shared" si="421"/>
        <v>0</v>
      </c>
      <c r="BC553">
        <f t="shared" si="422"/>
        <v>0</v>
      </c>
    </row>
    <row r="554" spans="1:55" x14ac:dyDescent="0.2">
      <c r="A554" s="3">
        <f t="shared" si="394"/>
        <v>59626</v>
      </c>
      <c r="B554">
        <f t="shared" si="391"/>
        <v>556</v>
      </c>
      <c r="C554">
        <f t="shared" si="423"/>
        <v>46.25</v>
      </c>
      <c r="D554">
        <f t="shared" si="424"/>
        <v>0</v>
      </c>
      <c r="E554">
        <f t="shared" si="392"/>
        <v>102</v>
      </c>
      <c r="F554">
        <f>IF(C554&gt;=$T$2,0,VLOOKUP($E554,'Mortality Table'!$A$3:$C$128,2+AF$2,FALSE))</f>
        <v>0</v>
      </c>
      <c r="G554">
        <f>F554*Assumptions!$B$1</f>
        <v>0</v>
      </c>
      <c r="H554">
        <f t="shared" si="425"/>
        <v>0</v>
      </c>
      <c r="I554">
        <f t="shared" si="426"/>
        <v>0</v>
      </c>
      <c r="J554">
        <f>IF(B554&gt;$AJ$2,0,HLOOKUP(C554,Assumptions!$A$6:$J$7,2,TRUE))</f>
        <v>0</v>
      </c>
      <c r="K554" s="4">
        <f t="shared" si="427"/>
        <v>0</v>
      </c>
      <c r="L554" s="4">
        <f t="shared" si="395"/>
        <v>0</v>
      </c>
      <c r="M554" s="4">
        <f t="shared" si="428"/>
        <v>0</v>
      </c>
      <c r="N554">
        <f t="shared" si="429"/>
        <v>0</v>
      </c>
      <c r="O554" s="21">
        <f t="shared" si="430"/>
        <v>0</v>
      </c>
      <c r="P554">
        <f>IF(B554&gt;$AJ$2,0,HLOOKUP(C554,Assumptions!$A$12:$J$13,2,TRUE))</f>
        <v>0</v>
      </c>
      <c r="Q554">
        <f t="shared" si="431"/>
        <v>0</v>
      </c>
      <c r="R554">
        <f t="shared" si="396"/>
        <v>0</v>
      </c>
      <c r="S554">
        <f t="shared" si="432"/>
        <v>0</v>
      </c>
      <c r="T554">
        <f t="shared" si="433"/>
        <v>0</v>
      </c>
      <c r="U554">
        <f t="shared" si="397"/>
        <v>0</v>
      </c>
      <c r="V554">
        <f t="shared" si="398"/>
        <v>0</v>
      </c>
      <c r="W554">
        <f t="shared" si="399"/>
        <v>0</v>
      </c>
      <c r="X554">
        <f t="shared" si="434"/>
        <v>0</v>
      </c>
      <c r="Y554">
        <f t="shared" si="400"/>
        <v>0</v>
      </c>
      <c r="Z554">
        <f t="shared" si="401"/>
        <v>0</v>
      </c>
      <c r="AA554">
        <f t="shared" si="402"/>
        <v>0</v>
      </c>
      <c r="AB554">
        <f t="shared" si="403"/>
        <v>0</v>
      </c>
      <c r="AC554" s="23">
        <f>IF(B554&gt;$AJ$2,0,HLOOKUP(YEAR(A554),Assumptions!$A$25:$AL$29,4,TRUE)/100)</f>
        <v>0</v>
      </c>
      <c r="AD554">
        <f t="shared" si="404"/>
        <v>0</v>
      </c>
      <c r="AE554">
        <f t="shared" si="405"/>
        <v>0</v>
      </c>
      <c r="AF554">
        <f t="shared" si="406"/>
        <v>0</v>
      </c>
      <c r="AG554">
        <f t="shared" si="407"/>
        <v>0</v>
      </c>
      <c r="AH554">
        <f t="shared" si="408"/>
        <v>0</v>
      </c>
      <c r="AI554">
        <f t="shared" si="409"/>
        <v>0</v>
      </c>
      <c r="AJ554">
        <f t="shared" si="410"/>
        <v>0</v>
      </c>
      <c r="AK554">
        <f t="shared" si="435"/>
        <v>0</v>
      </c>
      <c r="AL554">
        <f t="shared" si="411"/>
        <v>0</v>
      </c>
      <c r="AM554">
        <f t="shared" si="393"/>
        <v>0</v>
      </c>
      <c r="AN554">
        <f>IF($S$2=0,0,(SUMPRODUCT($K$2:$R$2,Assumptions!$B$34:$I$34)/$U$2+$J$2/$U$2*Assumptions!$A$34*G554)*K554*O553)</f>
        <v>0</v>
      </c>
      <c r="AO554">
        <f t="shared" si="412"/>
        <v>0</v>
      </c>
      <c r="AP554">
        <f t="shared" si="413"/>
        <v>0</v>
      </c>
      <c r="AQ554">
        <f>IF(B554&gt;$AJ$2,0,AQ553*(1+Assumptions!$B$43)^(1/12))</f>
        <v>0</v>
      </c>
      <c r="AR554" s="27">
        <f>IF(B554&gt;$AJ$2,0,(O553+R553)*Assumptions!$B$39/12*AQ553+AV554*Assumptions!$B$41/12)</f>
        <v>0</v>
      </c>
      <c r="AS554">
        <f t="shared" si="414"/>
        <v>0</v>
      </c>
      <c r="AT554" s="28">
        <f t="shared" si="415"/>
        <v>0</v>
      </c>
      <c r="AU554">
        <f t="shared" si="416"/>
        <v>0</v>
      </c>
      <c r="AV554" s="28">
        <f t="shared" si="417"/>
        <v>0</v>
      </c>
      <c r="AW554" s="28">
        <f t="shared" si="418"/>
        <v>0</v>
      </c>
      <c r="AX554" s="23">
        <f>HLOOKUP(YEAR(A554),Assumptions!$A$25:$AL$29,2,TRUE)/100</f>
        <v>1.1332999999999999E-2</v>
      </c>
      <c r="AY554" s="29">
        <f>1/(1+HLOOKUP(YEAR(A554),Assumptions!$A$18:$AL$20,3,TRUE))^(1/12)</f>
        <v>0.99906100631170314</v>
      </c>
      <c r="AZ554" s="26">
        <f t="shared" si="419"/>
        <v>0</v>
      </c>
      <c r="BA554">
        <f t="shared" si="420"/>
        <v>0</v>
      </c>
      <c r="BB554">
        <f t="shared" si="421"/>
        <v>0</v>
      </c>
      <c r="BC554">
        <f t="shared" si="422"/>
        <v>0</v>
      </c>
    </row>
    <row r="555" spans="1:55" x14ac:dyDescent="0.2">
      <c r="A555" s="3">
        <f t="shared" si="394"/>
        <v>59656</v>
      </c>
      <c r="B555">
        <f t="shared" si="391"/>
        <v>557</v>
      </c>
      <c r="C555">
        <f t="shared" si="423"/>
        <v>46.333333333333336</v>
      </c>
      <c r="D555">
        <f t="shared" si="424"/>
        <v>0</v>
      </c>
      <c r="E555">
        <f t="shared" si="392"/>
        <v>102</v>
      </c>
      <c r="F555">
        <f>IF(C555&gt;=$T$2,0,VLOOKUP($E555,'Mortality Table'!$A$3:$C$128,2+AF$2,FALSE))</f>
        <v>0</v>
      </c>
      <c r="G555">
        <f>F555*Assumptions!$B$1</f>
        <v>0</v>
      </c>
      <c r="H555">
        <f t="shared" si="425"/>
        <v>0</v>
      </c>
      <c r="I555">
        <f t="shared" si="426"/>
        <v>0</v>
      </c>
      <c r="J555">
        <f>IF(B555&gt;$AJ$2,0,HLOOKUP(C555,Assumptions!$A$6:$J$7,2,TRUE))</f>
        <v>0</v>
      </c>
      <c r="K555" s="4">
        <f t="shared" si="427"/>
        <v>0</v>
      </c>
      <c r="L555" s="4">
        <f t="shared" si="395"/>
        <v>0</v>
      </c>
      <c r="M555" s="4">
        <f t="shared" si="428"/>
        <v>0</v>
      </c>
      <c r="N555">
        <f t="shared" si="429"/>
        <v>0</v>
      </c>
      <c r="O555" s="21">
        <f t="shared" si="430"/>
        <v>0</v>
      </c>
      <c r="P555">
        <f>IF(B555&gt;$AJ$2,0,HLOOKUP(C555,Assumptions!$A$12:$J$13,2,TRUE))</f>
        <v>0</v>
      </c>
      <c r="Q555">
        <f t="shared" si="431"/>
        <v>0</v>
      </c>
      <c r="R555">
        <f t="shared" si="396"/>
        <v>0</v>
      </c>
      <c r="S555">
        <f t="shared" si="432"/>
        <v>0</v>
      </c>
      <c r="T555">
        <f t="shared" si="433"/>
        <v>0</v>
      </c>
      <c r="U555">
        <f t="shared" si="397"/>
        <v>0</v>
      </c>
      <c r="V555">
        <f t="shared" si="398"/>
        <v>0</v>
      </c>
      <c r="W555">
        <f t="shared" si="399"/>
        <v>0</v>
      </c>
      <c r="X555">
        <f t="shared" si="434"/>
        <v>0</v>
      </c>
      <c r="Y555">
        <f t="shared" si="400"/>
        <v>0</v>
      </c>
      <c r="Z555">
        <f t="shared" si="401"/>
        <v>0</v>
      </c>
      <c r="AA555">
        <f t="shared" si="402"/>
        <v>0</v>
      </c>
      <c r="AB555">
        <f t="shared" si="403"/>
        <v>0</v>
      </c>
      <c r="AC555" s="23">
        <f>IF(B555&gt;$AJ$2,0,HLOOKUP(YEAR(A555),Assumptions!$A$25:$AL$29,4,TRUE)/100)</f>
        <v>0</v>
      </c>
      <c r="AD555">
        <f t="shared" si="404"/>
        <v>0</v>
      </c>
      <c r="AE555">
        <f t="shared" si="405"/>
        <v>0</v>
      </c>
      <c r="AF555">
        <f t="shared" si="406"/>
        <v>0</v>
      </c>
      <c r="AG555">
        <f t="shared" si="407"/>
        <v>0</v>
      </c>
      <c r="AH555">
        <f t="shared" si="408"/>
        <v>0</v>
      </c>
      <c r="AI555">
        <f t="shared" si="409"/>
        <v>0</v>
      </c>
      <c r="AJ555">
        <f t="shared" si="410"/>
        <v>0</v>
      </c>
      <c r="AK555">
        <f t="shared" si="435"/>
        <v>0</v>
      </c>
      <c r="AL555">
        <f t="shared" si="411"/>
        <v>0</v>
      </c>
      <c r="AM555">
        <f t="shared" si="393"/>
        <v>0</v>
      </c>
      <c r="AN555">
        <f>IF($S$2=0,0,(SUMPRODUCT($K$2:$R$2,Assumptions!$B$34:$I$34)/$U$2+$J$2/$U$2*Assumptions!$A$34*G555)*K555*O554)</f>
        <v>0</v>
      </c>
      <c r="AO555">
        <f t="shared" si="412"/>
        <v>0</v>
      </c>
      <c r="AP555">
        <f t="shared" si="413"/>
        <v>0</v>
      </c>
      <c r="AQ555">
        <f>IF(B555&gt;$AJ$2,0,AQ554*(1+Assumptions!$B$43)^(1/12))</f>
        <v>0</v>
      </c>
      <c r="AR555" s="27">
        <f>IF(B555&gt;$AJ$2,0,(O554+R554)*Assumptions!$B$39/12*AQ554+AV555*Assumptions!$B$41/12)</f>
        <v>0</v>
      </c>
      <c r="AS555">
        <f t="shared" si="414"/>
        <v>0</v>
      </c>
      <c r="AT555" s="28">
        <f t="shared" si="415"/>
        <v>0</v>
      </c>
      <c r="AU555">
        <f t="shared" si="416"/>
        <v>0</v>
      </c>
      <c r="AV555" s="28">
        <f t="shared" si="417"/>
        <v>0</v>
      </c>
      <c r="AW555" s="28">
        <f t="shared" si="418"/>
        <v>0</v>
      </c>
      <c r="AX555" s="23">
        <f>HLOOKUP(YEAR(A555),Assumptions!$A$25:$AL$29,2,TRUE)/100</f>
        <v>1.1332999999999999E-2</v>
      </c>
      <c r="AY555" s="29">
        <f>1/(1+HLOOKUP(YEAR(A555),Assumptions!$A$18:$AL$20,3,TRUE))^(1/12)</f>
        <v>0.99906100631170314</v>
      </c>
      <c r="AZ555" s="26">
        <f t="shared" si="419"/>
        <v>0</v>
      </c>
      <c r="BA555">
        <f t="shared" si="420"/>
        <v>0</v>
      </c>
      <c r="BB555">
        <f t="shared" si="421"/>
        <v>0</v>
      </c>
      <c r="BC555">
        <f t="shared" si="422"/>
        <v>0</v>
      </c>
    </row>
    <row r="556" spans="1:55" x14ac:dyDescent="0.2">
      <c r="A556" s="3">
        <f t="shared" si="394"/>
        <v>59687</v>
      </c>
      <c r="B556">
        <f t="shared" si="391"/>
        <v>558</v>
      </c>
      <c r="C556">
        <f t="shared" si="423"/>
        <v>46.416666666666664</v>
      </c>
      <c r="D556">
        <f t="shared" si="424"/>
        <v>0</v>
      </c>
      <c r="E556">
        <f t="shared" si="392"/>
        <v>102</v>
      </c>
      <c r="F556">
        <f>IF(C556&gt;=$T$2,0,VLOOKUP($E556,'Mortality Table'!$A$3:$C$128,2+AF$2,FALSE))</f>
        <v>0</v>
      </c>
      <c r="G556">
        <f>F556*Assumptions!$B$1</f>
        <v>0</v>
      </c>
      <c r="H556">
        <f t="shared" si="425"/>
        <v>0</v>
      </c>
      <c r="I556">
        <f t="shared" si="426"/>
        <v>0</v>
      </c>
      <c r="J556">
        <f>IF(B556&gt;$AJ$2,0,HLOOKUP(C556,Assumptions!$A$6:$J$7,2,TRUE))</f>
        <v>0</v>
      </c>
      <c r="K556" s="4">
        <f t="shared" si="427"/>
        <v>0</v>
      </c>
      <c r="L556" s="4">
        <f t="shared" si="395"/>
        <v>0</v>
      </c>
      <c r="M556" s="4">
        <f t="shared" si="428"/>
        <v>0</v>
      </c>
      <c r="N556">
        <f t="shared" si="429"/>
        <v>0</v>
      </c>
      <c r="O556" s="21">
        <f t="shared" si="430"/>
        <v>0</v>
      </c>
      <c r="P556">
        <f>IF(B556&gt;$AJ$2,0,HLOOKUP(C556,Assumptions!$A$12:$J$13,2,TRUE))</f>
        <v>0</v>
      </c>
      <c r="Q556">
        <f t="shared" si="431"/>
        <v>0</v>
      </c>
      <c r="R556">
        <f t="shared" si="396"/>
        <v>0</v>
      </c>
      <c r="S556">
        <f t="shared" si="432"/>
        <v>0</v>
      </c>
      <c r="T556">
        <f t="shared" si="433"/>
        <v>0</v>
      </c>
      <c r="U556">
        <f t="shared" si="397"/>
        <v>0</v>
      </c>
      <c r="V556">
        <f t="shared" si="398"/>
        <v>0</v>
      </c>
      <c r="W556">
        <f t="shared" si="399"/>
        <v>0</v>
      </c>
      <c r="X556">
        <f t="shared" si="434"/>
        <v>0</v>
      </c>
      <c r="Y556">
        <f t="shared" si="400"/>
        <v>0</v>
      </c>
      <c r="Z556">
        <f t="shared" si="401"/>
        <v>0</v>
      </c>
      <c r="AA556">
        <f t="shared" si="402"/>
        <v>0</v>
      </c>
      <c r="AB556">
        <f t="shared" si="403"/>
        <v>0</v>
      </c>
      <c r="AC556" s="23">
        <f>IF(B556&gt;$AJ$2,0,HLOOKUP(YEAR(A556),Assumptions!$A$25:$AL$29,4,TRUE)/100)</f>
        <v>0</v>
      </c>
      <c r="AD556">
        <f t="shared" si="404"/>
        <v>0</v>
      </c>
      <c r="AE556">
        <f t="shared" si="405"/>
        <v>0</v>
      </c>
      <c r="AF556">
        <f t="shared" si="406"/>
        <v>0</v>
      </c>
      <c r="AG556">
        <f t="shared" si="407"/>
        <v>0</v>
      </c>
      <c r="AH556">
        <f t="shared" si="408"/>
        <v>0</v>
      </c>
      <c r="AI556">
        <f t="shared" si="409"/>
        <v>0</v>
      </c>
      <c r="AJ556">
        <f t="shared" si="410"/>
        <v>0</v>
      </c>
      <c r="AK556">
        <f t="shared" si="435"/>
        <v>0</v>
      </c>
      <c r="AL556">
        <f t="shared" si="411"/>
        <v>0</v>
      </c>
      <c r="AM556">
        <f t="shared" si="393"/>
        <v>0</v>
      </c>
      <c r="AN556">
        <f>IF($S$2=0,0,(SUMPRODUCT($K$2:$R$2,Assumptions!$B$34:$I$34)/$U$2+$J$2/$U$2*Assumptions!$A$34*G556)*K556*O555)</f>
        <v>0</v>
      </c>
      <c r="AO556">
        <f t="shared" si="412"/>
        <v>0</v>
      </c>
      <c r="AP556">
        <f t="shared" si="413"/>
        <v>0</v>
      </c>
      <c r="AQ556">
        <f>IF(B556&gt;$AJ$2,0,AQ555*(1+Assumptions!$B$43)^(1/12))</f>
        <v>0</v>
      </c>
      <c r="AR556" s="27">
        <f>IF(B556&gt;$AJ$2,0,(O555+R555)*Assumptions!$B$39/12*AQ555+AV556*Assumptions!$B$41/12)</f>
        <v>0</v>
      </c>
      <c r="AS556">
        <f t="shared" si="414"/>
        <v>0</v>
      </c>
      <c r="AT556" s="28">
        <f t="shared" si="415"/>
        <v>0</v>
      </c>
      <c r="AU556">
        <f t="shared" si="416"/>
        <v>0</v>
      </c>
      <c r="AV556" s="28">
        <f t="shared" si="417"/>
        <v>0</v>
      </c>
      <c r="AW556" s="28">
        <f t="shared" si="418"/>
        <v>0</v>
      </c>
      <c r="AX556" s="23">
        <f>HLOOKUP(YEAR(A556),Assumptions!$A$25:$AL$29,2,TRUE)/100</f>
        <v>1.1332999999999999E-2</v>
      </c>
      <c r="AY556" s="29">
        <f>1/(1+HLOOKUP(YEAR(A556),Assumptions!$A$18:$AL$20,3,TRUE))^(1/12)</f>
        <v>0.99906100631170314</v>
      </c>
      <c r="AZ556" s="26">
        <f t="shared" si="419"/>
        <v>0</v>
      </c>
      <c r="BA556">
        <f t="shared" si="420"/>
        <v>0</v>
      </c>
      <c r="BB556">
        <f t="shared" si="421"/>
        <v>0</v>
      </c>
      <c r="BC556">
        <f t="shared" si="422"/>
        <v>0</v>
      </c>
    </row>
    <row r="557" spans="1:55" x14ac:dyDescent="0.2">
      <c r="A557" s="3">
        <f t="shared" si="394"/>
        <v>59717</v>
      </c>
      <c r="B557">
        <f t="shared" si="391"/>
        <v>559</v>
      </c>
      <c r="C557">
        <f t="shared" si="423"/>
        <v>46.5</v>
      </c>
      <c r="D557">
        <f t="shared" si="424"/>
        <v>0</v>
      </c>
      <c r="E557">
        <f t="shared" si="392"/>
        <v>102</v>
      </c>
      <c r="F557">
        <f>IF(C557&gt;=$T$2,0,VLOOKUP($E557,'Mortality Table'!$A$3:$C$128,2+AF$2,FALSE))</f>
        <v>0</v>
      </c>
      <c r="G557">
        <f>F557*Assumptions!$B$1</f>
        <v>0</v>
      </c>
      <c r="H557">
        <f t="shared" si="425"/>
        <v>0</v>
      </c>
      <c r="I557">
        <f t="shared" si="426"/>
        <v>0</v>
      </c>
      <c r="J557">
        <f>IF(B557&gt;$AJ$2,0,HLOOKUP(C557,Assumptions!$A$6:$J$7,2,TRUE))</f>
        <v>0</v>
      </c>
      <c r="K557" s="4">
        <f t="shared" si="427"/>
        <v>0</v>
      </c>
      <c r="L557" s="4">
        <f t="shared" si="395"/>
        <v>0</v>
      </c>
      <c r="M557" s="4">
        <f t="shared" si="428"/>
        <v>0</v>
      </c>
      <c r="N557">
        <f t="shared" si="429"/>
        <v>0</v>
      </c>
      <c r="O557" s="21">
        <f t="shared" si="430"/>
        <v>0</v>
      </c>
      <c r="P557">
        <f>IF(B557&gt;$AJ$2,0,HLOOKUP(C557,Assumptions!$A$12:$J$13,2,TRUE))</f>
        <v>0</v>
      </c>
      <c r="Q557">
        <f t="shared" si="431"/>
        <v>0</v>
      </c>
      <c r="R557">
        <f t="shared" si="396"/>
        <v>0</v>
      </c>
      <c r="S557">
        <f t="shared" si="432"/>
        <v>0</v>
      </c>
      <c r="T557">
        <f t="shared" si="433"/>
        <v>0</v>
      </c>
      <c r="U557">
        <f t="shared" si="397"/>
        <v>0</v>
      </c>
      <c r="V557">
        <f t="shared" si="398"/>
        <v>0</v>
      </c>
      <c r="W557">
        <f t="shared" si="399"/>
        <v>0</v>
      </c>
      <c r="X557">
        <f t="shared" si="434"/>
        <v>0</v>
      </c>
      <c r="Y557">
        <f t="shared" si="400"/>
        <v>0</v>
      </c>
      <c r="Z557">
        <f t="shared" si="401"/>
        <v>0</v>
      </c>
      <c r="AA557">
        <f t="shared" si="402"/>
        <v>0</v>
      </c>
      <c r="AB557">
        <f t="shared" si="403"/>
        <v>0</v>
      </c>
      <c r="AC557" s="23">
        <f>IF(B557&gt;$AJ$2,0,HLOOKUP(YEAR(A557),Assumptions!$A$25:$AL$29,4,TRUE)/100)</f>
        <v>0</v>
      </c>
      <c r="AD557">
        <f t="shared" si="404"/>
        <v>0</v>
      </c>
      <c r="AE557">
        <f t="shared" si="405"/>
        <v>0</v>
      </c>
      <c r="AF557">
        <f t="shared" si="406"/>
        <v>0</v>
      </c>
      <c r="AG557">
        <f t="shared" si="407"/>
        <v>0</v>
      </c>
      <c r="AH557">
        <f t="shared" si="408"/>
        <v>0</v>
      </c>
      <c r="AI557">
        <f t="shared" si="409"/>
        <v>0</v>
      </c>
      <c r="AJ557">
        <f t="shared" si="410"/>
        <v>0</v>
      </c>
      <c r="AK557">
        <f t="shared" si="435"/>
        <v>0</v>
      </c>
      <c r="AL557">
        <f t="shared" si="411"/>
        <v>0</v>
      </c>
      <c r="AM557">
        <f t="shared" si="393"/>
        <v>0</v>
      </c>
      <c r="AN557">
        <f>IF($S$2=0,0,(SUMPRODUCT($K$2:$R$2,Assumptions!$B$34:$I$34)/$U$2+$J$2/$U$2*Assumptions!$A$34*G557)*K557*O556)</f>
        <v>0</v>
      </c>
      <c r="AO557">
        <f t="shared" si="412"/>
        <v>0</v>
      </c>
      <c r="AP557">
        <f t="shared" si="413"/>
        <v>0</v>
      </c>
      <c r="AQ557">
        <f>IF(B557&gt;$AJ$2,0,AQ556*(1+Assumptions!$B$43)^(1/12))</f>
        <v>0</v>
      </c>
      <c r="AR557" s="27">
        <f>IF(B557&gt;$AJ$2,0,(O556+R556)*Assumptions!$B$39/12*AQ556+AV557*Assumptions!$B$41/12)</f>
        <v>0</v>
      </c>
      <c r="AS557">
        <f t="shared" si="414"/>
        <v>0</v>
      </c>
      <c r="AT557" s="28">
        <f t="shared" si="415"/>
        <v>0</v>
      </c>
      <c r="AU557">
        <f t="shared" si="416"/>
        <v>0</v>
      </c>
      <c r="AV557" s="28">
        <f t="shared" si="417"/>
        <v>0</v>
      </c>
      <c r="AW557" s="28">
        <f t="shared" si="418"/>
        <v>0</v>
      </c>
      <c r="AX557" s="23">
        <f>HLOOKUP(YEAR(A557),Assumptions!$A$25:$AL$29,2,TRUE)/100</f>
        <v>1.1332999999999999E-2</v>
      </c>
      <c r="AY557" s="29">
        <f>1/(1+HLOOKUP(YEAR(A557),Assumptions!$A$18:$AL$20,3,TRUE))^(1/12)</f>
        <v>0.99906100631170314</v>
      </c>
      <c r="AZ557" s="26">
        <f t="shared" si="419"/>
        <v>0</v>
      </c>
      <c r="BA557">
        <f t="shared" si="420"/>
        <v>0</v>
      </c>
      <c r="BB557">
        <f t="shared" si="421"/>
        <v>0</v>
      </c>
      <c r="BC557">
        <f t="shared" si="422"/>
        <v>0</v>
      </c>
    </row>
    <row r="558" spans="1:55" x14ac:dyDescent="0.2">
      <c r="A558" s="3">
        <f t="shared" si="394"/>
        <v>59748</v>
      </c>
      <c r="B558">
        <f t="shared" si="391"/>
        <v>560</v>
      </c>
      <c r="C558">
        <f t="shared" si="423"/>
        <v>46.583333333333336</v>
      </c>
      <c r="D558">
        <f t="shared" si="424"/>
        <v>0</v>
      </c>
      <c r="E558">
        <f t="shared" si="392"/>
        <v>102</v>
      </c>
      <c r="F558">
        <f>IF(C558&gt;=$T$2,0,VLOOKUP($E558,'Mortality Table'!$A$3:$C$128,2+AF$2,FALSE))</f>
        <v>0</v>
      </c>
      <c r="G558">
        <f>F558*Assumptions!$B$1</f>
        <v>0</v>
      </c>
      <c r="H558">
        <f t="shared" si="425"/>
        <v>0</v>
      </c>
      <c r="I558">
        <f t="shared" si="426"/>
        <v>0</v>
      </c>
      <c r="J558">
        <f>IF(B558&gt;$AJ$2,0,HLOOKUP(C558,Assumptions!$A$6:$J$7,2,TRUE))</f>
        <v>0</v>
      </c>
      <c r="K558" s="4">
        <f t="shared" si="427"/>
        <v>0</v>
      </c>
      <c r="L558" s="4">
        <f t="shared" si="395"/>
        <v>0</v>
      </c>
      <c r="M558" s="4">
        <f t="shared" si="428"/>
        <v>0</v>
      </c>
      <c r="N558">
        <f t="shared" si="429"/>
        <v>0</v>
      </c>
      <c r="O558" s="21">
        <f t="shared" si="430"/>
        <v>0</v>
      </c>
      <c r="P558">
        <f>IF(B558&gt;$AJ$2,0,HLOOKUP(C558,Assumptions!$A$12:$J$13,2,TRUE))</f>
        <v>0</v>
      </c>
      <c r="Q558">
        <f t="shared" si="431"/>
        <v>0</v>
      </c>
      <c r="R558">
        <f t="shared" si="396"/>
        <v>0</v>
      </c>
      <c r="S558">
        <f t="shared" si="432"/>
        <v>0</v>
      </c>
      <c r="T558">
        <f t="shared" si="433"/>
        <v>0</v>
      </c>
      <c r="U558">
        <f t="shared" si="397"/>
        <v>0</v>
      </c>
      <c r="V558">
        <f t="shared" si="398"/>
        <v>0</v>
      </c>
      <c r="W558">
        <f t="shared" si="399"/>
        <v>0</v>
      </c>
      <c r="X558">
        <f t="shared" si="434"/>
        <v>0</v>
      </c>
      <c r="Y558">
        <f t="shared" si="400"/>
        <v>0</v>
      </c>
      <c r="Z558">
        <f t="shared" si="401"/>
        <v>0</v>
      </c>
      <c r="AA558">
        <f t="shared" si="402"/>
        <v>0</v>
      </c>
      <c r="AB558">
        <f t="shared" si="403"/>
        <v>0</v>
      </c>
      <c r="AC558" s="23">
        <f>IF(B558&gt;$AJ$2,0,HLOOKUP(YEAR(A558),Assumptions!$A$25:$AL$29,4,TRUE)/100)</f>
        <v>0</v>
      </c>
      <c r="AD558">
        <f t="shared" si="404"/>
        <v>0</v>
      </c>
      <c r="AE558">
        <f t="shared" si="405"/>
        <v>0</v>
      </c>
      <c r="AF558">
        <f t="shared" si="406"/>
        <v>0</v>
      </c>
      <c r="AG558">
        <f t="shared" si="407"/>
        <v>0</v>
      </c>
      <c r="AH558">
        <f t="shared" si="408"/>
        <v>0</v>
      </c>
      <c r="AI558">
        <f t="shared" si="409"/>
        <v>0</v>
      </c>
      <c r="AJ558">
        <f t="shared" si="410"/>
        <v>0</v>
      </c>
      <c r="AK558">
        <f t="shared" si="435"/>
        <v>0</v>
      </c>
      <c r="AL558">
        <f t="shared" si="411"/>
        <v>0</v>
      </c>
      <c r="AM558">
        <f t="shared" si="393"/>
        <v>0</v>
      </c>
      <c r="AN558">
        <f>IF($S$2=0,0,(SUMPRODUCT($K$2:$R$2,Assumptions!$B$34:$I$34)/$U$2+$J$2/$U$2*Assumptions!$A$34*G558)*K558*O557)</f>
        <v>0</v>
      </c>
      <c r="AO558">
        <f t="shared" si="412"/>
        <v>0</v>
      </c>
      <c r="AP558">
        <f t="shared" si="413"/>
        <v>0</v>
      </c>
      <c r="AQ558">
        <f>IF(B558&gt;$AJ$2,0,AQ557*(1+Assumptions!$B$43)^(1/12))</f>
        <v>0</v>
      </c>
      <c r="AR558" s="27">
        <f>IF(B558&gt;$AJ$2,0,(O557+R557)*Assumptions!$B$39/12*AQ557+AV558*Assumptions!$B$41/12)</f>
        <v>0</v>
      </c>
      <c r="AS558">
        <f t="shared" si="414"/>
        <v>0</v>
      </c>
      <c r="AT558" s="28">
        <f t="shared" si="415"/>
        <v>0</v>
      </c>
      <c r="AU558">
        <f t="shared" si="416"/>
        <v>0</v>
      </c>
      <c r="AV558" s="28">
        <f t="shared" si="417"/>
        <v>0</v>
      </c>
      <c r="AW558" s="28">
        <f t="shared" si="418"/>
        <v>0</v>
      </c>
      <c r="AX558" s="23">
        <f>HLOOKUP(YEAR(A558),Assumptions!$A$25:$AL$29,2,TRUE)/100</f>
        <v>1.1332999999999999E-2</v>
      </c>
      <c r="AY558" s="29">
        <f>1/(1+HLOOKUP(YEAR(A558),Assumptions!$A$18:$AL$20,3,TRUE))^(1/12)</f>
        <v>0.99906100631170314</v>
      </c>
      <c r="AZ558" s="26">
        <f t="shared" si="419"/>
        <v>0</v>
      </c>
      <c r="BA558">
        <f t="shared" si="420"/>
        <v>0</v>
      </c>
      <c r="BB558">
        <f t="shared" si="421"/>
        <v>0</v>
      </c>
      <c r="BC558">
        <f t="shared" si="422"/>
        <v>0</v>
      </c>
    </row>
    <row r="559" spans="1:55" x14ac:dyDescent="0.2">
      <c r="A559" s="3">
        <f t="shared" si="394"/>
        <v>59779</v>
      </c>
      <c r="B559">
        <f t="shared" si="391"/>
        <v>561</v>
      </c>
      <c r="C559">
        <f t="shared" si="423"/>
        <v>46.666666666666664</v>
      </c>
      <c r="D559">
        <f t="shared" si="424"/>
        <v>0</v>
      </c>
      <c r="E559">
        <f t="shared" si="392"/>
        <v>102</v>
      </c>
      <c r="F559">
        <f>IF(C559&gt;=$T$2,0,VLOOKUP($E559,'Mortality Table'!$A$3:$C$128,2+AF$2,FALSE))</f>
        <v>0</v>
      </c>
      <c r="G559">
        <f>F559*Assumptions!$B$1</f>
        <v>0</v>
      </c>
      <c r="H559">
        <f t="shared" si="425"/>
        <v>0</v>
      </c>
      <c r="I559">
        <f t="shared" si="426"/>
        <v>0</v>
      </c>
      <c r="J559">
        <f>IF(B559&gt;$AJ$2,0,HLOOKUP(C559,Assumptions!$A$6:$J$7,2,TRUE))</f>
        <v>0</v>
      </c>
      <c r="K559" s="4">
        <f t="shared" si="427"/>
        <v>0</v>
      </c>
      <c r="L559" s="4">
        <f t="shared" si="395"/>
        <v>0</v>
      </c>
      <c r="M559" s="4">
        <f t="shared" si="428"/>
        <v>0</v>
      </c>
      <c r="N559">
        <f t="shared" si="429"/>
        <v>0</v>
      </c>
      <c r="O559" s="21">
        <f t="shared" si="430"/>
        <v>0</v>
      </c>
      <c r="P559">
        <f>IF(B559&gt;$AJ$2,0,HLOOKUP(C559,Assumptions!$A$12:$J$13,2,TRUE))</f>
        <v>0</v>
      </c>
      <c r="Q559">
        <f t="shared" si="431"/>
        <v>0</v>
      </c>
      <c r="R559">
        <f t="shared" si="396"/>
        <v>0</v>
      </c>
      <c r="S559">
        <f t="shared" si="432"/>
        <v>0</v>
      </c>
      <c r="T559">
        <f t="shared" si="433"/>
        <v>0</v>
      </c>
      <c r="U559">
        <f t="shared" si="397"/>
        <v>0</v>
      </c>
      <c r="V559">
        <f t="shared" si="398"/>
        <v>0</v>
      </c>
      <c r="W559">
        <f t="shared" si="399"/>
        <v>0</v>
      </c>
      <c r="X559">
        <f t="shared" si="434"/>
        <v>0</v>
      </c>
      <c r="Y559">
        <f t="shared" si="400"/>
        <v>0</v>
      </c>
      <c r="Z559">
        <f t="shared" si="401"/>
        <v>0</v>
      </c>
      <c r="AA559">
        <f t="shared" si="402"/>
        <v>0</v>
      </c>
      <c r="AB559">
        <f t="shared" si="403"/>
        <v>0</v>
      </c>
      <c r="AC559" s="23">
        <f>IF(B559&gt;$AJ$2,0,HLOOKUP(YEAR(A559),Assumptions!$A$25:$AL$29,4,TRUE)/100)</f>
        <v>0</v>
      </c>
      <c r="AD559">
        <f t="shared" si="404"/>
        <v>0</v>
      </c>
      <c r="AE559">
        <f t="shared" si="405"/>
        <v>0</v>
      </c>
      <c r="AF559">
        <f t="shared" si="406"/>
        <v>0</v>
      </c>
      <c r="AG559">
        <f t="shared" si="407"/>
        <v>0</v>
      </c>
      <c r="AH559">
        <f t="shared" si="408"/>
        <v>0</v>
      </c>
      <c r="AI559">
        <f t="shared" si="409"/>
        <v>0</v>
      </c>
      <c r="AJ559">
        <f t="shared" si="410"/>
        <v>0</v>
      </c>
      <c r="AK559">
        <f t="shared" si="435"/>
        <v>0</v>
      </c>
      <c r="AL559">
        <f t="shared" si="411"/>
        <v>0</v>
      </c>
      <c r="AM559">
        <f t="shared" si="393"/>
        <v>0</v>
      </c>
      <c r="AN559">
        <f>IF($S$2=0,0,(SUMPRODUCT($K$2:$R$2,Assumptions!$B$34:$I$34)/$U$2+$J$2/$U$2*Assumptions!$A$34*G559)*K559*O558)</f>
        <v>0</v>
      </c>
      <c r="AO559">
        <f t="shared" si="412"/>
        <v>0</v>
      </c>
      <c r="AP559">
        <f t="shared" si="413"/>
        <v>0</v>
      </c>
      <c r="AQ559">
        <f>IF(B559&gt;$AJ$2,0,AQ558*(1+Assumptions!$B$43)^(1/12))</f>
        <v>0</v>
      </c>
      <c r="AR559" s="27">
        <f>IF(B559&gt;$AJ$2,0,(O558+R558)*Assumptions!$B$39/12*AQ558+AV559*Assumptions!$B$41/12)</f>
        <v>0</v>
      </c>
      <c r="AS559">
        <f t="shared" si="414"/>
        <v>0</v>
      </c>
      <c r="AT559" s="28">
        <f t="shared" si="415"/>
        <v>0</v>
      </c>
      <c r="AU559">
        <f t="shared" si="416"/>
        <v>0</v>
      </c>
      <c r="AV559" s="28">
        <f t="shared" si="417"/>
        <v>0</v>
      </c>
      <c r="AW559" s="28">
        <f t="shared" si="418"/>
        <v>0</v>
      </c>
      <c r="AX559" s="23">
        <f>HLOOKUP(YEAR(A559),Assumptions!$A$25:$AL$29,2,TRUE)/100</f>
        <v>1.1332999999999999E-2</v>
      </c>
      <c r="AY559" s="29">
        <f>1/(1+HLOOKUP(YEAR(A559),Assumptions!$A$18:$AL$20,3,TRUE))^(1/12)</f>
        <v>0.99906100631170314</v>
      </c>
      <c r="AZ559" s="26">
        <f t="shared" si="419"/>
        <v>0</v>
      </c>
      <c r="BA559">
        <f t="shared" si="420"/>
        <v>0</v>
      </c>
      <c r="BB559">
        <f t="shared" si="421"/>
        <v>0</v>
      </c>
      <c r="BC559">
        <f t="shared" si="422"/>
        <v>0</v>
      </c>
    </row>
    <row r="560" spans="1:55" x14ac:dyDescent="0.2">
      <c r="A560" s="3">
        <f t="shared" si="394"/>
        <v>59809</v>
      </c>
      <c r="B560">
        <f t="shared" si="391"/>
        <v>562</v>
      </c>
      <c r="C560">
        <f t="shared" si="423"/>
        <v>46.75</v>
      </c>
      <c r="D560">
        <f t="shared" si="424"/>
        <v>0</v>
      </c>
      <c r="E560">
        <f t="shared" si="392"/>
        <v>102</v>
      </c>
      <c r="F560">
        <f>IF(C560&gt;=$T$2,0,VLOOKUP($E560,'Mortality Table'!$A$3:$C$128,2+AF$2,FALSE))</f>
        <v>0</v>
      </c>
      <c r="G560">
        <f>F560*Assumptions!$B$1</f>
        <v>0</v>
      </c>
      <c r="H560">
        <f t="shared" si="425"/>
        <v>0</v>
      </c>
      <c r="I560">
        <f t="shared" si="426"/>
        <v>0</v>
      </c>
      <c r="J560">
        <f>IF(B560&gt;$AJ$2,0,HLOOKUP(C560,Assumptions!$A$6:$J$7,2,TRUE))</f>
        <v>0</v>
      </c>
      <c r="K560" s="4">
        <f t="shared" si="427"/>
        <v>0</v>
      </c>
      <c r="L560" s="4">
        <f t="shared" si="395"/>
        <v>0</v>
      </c>
      <c r="M560" s="4">
        <f t="shared" si="428"/>
        <v>0</v>
      </c>
      <c r="N560">
        <f t="shared" si="429"/>
        <v>0</v>
      </c>
      <c r="O560" s="21">
        <f t="shared" si="430"/>
        <v>0</v>
      </c>
      <c r="P560">
        <f>IF(B560&gt;$AJ$2,0,HLOOKUP(C560,Assumptions!$A$12:$J$13,2,TRUE))</f>
        <v>0</v>
      </c>
      <c r="Q560">
        <f t="shared" si="431"/>
        <v>0</v>
      </c>
      <c r="R560">
        <f t="shared" si="396"/>
        <v>0</v>
      </c>
      <c r="S560">
        <f t="shared" si="432"/>
        <v>0</v>
      </c>
      <c r="T560">
        <f t="shared" si="433"/>
        <v>0</v>
      </c>
      <c r="U560">
        <f t="shared" si="397"/>
        <v>0</v>
      </c>
      <c r="V560">
        <f t="shared" si="398"/>
        <v>0</v>
      </c>
      <c r="W560">
        <f t="shared" si="399"/>
        <v>0</v>
      </c>
      <c r="X560">
        <f t="shared" si="434"/>
        <v>0</v>
      </c>
      <c r="Y560">
        <f t="shared" si="400"/>
        <v>0</v>
      </c>
      <c r="Z560">
        <f t="shared" si="401"/>
        <v>0</v>
      </c>
      <c r="AA560">
        <f t="shared" si="402"/>
        <v>0</v>
      </c>
      <c r="AB560">
        <f t="shared" si="403"/>
        <v>0</v>
      </c>
      <c r="AC560" s="23">
        <f>IF(B560&gt;$AJ$2,0,HLOOKUP(YEAR(A560),Assumptions!$A$25:$AL$29,4,TRUE)/100)</f>
        <v>0</v>
      </c>
      <c r="AD560">
        <f t="shared" si="404"/>
        <v>0</v>
      </c>
      <c r="AE560">
        <f t="shared" si="405"/>
        <v>0</v>
      </c>
      <c r="AF560">
        <f t="shared" si="406"/>
        <v>0</v>
      </c>
      <c r="AG560">
        <f t="shared" si="407"/>
        <v>0</v>
      </c>
      <c r="AH560">
        <f t="shared" si="408"/>
        <v>0</v>
      </c>
      <c r="AI560">
        <f t="shared" si="409"/>
        <v>0</v>
      </c>
      <c r="AJ560">
        <f t="shared" si="410"/>
        <v>0</v>
      </c>
      <c r="AK560">
        <f t="shared" si="435"/>
        <v>0</v>
      </c>
      <c r="AL560">
        <f t="shared" si="411"/>
        <v>0</v>
      </c>
      <c r="AM560">
        <f t="shared" si="393"/>
        <v>0</v>
      </c>
      <c r="AN560">
        <f>IF($S$2=0,0,(SUMPRODUCT($K$2:$R$2,Assumptions!$B$34:$I$34)/$U$2+$J$2/$U$2*Assumptions!$A$34*G560)*K560*O559)</f>
        <v>0</v>
      </c>
      <c r="AO560">
        <f t="shared" si="412"/>
        <v>0</v>
      </c>
      <c r="AP560">
        <f t="shared" si="413"/>
        <v>0</v>
      </c>
      <c r="AQ560">
        <f>IF(B560&gt;$AJ$2,0,AQ559*(1+Assumptions!$B$43)^(1/12))</f>
        <v>0</v>
      </c>
      <c r="AR560" s="27">
        <f>IF(B560&gt;$AJ$2,0,(O559+R559)*Assumptions!$B$39/12*AQ559+AV560*Assumptions!$B$41/12)</f>
        <v>0</v>
      </c>
      <c r="AS560">
        <f t="shared" si="414"/>
        <v>0</v>
      </c>
      <c r="AT560" s="28">
        <f t="shared" si="415"/>
        <v>0</v>
      </c>
      <c r="AU560">
        <f t="shared" si="416"/>
        <v>0</v>
      </c>
      <c r="AV560" s="28">
        <f t="shared" si="417"/>
        <v>0</v>
      </c>
      <c r="AW560" s="28">
        <f t="shared" si="418"/>
        <v>0</v>
      </c>
      <c r="AX560" s="23">
        <f>HLOOKUP(YEAR(A560),Assumptions!$A$25:$AL$29,2,TRUE)/100</f>
        <v>1.1332999999999999E-2</v>
      </c>
      <c r="AY560" s="29">
        <f>1/(1+HLOOKUP(YEAR(A560),Assumptions!$A$18:$AL$20,3,TRUE))^(1/12)</f>
        <v>0.99906100631170314</v>
      </c>
      <c r="AZ560" s="26">
        <f t="shared" si="419"/>
        <v>0</v>
      </c>
      <c r="BA560">
        <f t="shared" si="420"/>
        <v>0</v>
      </c>
      <c r="BB560">
        <f t="shared" si="421"/>
        <v>0</v>
      </c>
      <c r="BC560">
        <f t="shared" si="422"/>
        <v>0</v>
      </c>
    </row>
    <row r="561" spans="1:55" x14ac:dyDescent="0.2">
      <c r="A561" s="3">
        <f t="shared" si="394"/>
        <v>59840</v>
      </c>
      <c r="B561">
        <f t="shared" si="391"/>
        <v>563</v>
      </c>
      <c r="C561">
        <f t="shared" si="423"/>
        <v>46.833333333333336</v>
      </c>
      <c r="D561">
        <f t="shared" si="424"/>
        <v>0</v>
      </c>
      <c r="E561">
        <f t="shared" si="392"/>
        <v>102</v>
      </c>
      <c r="F561">
        <f>IF(C561&gt;=$T$2,0,VLOOKUP($E561,'Mortality Table'!$A$3:$C$128,2+AF$2,FALSE))</f>
        <v>0</v>
      </c>
      <c r="G561">
        <f>F561*Assumptions!$B$1</f>
        <v>0</v>
      </c>
      <c r="H561">
        <f t="shared" si="425"/>
        <v>0</v>
      </c>
      <c r="I561">
        <f t="shared" si="426"/>
        <v>0</v>
      </c>
      <c r="J561">
        <f>IF(B561&gt;$AJ$2,0,HLOOKUP(C561,Assumptions!$A$6:$J$7,2,TRUE))</f>
        <v>0</v>
      </c>
      <c r="K561" s="4">
        <f t="shared" si="427"/>
        <v>0</v>
      </c>
      <c r="L561" s="4">
        <f t="shared" si="395"/>
        <v>0</v>
      </c>
      <c r="M561" s="4">
        <f t="shared" si="428"/>
        <v>0</v>
      </c>
      <c r="N561">
        <f t="shared" si="429"/>
        <v>0</v>
      </c>
      <c r="O561" s="21">
        <f t="shared" si="430"/>
        <v>0</v>
      </c>
      <c r="P561">
        <f>IF(B561&gt;$AJ$2,0,HLOOKUP(C561,Assumptions!$A$12:$J$13,2,TRUE))</f>
        <v>0</v>
      </c>
      <c r="Q561">
        <f t="shared" si="431"/>
        <v>0</v>
      </c>
      <c r="R561">
        <f t="shared" si="396"/>
        <v>0</v>
      </c>
      <c r="S561">
        <f t="shared" si="432"/>
        <v>0</v>
      </c>
      <c r="T561">
        <f t="shared" si="433"/>
        <v>0</v>
      </c>
      <c r="U561">
        <f t="shared" si="397"/>
        <v>0</v>
      </c>
      <c r="V561">
        <f t="shared" si="398"/>
        <v>0</v>
      </c>
      <c r="W561">
        <f t="shared" si="399"/>
        <v>0</v>
      </c>
      <c r="X561">
        <f t="shared" si="434"/>
        <v>0</v>
      </c>
      <c r="Y561">
        <f t="shared" si="400"/>
        <v>0</v>
      </c>
      <c r="Z561">
        <f t="shared" si="401"/>
        <v>0</v>
      </c>
      <c r="AA561">
        <f t="shared" si="402"/>
        <v>0</v>
      </c>
      <c r="AB561">
        <f t="shared" si="403"/>
        <v>0</v>
      </c>
      <c r="AC561" s="23">
        <f>IF(B561&gt;$AJ$2,0,HLOOKUP(YEAR(A561),Assumptions!$A$25:$AL$29,4,TRUE)/100)</f>
        <v>0</v>
      </c>
      <c r="AD561">
        <f t="shared" si="404"/>
        <v>0</v>
      </c>
      <c r="AE561">
        <f t="shared" si="405"/>
        <v>0</v>
      </c>
      <c r="AF561">
        <f t="shared" si="406"/>
        <v>0</v>
      </c>
      <c r="AG561">
        <f t="shared" si="407"/>
        <v>0</v>
      </c>
      <c r="AH561">
        <f t="shared" si="408"/>
        <v>0</v>
      </c>
      <c r="AI561">
        <f t="shared" si="409"/>
        <v>0</v>
      </c>
      <c r="AJ561">
        <f t="shared" si="410"/>
        <v>0</v>
      </c>
      <c r="AK561">
        <f t="shared" si="435"/>
        <v>0</v>
      </c>
      <c r="AL561">
        <f t="shared" si="411"/>
        <v>0</v>
      </c>
      <c r="AM561">
        <f t="shared" si="393"/>
        <v>0</v>
      </c>
      <c r="AN561">
        <f>IF($S$2=0,0,(SUMPRODUCT($K$2:$R$2,Assumptions!$B$34:$I$34)/$U$2+$J$2/$U$2*Assumptions!$A$34*G561)*K561*O560)</f>
        <v>0</v>
      </c>
      <c r="AO561">
        <f t="shared" si="412"/>
        <v>0</v>
      </c>
      <c r="AP561">
        <f t="shared" si="413"/>
        <v>0</v>
      </c>
      <c r="AQ561">
        <f>IF(B561&gt;$AJ$2,0,AQ560*(1+Assumptions!$B$43)^(1/12))</f>
        <v>0</v>
      </c>
      <c r="AR561" s="27">
        <f>IF(B561&gt;$AJ$2,0,(O560+R560)*Assumptions!$B$39/12*AQ560+AV561*Assumptions!$B$41/12)</f>
        <v>0</v>
      </c>
      <c r="AS561">
        <f t="shared" si="414"/>
        <v>0</v>
      </c>
      <c r="AT561" s="28">
        <f t="shared" si="415"/>
        <v>0</v>
      </c>
      <c r="AU561">
        <f t="shared" si="416"/>
        <v>0</v>
      </c>
      <c r="AV561" s="28">
        <f t="shared" si="417"/>
        <v>0</v>
      </c>
      <c r="AW561" s="28">
        <f t="shared" si="418"/>
        <v>0</v>
      </c>
      <c r="AX561" s="23">
        <f>HLOOKUP(YEAR(A561),Assumptions!$A$25:$AL$29,2,TRUE)/100</f>
        <v>1.1332999999999999E-2</v>
      </c>
      <c r="AY561" s="29">
        <f>1/(1+HLOOKUP(YEAR(A561),Assumptions!$A$18:$AL$20,3,TRUE))^(1/12)</f>
        <v>0.99906100631170314</v>
      </c>
      <c r="AZ561" s="26">
        <f t="shared" si="419"/>
        <v>0</v>
      </c>
      <c r="BA561">
        <f t="shared" si="420"/>
        <v>0</v>
      </c>
      <c r="BB561">
        <f t="shared" si="421"/>
        <v>0</v>
      </c>
      <c r="BC561">
        <f t="shared" si="422"/>
        <v>0</v>
      </c>
    </row>
    <row r="562" spans="1:55" x14ac:dyDescent="0.2">
      <c r="A562" s="3">
        <f t="shared" si="394"/>
        <v>59870</v>
      </c>
      <c r="B562">
        <f t="shared" si="391"/>
        <v>564</v>
      </c>
      <c r="C562">
        <f t="shared" si="423"/>
        <v>46.916666666666664</v>
      </c>
      <c r="D562">
        <f t="shared" si="424"/>
        <v>0</v>
      </c>
      <c r="E562">
        <f t="shared" si="392"/>
        <v>102</v>
      </c>
      <c r="F562">
        <f>IF(C562&gt;=$T$2,0,VLOOKUP($E562,'Mortality Table'!$A$3:$C$128,2+AF$2,FALSE))</f>
        <v>0</v>
      </c>
      <c r="G562">
        <f>F562*Assumptions!$B$1</f>
        <v>0</v>
      </c>
      <c r="H562">
        <f t="shared" si="425"/>
        <v>0</v>
      </c>
      <c r="I562">
        <f t="shared" si="426"/>
        <v>0</v>
      </c>
      <c r="J562">
        <f>IF(B562&gt;$AJ$2,0,HLOOKUP(C562,Assumptions!$A$6:$J$7,2,TRUE))</f>
        <v>0</v>
      </c>
      <c r="K562" s="4">
        <f t="shared" si="427"/>
        <v>0</v>
      </c>
      <c r="L562" s="4">
        <f t="shared" si="395"/>
        <v>0</v>
      </c>
      <c r="M562" s="4">
        <f t="shared" si="428"/>
        <v>0</v>
      </c>
      <c r="N562">
        <f t="shared" si="429"/>
        <v>0</v>
      </c>
      <c r="O562" s="21">
        <f t="shared" si="430"/>
        <v>0</v>
      </c>
      <c r="P562">
        <f>IF(B562&gt;$AJ$2,0,HLOOKUP(C562,Assumptions!$A$12:$J$13,2,TRUE))</f>
        <v>0</v>
      </c>
      <c r="Q562">
        <f t="shared" si="431"/>
        <v>0</v>
      </c>
      <c r="R562">
        <f t="shared" si="396"/>
        <v>0</v>
      </c>
      <c r="S562">
        <f t="shared" si="432"/>
        <v>0</v>
      </c>
      <c r="T562">
        <f t="shared" si="433"/>
        <v>0</v>
      </c>
      <c r="U562">
        <f t="shared" si="397"/>
        <v>0</v>
      </c>
      <c r="V562">
        <f t="shared" si="398"/>
        <v>0</v>
      </c>
      <c r="W562">
        <f t="shared" si="399"/>
        <v>0</v>
      </c>
      <c r="X562">
        <f t="shared" si="434"/>
        <v>0</v>
      </c>
      <c r="Y562">
        <f t="shared" si="400"/>
        <v>0</v>
      </c>
      <c r="Z562">
        <f t="shared" si="401"/>
        <v>0</v>
      </c>
      <c r="AA562">
        <f t="shared" si="402"/>
        <v>0</v>
      </c>
      <c r="AB562">
        <f t="shared" si="403"/>
        <v>0</v>
      </c>
      <c r="AC562" s="23">
        <f>IF(B562&gt;$AJ$2,0,HLOOKUP(YEAR(A562),Assumptions!$A$25:$AL$29,4,TRUE)/100)</f>
        <v>0</v>
      </c>
      <c r="AD562">
        <f t="shared" si="404"/>
        <v>0</v>
      </c>
      <c r="AE562">
        <f t="shared" si="405"/>
        <v>0</v>
      </c>
      <c r="AF562">
        <f t="shared" si="406"/>
        <v>0</v>
      </c>
      <c r="AG562">
        <f t="shared" si="407"/>
        <v>0</v>
      </c>
      <c r="AH562">
        <f t="shared" si="408"/>
        <v>0</v>
      </c>
      <c r="AI562">
        <f t="shared" si="409"/>
        <v>0</v>
      </c>
      <c r="AJ562">
        <f t="shared" si="410"/>
        <v>0</v>
      </c>
      <c r="AK562">
        <f t="shared" si="435"/>
        <v>0</v>
      </c>
      <c r="AL562">
        <f t="shared" si="411"/>
        <v>0</v>
      </c>
      <c r="AM562">
        <f t="shared" si="393"/>
        <v>0</v>
      </c>
      <c r="AN562">
        <f>IF($S$2=0,0,(SUMPRODUCT($K$2:$R$2,Assumptions!$B$34:$I$34)/$U$2+$J$2/$U$2*Assumptions!$A$34*G562)*K562*O561)</f>
        <v>0</v>
      </c>
      <c r="AO562">
        <f t="shared" si="412"/>
        <v>0</v>
      </c>
      <c r="AP562">
        <f t="shared" si="413"/>
        <v>0</v>
      </c>
      <c r="AQ562">
        <f>IF(B562&gt;$AJ$2,0,AQ561*(1+Assumptions!$B$43)^(1/12))</f>
        <v>0</v>
      </c>
      <c r="AR562" s="27">
        <f>IF(B562&gt;$AJ$2,0,(O561+R561)*Assumptions!$B$39/12*AQ561+AV562*Assumptions!$B$41/12)</f>
        <v>0</v>
      </c>
      <c r="AS562">
        <f t="shared" si="414"/>
        <v>0</v>
      </c>
      <c r="AT562" s="28">
        <f t="shared" si="415"/>
        <v>0</v>
      </c>
      <c r="AU562">
        <f t="shared" si="416"/>
        <v>0</v>
      </c>
      <c r="AV562" s="28">
        <f t="shared" si="417"/>
        <v>0</v>
      </c>
      <c r="AW562" s="28">
        <f t="shared" si="418"/>
        <v>0</v>
      </c>
      <c r="AX562" s="23">
        <f>HLOOKUP(YEAR(A562),Assumptions!$A$25:$AL$29,2,TRUE)/100</f>
        <v>1.1332999999999999E-2</v>
      </c>
      <c r="AY562" s="29">
        <f>1/(1+HLOOKUP(YEAR(A562),Assumptions!$A$18:$AL$20,3,TRUE))^(1/12)</f>
        <v>0.99906100631170314</v>
      </c>
      <c r="AZ562" s="26">
        <f t="shared" si="419"/>
        <v>0</v>
      </c>
      <c r="BA562">
        <f t="shared" si="420"/>
        <v>0</v>
      </c>
      <c r="BB562">
        <f t="shared" si="421"/>
        <v>0</v>
      </c>
      <c r="BC562">
        <f t="shared" si="422"/>
        <v>0</v>
      </c>
    </row>
    <row r="563" spans="1:55" x14ac:dyDescent="0.2">
      <c r="A563" s="3">
        <f t="shared" si="394"/>
        <v>59901</v>
      </c>
      <c r="B563">
        <f t="shared" si="391"/>
        <v>565</v>
      </c>
      <c r="C563">
        <f t="shared" si="423"/>
        <v>47</v>
      </c>
      <c r="D563">
        <f t="shared" si="424"/>
        <v>1</v>
      </c>
      <c r="E563">
        <f t="shared" si="392"/>
        <v>103</v>
      </c>
      <c r="F563">
        <f>IF(C563&gt;=$T$2,0,VLOOKUP($E563,'Mortality Table'!$A$3:$C$128,2+AF$2,FALSE))</f>
        <v>0</v>
      </c>
      <c r="G563">
        <f>F563*Assumptions!$B$1</f>
        <v>0</v>
      </c>
      <c r="H563">
        <f t="shared" si="425"/>
        <v>0</v>
      </c>
      <c r="I563">
        <f t="shared" si="426"/>
        <v>0</v>
      </c>
      <c r="J563">
        <f>IF(B563&gt;$AJ$2,0,HLOOKUP(C563,Assumptions!$A$6:$J$7,2,TRUE))</f>
        <v>0</v>
      </c>
      <c r="K563" s="4">
        <f t="shared" si="427"/>
        <v>0</v>
      </c>
      <c r="L563" s="4">
        <f t="shared" si="395"/>
        <v>0</v>
      </c>
      <c r="M563" s="4">
        <f t="shared" si="428"/>
        <v>0</v>
      </c>
      <c r="N563">
        <f t="shared" si="429"/>
        <v>0</v>
      </c>
      <c r="O563" s="21">
        <f t="shared" si="430"/>
        <v>0</v>
      </c>
      <c r="P563">
        <f>IF(B563&gt;$AJ$2,0,HLOOKUP(C563,Assumptions!$A$12:$J$13,2,TRUE))</f>
        <v>0</v>
      </c>
      <c r="Q563">
        <f t="shared" si="431"/>
        <v>0</v>
      </c>
      <c r="R563">
        <f t="shared" si="396"/>
        <v>0</v>
      </c>
      <c r="S563">
        <f t="shared" si="432"/>
        <v>0</v>
      </c>
      <c r="T563">
        <f t="shared" si="433"/>
        <v>0</v>
      </c>
      <c r="U563">
        <f t="shared" si="397"/>
        <v>0</v>
      </c>
      <c r="V563">
        <f t="shared" si="398"/>
        <v>0</v>
      </c>
      <c r="W563">
        <f t="shared" si="399"/>
        <v>0</v>
      </c>
      <c r="X563">
        <f t="shared" si="434"/>
        <v>0</v>
      </c>
      <c r="Y563">
        <f t="shared" si="400"/>
        <v>0</v>
      </c>
      <c r="Z563">
        <f t="shared" si="401"/>
        <v>0</v>
      </c>
      <c r="AA563">
        <f t="shared" si="402"/>
        <v>0</v>
      </c>
      <c r="AB563">
        <f t="shared" si="403"/>
        <v>0</v>
      </c>
      <c r="AC563" s="23">
        <f>IF(B563&gt;$AJ$2,0,HLOOKUP(YEAR(A563),Assumptions!$A$25:$AL$29,4,TRUE)/100)</f>
        <v>0</v>
      </c>
      <c r="AD563">
        <f t="shared" si="404"/>
        <v>0</v>
      </c>
      <c r="AE563">
        <f t="shared" si="405"/>
        <v>0</v>
      </c>
      <c r="AF563">
        <f t="shared" si="406"/>
        <v>0</v>
      </c>
      <c r="AG563">
        <f t="shared" si="407"/>
        <v>0</v>
      </c>
      <c r="AH563">
        <f t="shared" si="408"/>
        <v>0</v>
      </c>
      <c r="AI563">
        <f t="shared" si="409"/>
        <v>0</v>
      </c>
      <c r="AJ563">
        <f t="shared" si="410"/>
        <v>0</v>
      </c>
      <c r="AK563">
        <f t="shared" si="435"/>
        <v>0</v>
      </c>
      <c r="AL563">
        <f t="shared" si="411"/>
        <v>0</v>
      </c>
      <c r="AM563">
        <f t="shared" si="393"/>
        <v>0</v>
      </c>
      <c r="AN563">
        <f>IF($S$2=0,0,(SUMPRODUCT($K$2:$R$2,Assumptions!$B$34:$I$34)/$U$2+$J$2/$U$2*Assumptions!$A$34*G563)*K563*O562)</f>
        <v>0</v>
      </c>
      <c r="AO563">
        <f t="shared" si="412"/>
        <v>0</v>
      </c>
      <c r="AP563">
        <f t="shared" si="413"/>
        <v>0</v>
      </c>
      <c r="AQ563">
        <f>IF(B563&gt;$AJ$2,0,AQ562*(1+Assumptions!$B$43)^(1/12))</f>
        <v>0</v>
      </c>
      <c r="AR563" s="27">
        <f>IF(B563&gt;$AJ$2,0,(O562+R562)*Assumptions!$B$39/12*AQ562+AV563*Assumptions!$B$41/12)</f>
        <v>0</v>
      </c>
      <c r="AS563">
        <f t="shared" si="414"/>
        <v>0</v>
      </c>
      <c r="AT563" s="28">
        <f t="shared" si="415"/>
        <v>0</v>
      </c>
      <c r="AU563">
        <f t="shared" si="416"/>
        <v>0</v>
      </c>
      <c r="AV563" s="28">
        <f t="shared" si="417"/>
        <v>0</v>
      </c>
      <c r="AW563" s="28">
        <f t="shared" si="418"/>
        <v>0</v>
      </c>
      <c r="AX563" s="23">
        <f>HLOOKUP(YEAR(A563),Assumptions!$A$25:$AL$29,2,TRUE)/100</f>
        <v>1.1332999999999999E-2</v>
      </c>
      <c r="AY563" s="29">
        <f>1/(1+HLOOKUP(YEAR(A563),Assumptions!$A$18:$AL$20,3,TRUE))^(1/12)</f>
        <v>0.99906100631170314</v>
      </c>
      <c r="AZ563" s="26">
        <f t="shared" si="419"/>
        <v>0</v>
      </c>
      <c r="BA563">
        <f t="shared" si="420"/>
        <v>0</v>
      </c>
      <c r="BB563">
        <f t="shared" si="421"/>
        <v>0</v>
      </c>
      <c r="BC563">
        <f t="shared" si="422"/>
        <v>0</v>
      </c>
    </row>
    <row r="564" spans="1:55" x14ac:dyDescent="0.2">
      <c r="A564" s="3">
        <f t="shared" si="394"/>
        <v>59932</v>
      </c>
      <c r="B564">
        <f t="shared" si="391"/>
        <v>566</v>
      </c>
      <c r="C564">
        <f t="shared" si="423"/>
        <v>47.083333333333336</v>
      </c>
      <c r="D564">
        <f t="shared" si="424"/>
        <v>0</v>
      </c>
      <c r="E564">
        <f t="shared" si="392"/>
        <v>103</v>
      </c>
      <c r="F564">
        <f>IF(C564&gt;=$T$2,0,VLOOKUP($E564,'Mortality Table'!$A$3:$C$128,2+AF$2,FALSE))</f>
        <v>0</v>
      </c>
      <c r="G564">
        <f>F564*Assumptions!$B$1</f>
        <v>0</v>
      </c>
      <c r="H564">
        <f t="shared" si="425"/>
        <v>0</v>
      </c>
      <c r="I564">
        <f t="shared" si="426"/>
        <v>0</v>
      </c>
      <c r="J564">
        <f>IF(B564&gt;$AJ$2,0,HLOOKUP(C564,Assumptions!$A$6:$J$7,2,TRUE))</f>
        <v>0</v>
      </c>
      <c r="K564" s="4">
        <f t="shared" si="427"/>
        <v>0</v>
      </c>
      <c r="L564" s="4">
        <f t="shared" si="395"/>
        <v>0</v>
      </c>
      <c r="M564" s="4">
        <f t="shared" si="428"/>
        <v>0</v>
      </c>
      <c r="N564">
        <f t="shared" si="429"/>
        <v>0</v>
      </c>
      <c r="O564" s="21">
        <f t="shared" si="430"/>
        <v>0</v>
      </c>
      <c r="P564">
        <f>IF(B564&gt;$AJ$2,0,HLOOKUP(C564,Assumptions!$A$12:$J$13,2,TRUE))</f>
        <v>0</v>
      </c>
      <c r="Q564">
        <f t="shared" si="431"/>
        <v>0</v>
      </c>
      <c r="R564">
        <f t="shared" si="396"/>
        <v>0</v>
      </c>
      <c r="S564">
        <f t="shared" si="432"/>
        <v>0</v>
      </c>
      <c r="T564">
        <f t="shared" si="433"/>
        <v>0</v>
      </c>
      <c r="U564">
        <f t="shared" si="397"/>
        <v>0</v>
      </c>
      <c r="V564">
        <f t="shared" si="398"/>
        <v>0</v>
      </c>
      <c r="W564">
        <f t="shared" si="399"/>
        <v>0</v>
      </c>
      <c r="X564">
        <f t="shared" si="434"/>
        <v>0</v>
      </c>
      <c r="Y564">
        <f t="shared" si="400"/>
        <v>0</v>
      </c>
      <c r="Z564">
        <f t="shared" si="401"/>
        <v>0</v>
      </c>
      <c r="AA564">
        <f t="shared" si="402"/>
        <v>0</v>
      </c>
      <c r="AB564">
        <f t="shared" si="403"/>
        <v>0</v>
      </c>
      <c r="AC564" s="23">
        <f>IF(B564&gt;$AJ$2,0,HLOOKUP(YEAR(A564),Assumptions!$A$25:$AL$29,4,TRUE)/100)</f>
        <v>0</v>
      </c>
      <c r="AD564">
        <f t="shared" si="404"/>
        <v>0</v>
      </c>
      <c r="AE564">
        <f t="shared" si="405"/>
        <v>0</v>
      </c>
      <c r="AF564">
        <f t="shared" si="406"/>
        <v>0</v>
      </c>
      <c r="AG564">
        <f t="shared" si="407"/>
        <v>0</v>
      </c>
      <c r="AH564">
        <f t="shared" si="408"/>
        <v>0</v>
      </c>
      <c r="AI564">
        <f t="shared" si="409"/>
        <v>0</v>
      </c>
      <c r="AJ564">
        <f t="shared" si="410"/>
        <v>0</v>
      </c>
      <c r="AK564">
        <f t="shared" si="435"/>
        <v>0</v>
      </c>
      <c r="AL564">
        <f t="shared" si="411"/>
        <v>0</v>
      </c>
      <c r="AM564">
        <f t="shared" si="393"/>
        <v>0</v>
      </c>
      <c r="AN564">
        <f>IF($S$2=0,0,(SUMPRODUCT($K$2:$R$2,Assumptions!$B$34:$I$34)/$U$2+$J$2/$U$2*Assumptions!$A$34*G564)*K564*O563)</f>
        <v>0</v>
      </c>
      <c r="AO564">
        <f t="shared" si="412"/>
        <v>0</v>
      </c>
      <c r="AP564">
        <f t="shared" si="413"/>
        <v>0</v>
      </c>
      <c r="AQ564">
        <f>IF(B564&gt;$AJ$2,0,AQ563*(1+Assumptions!$B$43)^(1/12))</f>
        <v>0</v>
      </c>
      <c r="AR564" s="27">
        <f>IF(B564&gt;$AJ$2,0,(O563+R563)*Assumptions!$B$39/12*AQ563+AV564*Assumptions!$B$41/12)</f>
        <v>0</v>
      </c>
      <c r="AS564">
        <f t="shared" si="414"/>
        <v>0</v>
      </c>
      <c r="AT564" s="28">
        <f t="shared" si="415"/>
        <v>0</v>
      </c>
      <c r="AU564">
        <f t="shared" si="416"/>
        <v>0</v>
      </c>
      <c r="AV564" s="28">
        <f t="shared" si="417"/>
        <v>0</v>
      </c>
      <c r="AW564" s="28">
        <f t="shared" si="418"/>
        <v>0</v>
      </c>
      <c r="AX564" s="23">
        <f>HLOOKUP(YEAR(A564),Assumptions!$A$25:$AL$29,2,TRUE)/100</f>
        <v>1.1332999999999999E-2</v>
      </c>
      <c r="AY564" s="29">
        <f>1/(1+HLOOKUP(YEAR(A564),Assumptions!$A$18:$AL$20,3,TRUE))^(1/12)</f>
        <v>0.99906100631170314</v>
      </c>
      <c r="AZ564" s="26">
        <f t="shared" si="419"/>
        <v>0</v>
      </c>
      <c r="BA564">
        <f t="shared" si="420"/>
        <v>0</v>
      </c>
      <c r="BB564">
        <f t="shared" si="421"/>
        <v>0</v>
      </c>
      <c r="BC564">
        <f t="shared" si="422"/>
        <v>0</v>
      </c>
    </row>
    <row r="565" spans="1:55" x14ac:dyDescent="0.2">
      <c r="A565" s="3">
        <f t="shared" si="394"/>
        <v>59961</v>
      </c>
      <c r="B565">
        <f t="shared" si="391"/>
        <v>567</v>
      </c>
      <c r="C565">
        <f t="shared" si="423"/>
        <v>47.166666666666664</v>
      </c>
      <c r="D565">
        <f t="shared" si="424"/>
        <v>0</v>
      </c>
      <c r="E565">
        <f t="shared" si="392"/>
        <v>103</v>
      </c>
      <c r="F565">
        <f>IF(C565&gt;=$T$2,0,VLOOKUP($E565,'Mortality Table'!$A$3:$C$128,2+AF$2,FALSE))</f>
        <v>0</v>
      </c>
      <c r="G565">
        <f>F565*Assumptions!$B$1</f>
        <v>0</v>
      </c>
      <c r="H565">
        <f t="shared" si="425"/>
        <v>0</v>
      </c>
      <c r="I565">
        <f t="shared" si="426"/>
        <v>0</v>
      </c>
      <c r="J565">
        <f>IF(B565&gt;$AJ$2,0,HLOOKUP(C565,Assumptions!$A$6:$J$7,2,TRUE))</f>
        <v>0</v>
      </c>
      <c r="K565" s="4">
        <f t="shared" si="427"/>
        <v>0</v>
      </c>
      <c r="L565" s="4">
        <f t="shared" si="395"/>
        <v>0</v>
      </c>
      <c r="M565" s="4">
        <f t="shared" si="428"/>
        <v>0</v>
      </c>
      <c r="N565">
        <f t="shared" si="429"/>
        <v>0</v>
      </c>
      <c r="O565" s="21">
        <f t="shared" si="430"/>
        <v>0</v>
      </c>
      <c r="P565">
        <f>IF(B565&gt;$AJ$2,0,HLOOKUP(C565,Assumptions!$A$12:$J$13,2,TRUE))</f>
        <v>0</v>
      </c>
      <c r="Q565">
        <f t="shared" si="431"/>
        <v>0</v>
      </c>
      <c r="R565">
        <f t="shared" si="396"/>
        <v>0</v>
      </c>
      <c r="S565">
        <f t="shared" si="432"/>
        <v>0</v>
      </c>
      <c r="T565">
        <f t="shared" si="433"/>
        <v>0</v>
      </c>
      <c r="U565">
        <f t="shared" si="397"/>
        <v>0</v>
      </c>
      <c r="V565">
        <f t="shared" si="398"/>
        <v>0</v>
      </c>
      <c r="W565">
        <f t="shared" si="399"/>
        <v>0</v>
      </c>
      <c r="X565">
        <f t="shared" si="434"/>
        <v>0</v>
      </c>
      <c r="Y565">
        <f t="shared" si="400"/>
        <v>0</v>
      </c>
      <c r="Z565">
        <f t="shared" si="401"/>
        <v>0</v>
      </c>
      <c r="AA565">
        <f t="shared" si="402"/>
        <v>0</v>
      </c>
      <c r="AB565">
        <f t="shared" si="403"/>
        <v>0</v>
      </c>
      <c r="AC565" s="23">
        <f>IF(B565&gt;$AJ$2,0,HLOOKUP(YEAR(A565),Assumptions!$A$25:$AL$29,4,TRUE)/100)</f>
        <v>0</v>
      </c>
      <c r="AD565">
        <f t="shared" si="404"/>
        <v>0</v>
      </c>
      <c r="AE565">
        <f t="shared" si="405"/>
        <v>0</v>
      </c>
      <c r="AF565">
        <f t="shared" si="406"/>
        <v>0</v>
      </c>
      <c r="AG565">
        <f t="shared" si="407"/>
        <v>0</v>
      </c>
      <c r="AH565">
        <f t="shared" si="408"/>
        <v>0</v>
      </c>
      <c r="AI565">
        <f t="shared" si="409"/>
        <v>0</v>
      </c>
      <c r="AJ565">
        <f t="shared" si="410"/>
        <v>0</v>
      </c>
      <c r="AK565">
        <f t="shared" si="435"/>
        <v>0</v>
      </c>
      <c r="AL565">
        <f t="shared" si="411"/>
        <v>0</v>
      </c>
      <c r="AM565">
        <f t="shared" si="393"/>
        <v>0</v>
      </c>
      <c r="AN565">
        <f>IF($S$2=0,0,(SUMPRODUCT($K$2:$R$2,Assumptions!$B$34:$I$34)/$U$2+$J$2/$U$2*Assumptions!$A$34*G565)*K565*O564)</f>
        <v>0</v>
      </c>
      <c r="AO565">
        <f t="shared" si="412"/>
        <v>0</v>
      </c>
      <c r="AP565">
        <f t="shared" si="413"/>
        <v>0</v>
      </c>
      <c r="AQ565">
        <f>IF(B565&gt;$AJ$2,0,AQ564*(1+Assumptions!$B$43)^(1/12))</f>
        <v>0</v>
      </c>
      <c r="AR565" s="27">
        <f>IF(B565&gt;$AJ$2,0,(O564+R564)*Assumptions!$B$39/12*AQ564+AV565*Assumptions!$B$41/12)</f>
        <v>0</v>
      </c>
      <c r="AS565">
        <f t="shared" si="414"/>
        <v>0</v>
      </c>
      <c r="AT565" s="28">
        <f t="shared" si="415"/>
        <v>0</v>
      </c>
      <c r="AU565">
        <f t="shared" si="416"/>
        <v>0</v>
      </c>
      <c r="AV565" s="28">
        <f t="shared" si="417"/>
        <v>0</v>
      </c>
      <c r="AW565" s="28">
        <f t="shared" si="418"/>
        <v>0</v>
      </c>
      <c r="AX565" s="23">
        <f>HLOOKUP(YEAR(A565),Assumptions!$A$25:$AL$29,2,TRUE)/100</f>
        <v>1.1332999999999999E-2</v>
      </c>
      <c r="AY565" s="29">
        <f>1/(1+HLOOKUP(YEAR(A565),Assumptions!$A$18:$AL$20,3,TRUE))^(1/12)</f>
        <v>0.99906100631170314</v>
      </c>
      <c r="AZ565" s="26">
        <f t="shared" si="419"/>
        <v>0</v>
      </c>
      <c r="BA565">
        <f t="shared" si="420"/>
        <v>0</v>
      </c>
      <c r="BB565">
        <f t="shared" si="421"/>
        <v>0</v>
      </c>
      <c r="BC565">
        <f t="shared" si="422"/>
        <v>0</v>
      </c>
    </row>
    <row r="566" spans="1:55" x14ac:dyDescent="0.2">
      <c r="A566" s="3">
        <f t="shared" si="394"/>
        <v>59992</v>
      </c>
      <c r="B566">
        <f t="shared" si="391"/>
        <v>568</v>
      </c>
      <c r="C566">
        <f t="shared" si="423"/>
        <v>47.25</v>
      </c>
      <c r="D566">
        <f t="shared" si="424"/>
        <v>0</v>
      </c>
      <c r="E566">
        <f t="shared" si="392"/>
        <v>103</v>
      </c>
      <c r="F566">
        <f>IF(C566&gt;=$T$2,0,VLOOKUP($E566,'Mortality Table'!$A$3:$C$128,2+AF$2,FALSE))</f>
        <v>0</v>
      </c>
      <c r="G566">
        <f>F566*Assumptions!$B$1</f>
        <v>0</v>
      </c>
      <c r="H566">
        <f t="shared" si="425"/>
        <v>0</v>
      </c>
      <c r="I566">
        <f t="shared" si="426"/>
        <v>0</v>
      </c>
      <c r="J566">
        <f>IF(B566&gt;$AJ$2,0,HLOOKUP(C566,Assumptions!$A$6:$J$7,2,TRUE))</f>
        <v>0</v>
      </c>
      <c r="K566" s="4">
        <f t="shared" si="427"/>
        <v>0</v>
      </c>
      <c r="L566" s="4">
        <f t="shared" si="395"/>
        <v>0</v>
      </c>
      <c r="M566" s="4">
        <f t="shared" si="428"/>
        <v>0</v>
      </c>
      <c r="N566">
        <f t="shared" si="429"/>
        <v>0</v>
      </c>
      <c r="O566" s="21">
        <f t="shared" si="430"/>
        <v>0</v>
      </c>
      <c r="P566">
        <f>IF(B566&gt;$AJ$2,0,HLOOKUP(C566,Assumptions!$A$12:$J$13,2,TRUE))</f>
        <v>0</v>
      </c>
      <c r="Q566">
        <f t="shared" si="431"/>
        <v>0</v>
      </c>
      <c r="R566">
        <f t="shared" si="396"/>
        <v>0</v>
      </c>
      <c r="S566">
        <f t="shared" si="432"/>
        <v>0</v>
      </c>
      <c r="T566">
        <f t="shared" si="433"/>
        <v>0</v>
      </c>
      <c r="U566">
        <f t="shared" si="397"/>
        <v>0</v>
      </c>
      <c r="V566">
        <f t="shared" si="398"/>
        <v>0</v>
      </c>
      <c r="W566">
        <f t="shared" si="399"/>
        <v>0</v>
      </c>
      <c r="X566">
        <f t="shared" si="434"/>
        <v>0</v>
      </c>
      <c r="Y566">
        <f t="shared" si="400"/>
        <v>0</v>
      </c>
      <c r="Z566">
        <f t="shared" si="401"/>
        <v>0</v>
      </c>
      <c r="AA566">
        <f t="shared" si="402"/>
        <v>0</v>
      </c>
      <c r="AB566">
        <f t="shared" si="403"/>
        <v>0</v>
      </c>
      <c r="AC566" s="23">
        <f>IF(B566&gt;$AJ$2,0,HLOOKUP(YEAR(A566),Assumptions!$A$25:$AL$29,4,TRUE)/100)</f>
        <v>0</v>
      </c>
      <c r="AD566">
        <f t="shared" si="404"/>
        <v>0</v>
      </c>
      <c r="AE566">
        <f t="shared" si="405"/>
        <v>0</v>
      </c>
      <c r="AF566">
        <f t="shared" si="406"/>
        <v>0</v>
      </c>
      <c r="AG566">
        <f t="shared" si="407"/>
        <v>0</v>
      </c>
      <c r="AH566">
        <f t="shared" si="408"/>
        <v>0</v>
      </c>
      <c r="AI566">
        <f t="shared" si="409"/>
        <v>0</v>
      </c>
      <c r="AJ566">
        <f t="shared" si="410"/>
        <v>0</v>
      </c>
      <c r="AK566">
        <f t="shared" si="435"/>
        <v>0</v>
      </c>
      <c r="AL566">
        <f t="shared" si="411"/>
        <v>0</v>
      </c>
      <c r="AM566">
        <f t="shared" si="393"/>
        <v>0</v>
      </c>
      <c r="AN566">
        <f>IF($S$2=0,0,(SUMPRODUCT($K$2:$R$2,Assumptions!$B$34:$I$34)/$U$2+$J$2/$U$2*Assumptions!$A$34*G566)*K566*O565)</f>
        <v>0</v>
      </c>
      <c r="AO566">
        <f t="shared" si="412"/>
        <v>0</v>
      </c>
      <c r="AP566">
        <f t="shared" si="413"/>
        <v>0</v>
      </c>
      <c r="AQ566">
        <f>IF(B566&gt;$AJ$2,0,AQ565*(1+Assumptions!$B$43)^(1/12))</f>
        <v>0</v>
      </c>
      <c r="AR566" s="27">
        <f>IF(B566&gt;$AJ$2,0,(O565+R565)*Assumptions!$B$39/12*AQ565+AV566*Assumptions!$B$41/12)</f>
        <v>0</v>
      </c>
      <c r="AS566">
        <f t="shared" si="414"/>
        <v>0</v>
      </c>
      <c r="AT566" s="28">
        <f t="shared" si="415"/>
        <v>0</v>
      </c>
      <c r="AU566">
        <f t="shared" si="416"/>
        <v>0</v>
      </c>
      <c r="AV566" s="28">
        <f t="shared" si="417"/>
        <v>0</v>
      </c>
      <c r="AW566" s="28">
        <f t="shared" si="418"/>
        <v>0</v>
      </c>
      <c r="AX566" s="23">
        <f>HLOOKUP(YEAR(A566),Assumptions!$A$25:$AL$29,2,TRUE)/100</f>
        <v>1.1332999999999999E-2</v>
      </c>
      <c r="AY566" s="29">
        <f>1/(1+HLOOKUP(YEAR(A566),Assumptions!$A$18:$AL$20,3,TRUE))^(1/12)</f>
        <v>0.99906100631170314</v>
      </c>
      <c r="AZ566" s="26">
        <f t="shared" si="419"/>
        <v>0</v>
      </c>
      <c r="BA566">
        <f t="shared" si="420"/>
        <v>0</v>
      </c>
      <c r="BB566">
        <f t="shared" si="421"/>
        <v>0</v>
      </c>
      <c r="BC566">
        <f t="shared" si="422"/>
        <v>0</v>
      </c>
    </row>
    <row r="567" spans="1:55" x14ac:dyDescent="0.2">
      <c r="A567" s="3">
        <f t="shared" si="394"/>
        <v>60022</v>
      </c>
      <c r="B567">
        <f t="shared" si="391"/>
        <v>569</v>
      </c>
      <c r="C567">
        <f t="shared" si="423"/>
        <v>47.333333333333336</v>
      </c>
      <c r="D567">
        <f t="shared" si="424"/>
        <v>0</v>
      </c>
      <c r="E567">
        <f t="shared" si="392"/>
        <v>103</v>
      </c>
      <c r="F567">
        <f>IF(C567&gt;=$T$2,0,VLOOKUP($E567,'Mortality Table'!$A$3:$C$128,2+AF$2,FALSE))</f>
        <v>0</v>
      </c>
      <c r="G567">
        <f>F567*Assumptions!$B$1</f>
        <v>0</v>
      </c>
      <c r="H567">
        <f t="shared" si="425"/>
        <v>0</v>
      </c>
      <c r="I567">
        <f t="shared" si="426"/>
        <v>0</v>
      </c>
      <c r="J567">
        <f>IF(B567&gt;$AJ$2,0,HLOOKUP(C567,Assumptions!$A$6:$J$7,2,TRUE))</f>
        <v>0</v>
      </c>
      <c r="K567" s="4">
        <f t="shared" si="427"/>
        <v>0</v>
      </c>
      <c r="L567" s="4">
        <f t="shared" si="395"/>
        <v>0</v>
      </c>
      <c r="M567" s="4">
        <f t="shared" si="428"/>
        <v>0</v>
      </c>
      <c r="N567">
        <f t="shared" si="429"/>
        <v>0</v>
      </c>
      <c r="O567" s="21">
        <f t="shared" si="430"/>
        <v>0</v>
      </c>
      <c r="P567">
        <f>IF(B567&gt;$AJ$2,0,HLOOKUP(C567,Assumptions!$A$12:$J$13,2,TRUE))</f>
        <v>0</v>
      </c>
      <c r="Q567">
        <f t="shared" si="431"/>
        <v>0</v>
      </c>
      <c r="R567">
        <f t="shared" si="396"/>
        <v>0</v>
      </c>
      <c r="S567">
        <f t="shared" si="432"/>
        <v>0</v>
      </c>
      <c r="T567">
        <f t="shared" si="433"/>
        <v>0</v>
      </c>
      <c r="U567">
        <f t="shared" si="397"/>
        <v>0</v>
      </c>
      <c r="V567">
        <f t="shared" si="398"/>
        <v>0</v>
      </c>
      <c r="W567">
        <f t="shared" si="399"/>
        <v>0</v>
      </c>
      <c r="X567">
        <f t="shared" si="434"/>
        <v>0</v>
      </c>
      <c r="Y567">
        <f t="shared" si="400"/>
        <v>0</v>
      </c>
      <c r="Z567">
        <f t="shared" si="401"/>
        <v>0</v>
      </c>
      <c r="AA567">
        <f t="shared" si="402"/>
        <v>0</v>
      </c>
      <c r="AB567">
        <f t="shared" si="403"/>
        <v>0</v>
      </c>
      <c r="AC567" s="23">
        <f>IF(B567&gt;$AJ$2,0,HLOOKUP(YEAR(A567),Assumptions!$A$25:$AL$29,4,TRUE)/100)</f>
        <v>0</v>
      </c>
      <c r="AD567">
        <f t="shared" si="404"/>
        <v>0</v>
      </c>
      <c r="AE567">
        <f t="shared" si="405"/>
        <v>0</v>
      </c>
      <c r="AF567">
        <f t="shared" si="406"/>
        <v>0</v>
      </c>
      <c r="AG567">
        <f t="shared" si="407"/>
        <v>0</v>
      </c>
      <c r="AH567">
        <f t="shared" si="408"/>
        <v>0</v>
      </c>
      <c r="AI567">
        <f t="shared" si="409"/>
        <v>0</v>
      </c>
      <c r="AJ567">
        <f t="shared" si="410"/>
        <v>0</v>
      </c>
      <c r="AK567">
        <f t="shared" si="435"/>
        <v>0</v>
      </c>
      <c r="AL567">
        <f t="shared" si="411"/>
        <v>0</v>
      </c>
      <c r="AM567">
        <f t="shared" si="393"/>
        <v>0</v>
      </c>
      <c r="AN567">
        <f>IF($S$2=0,0,(SUMPRODUCT($K$2:$R$2,Assumptions!$B$34:$I$34)/$U$2+$J$2/$U$2*Assumptions!$A$34*G567)*K567*O566)</f>
        <v>0</v>
      </c>
      <c r="AO567">
        <f t="shared" si="412"/>
        <v>0</v>
      </c>
      <c r="AP567">
        <f t="shared" si="413"/>
        <v>0</v>
      </c>
      <c r="AQ567">
        <f>IF(B567&gt;$AJ$2,0,AQ566*(1+Assumptions!$B$43)^(1/12))</f>
        <v>0</v>
      </c>
      <c r="AR567" s="27">
        <f>IF(B567&gt;$AJ$2,0,(O566+R566)*Assumptions!$B$39/12*AQ566+AV567*Assumptions!$B$41/12)</f>
        <v>0</v>
      </c>
      <c r="AS567">
        <f t="shared" si="414"/>
        <v>0</v>
      </c>
      <c r="AT567" s="28">
        <f t="shared" si="415"/>
        <v>0</v>
      </c>
      <c r="AU567">
        <f t="shared" si="416"/>
        <v>0</v>
      </c>
      <c r="AV567" s="28">
        <f t="shared" si="417"/>
        <v>0</v>
      </c>
      <c r="AW567" s="28">
        <f t="shared" si="418"/>
        <v>0</v>
      </c>
      <c r="AX567" s="23">
        <f>HLOOKUP(YEAR(A567),Assumptions!$A$25:$AL$29,2,TRUE)/100</f>
        <v>1.1332999999999999E-2</v>
      </c>
      <c r="AY567" s="29">
        <f>1/(1+HLOOKUP(YEAR(A567),Assumptions!$A$18:$AL$20,3,TRUE))^(1/12)</f>
        <v>0.99906100631170314</v>
      </c>
      <c r="AZ567" s="26">
        <f t="shared" si="419"/>
        <v>0</v>
      </c>
      <c r="BA567">
        <f t="shared" si="420"/>
        <v>0</v>
      </c>
      <c r="BB567">
        <f t="shared" si="421"/>
        <v>0</v>
      </c>
      <c r="BC567">
        <f t="shared" si="422"/>
        <v>0</v>
      </c>
    </row>
    <row r="568" spans="1:55" x14ac:dyDescent="0.2">
      <c r="A568" s="3">
        <f t="shared" si="394"/>
        <v>60053</v>
      </c>
      <c r="B568">
        <f t="shared" si="391"/>
        <v>570</v>
      </c>
      <c r="C568">
        <f t="shared" si="423"/>
        <v>47.416666666666664</v>
      </c>
      <c r="D568">
        <f t="shared" si="424"/>
        <v>0</v>
      </c>
      <c r="E568">
        <f t="shared" si="392"/>
        <v>103</v>
      </c>
      <c r="F568">
        <f>IF(C568&gt;=$T$2,0,VLOOKUP($E568,'Mortality Table'!$A$3:$C$128,2+AF$2,FALSE))</f>
        <v>0</v>
      </c>
      <c r="G568">
        <f>F568*Assumptions!$B$1</f>
        <v>0</v>
      </c>
      <c r="H568">
        <f t="shared" si="425"/>
        <v>0</v>
      </c>
      <c r="I568">
        <f t="shared" si="426"/>
        <v>0</v>
      </c>
      <c r="J568">
        <f>IF(B568&gt;$AJ$2,0,HLOOKUP(C568,Assumptions!$A$6:$J$7,2,TRUE))</f>
        <v>0</v>
      </c>
      <c r="K568" s="4">
        <f t="shared" si="427"/>
        <v>0</v>
      </c>
      <c r="L568" s="4">
        <f t="shared" si="395"/>
        <v>0</v>
      </c>
      <c r="M568" s="4">
        <f t="shared" si="428"/>
        <v>0</v>
      </c>
      <c r="N568">
        <f t="shared" si="429"/>
        <v>0</v>
      </c>
      <c r="O568" s="21">
        <f t="shared" si="430"/>
        <v>0</v>
      </c>
      <c r="P568">
        <f>IF(B568&gt;$AJ$2,0,HLOOKUP(C568,Assumptions!$A$12:$J$13,2,TRUE))</f>
        <v>0</v>
      </c>
      <c r="Q568">
        <f t="shared" si="431"/>
        <v>0</v>
      </c>
      <c r="R568">
        <f t="shared" si="396"/>
        <v>0</v>
      </c>
      <c r="S568">
        <f t="shared" si="432"/>
        <v>0</v>
      </c>
      <c r="T568">
        <f t="shared" si="433"/>
        <v>0</v>
      </c>
      <c r="U568">
        <f t="shared" si="397"/>
        <v>0</v>
      </c>
      <c r="V568">
        <f t="shared" si="398"/>
        <v>0</v>
      </c>
      <c r="W568">
        <f t="shared" si="399"/>
        <v>0</v>
      </c>
      <c r="X568">
        <f t="shared" si="434"/>
        <v>0</v>
      </c>
      <c r="Y568">
        <f t="shared" si="400"/>
        <v>0</v>
      </c>
      <c r="Z568">
        <f t="shared" si="401"/>
        <v>0</v>
      </c>
      <c r="AA568">
        <f t="shared" si="402"/>
        <v>0</v>
      </c>
      <c r="AB568">
        <f t="shared" si="403"/>
        <v>0</v>
      </c>
      <c r="AC568" s="23">
        <f>IF(B568&gt;$AJ$2,0,HLOOKUP(YEAR(A568),Assumptions!$A$25:$AL$29,4,TRUE)/100)</f>
        <v>0</v>
      </c>
      <c r="AD568">
        <f t="shared" si="404"/>
        <v>0</v>
      </c>
      <c r="AE568">
        <f t="shared" si="405"/>
        <v>0</v>
      </c>
      <c r="AF568">
        <f t="shared" si="406"/>
        <v>0</v>
      </c>
      <c r="AG568">
        <f t="shared" si="407"/>
        <v>0</v>
      </c>
      <c r="AH568">
        <f t="shared" si="408"/>
        <v>0</v>
      </c>
      <c r="AI568">
        <f t="shared" si="409"/>
        <v>0</v>
      </c>
      <c r="AJ568">
        <f t="shared" si="410"/>
        <v>0</v>
      </c>
      <c r="AK568">
        <f t="shared" si="435"/>
        <v>0</v>
      </c>
      <c r="AL568">
        <f t="shared" si="411"/>
        <v>0</v>
      </c>
      <c r="AM568">
        <f t="shared" si="393"/>
        <v>0</v>
      </c>
      <c r="AN568">
        <f>IF($S$2=0,0,(SUMPRODUCT($K$2:$R$2,Assumptions!$B$34:$I$34)/$U$2+$J$2/$U$2*Assumptions!$A$34*G568)*K568*O567)</f>
        <v>0</v>
      </c>
      <c r="AO568">
        <f t="shared" si="412"/>
        <v>0</v>
      </c>
      <c r="AP568">
        <f t="shared" si="413"/>
        <v>0</v>
      </c>
      <c r="AQ568">
        <f>IF(B568&gt;$AJ$2,0,AQ567*(1+Assumptions!$B$43)^(1/12))</f>
        <v>0</v>
      </c>
      <c r="AR568" s="27">
        <f>IF(B568&gt;$AJ$2,0,(O567+R567)*Assumptions!$B$39/12*AQ567+AV568*Assumptions!$B$41/12)</f>
        <v>0</v>
      </c>
      <c r="AS568">
        <f t="shared" si="414"/>
        <v>0</v>
      </c>
      <c r="AT568" s="28">
        <f t="shared" si="415"/>
        <v>0</v>
      </c>
      <c r="AU568">
        <f t="shared" si="416"/>
        <v>0</v>
      </c>
      <c r="AV568" s="28">
        <f t="shared" si="417"/>
        <v>0</v>
      </c>
      <c r="AW568" s="28">
        <f t="shared" si="418"/>
        <v>0</v>
      </c>
      <c r="AX568" s="23">
        <f>HLOOKUP(YEAR(A568),Assumptions!$A$25:$AL$29,2,TRUE)/100</f>
        <v>1.1332999999999999E-2</v>
      </c>
      <c r="AY568" s="29">
        <f>1/(1+HLOOKUP(YEAR(A568),Assumptions!$A$18:$AL$20,3,TRUE))^(1/12)</f>
        <v>0.99906100631170314</v>
      </c>
      <c r="AZ568" s="26">
        <f t="shared" si="419"/>
        <v>0</v>
      </c>
      <c r="BA568">
        <f t="shared" si="420"/>
        <v>0</v>
      </c>
      <c r="BB568">
        <f t="shared" si="421"/>
        <v>0</v>
      </c>
      <c r="BC568">
        <f t="shared" si="422"/>
        <v>0</v>
      </c>
    </row>
    <row r="569" spans="1:55" x14ac:dyDescent="0.2">
      <c r="A569" s="3">
        <f t="shared" si="394"/>
        <v>60083</v>
      </c>
      <c r="B569">
        <f t="shared" si="391"/>
        <v>571</v>
      </c>
      <c r="C569">
        <f t="shared" si="423"/>
        <v>47.5</v>
      </c>
      <c r="D569">
        <f t="shared" si="424"/>
        <v>0</v>
      </c>
      <c r="E569">
        <f t="shared" si="392"/>
        <v>103</v>
      </c>
      <c r="F569">
        <f>IF(C569&gt;=$T$2,0,VLOOKUP($E569,'Mortality Table'!$A$3:$C$128,2+AF$2,FALSE))</f>
        <v>0</v>
      </c>
      <c r="G569">
        <f>F569*Assumptions!$B$1</f>
        <v>0</v>
      </c>
      <c r="H569">
        <f t="shared" si="425"/>
        <v>0</v>
      </c>
      <c r="I569">
        <f t="shared" si="426"/>
        <v>0</v>
      </c>
      <c r="J569">
        <f>IF(B569&gt;$AJ$2,0,HLOOKUP(C569,Assumptions!$A$6:$J$7,2,TRUE))</f>
        <v>0</v>
      </c>
      <c r="K569" s="4">
        <f t="shared" si="427"/>
        <v>0</v>
      </c>
      <c r="L569" s="4">
        <f t="shared" si="395"/>
        <v>0</v>
      </c>
      <c r="M569" s="4">
        <f t="shared" si="428"/>
        <v>0</v>
      </c>
      <c r="N569">
        <f t="shared" si="429"/>
        <v>0</v>
      </c>
      <c r="O569" s="21">
        <f t="shared" si="430"/>
        <v>0</v>
      </c>
      <c r="P569">
        <f>IF(B569&gt;$AJ$2,0,HLOOKUP(C569,Assumptions!$A$12:$J$13,2,TRUE))</f>
        <v>0</v>
      </c>
      <c r="Q569">
        <f t="shared" si="431"/>
        <v>0</v>
      </c>
      <c r="R569">
        <f t="shared" si="396"/>
        <v>0</v>
      </c>
      <c r="S569">
        <f t="shared" si="432"/>
        <v>0</v>
      </c>
      <c r="T569">
        <f t="shared" si="433"/>
        <v>0</v>
      </c>
      <c r="U569">
        <f t="shared" si="397"/>
        <v>0</v>
      </c>
      <c r="V569">
        <f t="shared" si="398"/>
        <v>0</v>
      </c>
      <c r="W569">
        <f t="shared" si="399"/>
        <v>0</v>
      </c>
      <c r="X569">
        <f t="shared" si="434"/>
        <v>0</v>
      </c>
      <c r="Y569">
        <f t="shared" si="400"/>
        <v>0</v>
      </c>
      <c r="Z569">
        <f t="shared" si="401"/>
        <v>0</v>
      </c>
      <c r="AA569">
        <f t="shared" si="402"/>
        <v>0</v>
      </c>
      <c r="AB569">
        <f t="shared" si="403"/>
        <v>0</v>
      </c>
      <c r="AC569" s="23">
        <f>IF(B569&gt;$AJ$2,0,HLOOKUP(YEAR(A569),Assumptions!$A$25:$AL$29,4,TRUE)/100)</f>
        <v>0</v>
      </c>
      <c r="AD569">
        <f t="shared" si="404"/>
        <v>0</v>
      </c>
      <c r="AE569">
        <f t="shared" si="405"/>
        <v>0</v>
      </c>
      <c r="AF569">
        <f t="shared" si="406"/>
        <v>0</v>
      </c>
      <c r="AG569">
        <f t="shared" si="407"/>
        <v>0</v>
      </c>
      <c r="AH569">
        <f t="shared" si="408"/>
        <v>0</v>
      </c>
      <c r="AI569">
        <f t="shared" si="409"/>
        <v>0</v>
      </c>
      <c r="AJ569">
        <f t="shared" si="410"/>
        <v>0</v>
      </c>
      <c r="AK569">
        <f t="shared" si="435"/>
        <v>0</v>
      </c>
      <c r="AL569">
        <f t="shared" si="411"/>
        <v>0</v>
      </c>
      <c r="AM569">
        <f t="shared" si="393"/>
        <v>0</v>
      </c>
      <c r="AN569">
        <f>IF($S$2=0,0,(SUMPRODUCT($K$2:$R$2,Assumptions!$B$34:$I$34)/$U$2+$J$2/$U$2*Assumptions!$A$34*G569)*K569*O568)</f>
        <v>0</v>
      </c>
      <c r="AO569">
        <f t="shared" si="412"/>
        <v>0</v>
      </c>
      <c r="AP569">
        <f t="shared" si="413"/>
        <v>0</v>
      </c>
      <c r="AQ569">
        <f>IF(B569&gt;$AJ$2,0,AQ568*(1+Assumptions!$B$43)^(1/12))</f>
        <v>0</v>
      </c>
      <c r="AR569" s="27">
        <f>IF(B569&gt;$AJ$2,0,(O568+R568)*Assumptions!$B$39/12*AQ568+AV569*Assumptions!$B$41/12)</f>
        <v>0</v>
      </c>
      <c r="AS569">
        <f t="shared" si="414"/>
        <v>0</v>
      </c>
      <c r="AT569" s="28">
        <f t="shared" si="415"/>
        <v>0</v>
      </c>
      <c r="AU569">
        <f t="shared" si="416"/>
        <v>0</v>
      </c>
      <c r="AV569" s="28">
        <f t="shared" si="417"/>
        <v>0</v>
      </c>
      <c r="AW569" s="28">
        <f t="shared" si="418"/>
        <v>0</v>
      </c>
      <c r="AX569" s="23">
        <f>HLOOKUP(YEAR(A569),Assumptions!$A$25:$AL$29,2,TRUE)/100</f>
        <v>1.1332999999999999E-2</v>
      </c>
      <c r="AY569" s="29">
        <f>1/(1+HLOOKUP(YEAR(A569),Assumptions!$A$18:$AL$20,3,TRUE))^(1/12)</f>
        <v>0.99906100631170314</v>
      </c>
      <c r="AZ569" s="26">
        <f t="shared" si="419"/>
        <v>0</v>
      </c>
      <c r="BA569">
        <f t="shared" si="420"/>
        <v>0</v>
      </c>
      <c r="BB569">
        <f t="shared" si="421"/>
        <v>0</v>
      </c>
      <c r="BC569">
        <f t="shared" si="422"/>
        <v>0</v>
      </c>
    </row>
    <row r="570" spans="1:55" x14ac:dyDescent="0.2">
      <c r="A570" s="3">
        <f t="shared" si="394"/>
        <v>60114</v>
      </c>
      <c r="B570">
        <f t="shared" si="391"/>
        <v>572</v>
      </c>
      <c r="C570">
        <f t="shared" si="423"/>
        <v>47.583333333333336</v>
      </c>
      <c r="D570">
        <f t="shared" si="424"/>
        <v>0</v>
      </c>
      <c r="E570">
        <f t="shared" si="392"/>
        <v>103</v>
      </c>
      <c r="F570">
        <f>IF(C570&gt;=$T$2,0,VLOOKUP($E570,'Mortality Table'!$A$3:$C$128,2+AF$2,FALSE))</f>
        <v>0</v>
      </c>
      <c r="G570">
        <f>F570*Assumptions!$B$1</f>
        <v>0</v>
      </c>
      <c r="H570">
        <f t="shared" si="425"/>
        <v>0</v>
      </c>
      <c r="I570">
        <f t="shared" si="426"/>
        <v>0</v>
      </c>
      <c r="J570">
        <f>IF(B570&gt;$AJ$2,0,HLOOKUP(C570,Assumptions!$A$6:$J$7,2,TRUE))</f>
        <v>0</v>
      </c>
      <c r="K570" s="4">
        <f t="shared" si="427"/>
        <v>0</v>
      </c>
      <c r="L570" s="4">
        <f t="shared" si="395"/>
        <v>0</v>
      </c>
      <c r="M570" s="4">
        <f t="shared" si="428"/>
        <v>0</v>
      </c>
      <c r="N570">
        <f t="shared" si="429"/>
        <v>0</v>
      </c>
      <c r="O570" s="21">
        <f t="shared" si="430"/>
        <v>0</v>
      </c>
      <c r="P570">
        <f>IF(B570&gt;$AJ$2,0,HLOOKUP(C570,Assumptions!$A$12:$J$13,2,TRUE))</f>
        <v>0</v>
      </c>
      <c r="Q570">
        <f t="shared" si="431"/>
        <v>0</v>
      </c>
      <c r="R570">
        <f t="shared" si="396"/>
        <v>0</v>
      </c>
      <c r="S570">
        <f t="shared" si="432"/>
        <v>0</v>
      </c>
      <c r="T570">
        <f t="shared" si="433"/>
        <v>0</v>
      </c>
      <c r="U570">
        <f t="shared" si="397"/>
        <v>0</v>
      </c>
      <c r="V570">
        <f t="shared" si="398"/>
        <v>0</v>
      </c>
      <c r="W570">
        <f t="shared" si="399"/>
        <v>0</v>
      </c>
      <c r="X570">
        <f t="shared" si="434"/>
        <v>0</v>
      </c>
      <c r="Y570">
        <f t="shared" si="400"/>
        <v>0</v>
      </c>
      <c r="Z570">
        <f t="shared" si="401"/>
        <v>0</v>
      </c>
      <c r="AA570">
        <f t="shared" si="402"/>
        <v>0</v>
      </c>
      <c r="AB570">
        <f t="shared" si="403"/>
        <v>0</v>
      </c>
      <c r="AC570" s="23">
        <f>IF(B570&gt;$AJ$2,0,HLOOKUP(YEAR(A570),Assumptions!$A$25:$AL$29,4,TRUE)/100)</f>
        <v>0</v>
      </c>
      <c r="AD570">
        <f t="shared" si="404"/>
        <v>0</v>
      </c>
      <c r="AE570">
        <f t="shared" si="405"/>
        <v>0</v>
      </c>
      <c r="AF570">
        <f t="shared" si="406"/>
        <v>0</v>
      </c>
      <c r="AG570">
        <f t="shared" si="407"/>
        <v>0</v>
      </c>
      <c r="AH570">
        <f t="shared" si="408"/>
        <v>0</v>
      </c>
      <c r="AI570">
        <f t="shared" si="409"/>
        <v>0</v>
      </c>
      <c r="AJ570">
        <f t="shared" si="410"/>
        <v>0</v>
      </c>
      <c r="AK570">
        <f t="shared" si="435"/>
        <v>0</v>
      </c>
      <c r="AL570">
        <f t="shared" si="411"/>
        <v>0</v>
      </c>
      <c r="AM570">
        <f t="shared" si="393"/>
        <v>0</v>
      </c>
      <c r="AN570">
        <f>IF($S$2=0,0,(SUMPRODUCT($K$2:$R$2,Assumptions!$B$34:$I$34)/$U$2+$J$2/$U$2*Assumptions!$A$34*G570)*K570*O569)</f>
        <v>0</v>
      </c>
      <c r="AO570">
        <f t="shared" si="412"/>
        <v>0</v>
      </c>
      <c r="AP570">
        <f t="shared" si="413"/>
        <v>0</v>
      </c>
      <c r="AQ570">
        <f>IF(B570&gt;$AJ$2,0,AQ569*(1+Assumptions!$B$43)^(1/12))</f>
        <v>0</v>
      </c>
      <c r="AR570" s="27">
        <f>IF(B570&gt;$AJ$2,0,(O569+R569)*Assumptions!$B$39/12*AQ569+AV570*Assumptions!$B$41/12)</f>
        <v>0</v>
      </c>
      <c r="AS570">
        <f t="shared" si="414"/>
        <v>0</v>
      </c>
      <c r="AT570" s="28">
        <f t="shared" si="415"/>
        <v>0</v>
      </c>
      <c r="AU570">
        <f t="shared" si="416"/>
        <v>0</v>
      </c>
      <c r="AV570" s="28">
        <f t="shared" si="417"/>
        <v>0</v>
      </c>
      <c r="AW570" s="28">
        <f t="shared" si="418"/>
        <v>0</v>
      </c>
      <c r="AX570" s="23">
        <f>HLOOKUP(YEAR(A570),Assumptions!$A$25:$AL$29,2,TRUE)/100</f>
        <v>1.1332999999999999E-2</v>
      </c>
      <c r="AY570" s="29">
        <f>1/(1+HLOOKUP(YEAR(A570),Assumptions!$A$18:$AL$20,3,TRUE))^(1/12)</f>
        <v>0.99906100631170314</v>
      </c>
      <c r="AZ570" s="26">
        <f t="shared" si="419"/>
        <v>0</v>
      </c>
      <c r="BA570">
        <f t="shared" si="420"/>
        <v>0</v>
      </c>
      <c r="BB570">
        <f t="shared" si="421"/>
        <v>0</v>
      </c>
      <c r="BC570">
        <f t="shared" si="422"/>
        <v>0</v>
      </c>
    </row>
    <row r="571" spans="1:55" x14ac:dyDescent="0.2">
      <c r="A571" s="3">
        <f t="shared" si="394"/>
        <v>60145</v>
      </c>
      <c r="B571">
        <f t="shared" si="391"/>
        <v>573</v>
      </c>
      <c r="C571">
        <f t="shared" si="423"/>
        <v>47.666666666666664</v>
      </c>
      <c r="D571">
        <f t="shared" si="424"/>
        <v>0</v>
      </c>
      <c r="E571">
        <f t="shared" si="392"/>
        <v>103</v>
      </c>
      <c r="F571">
        <f>IF(C571&gt;=$T$2,0,VLOOKUP($E571,'Mortality Table'!$A$3:$C$128,2+AF$2,FALSE))</f>
        <v>0</v>
      </c>
      <c r="G571">
        <f>F571*Assumptions!$B$1</f>
        <v>0</v>
      </c>
      <c r="H571">
        <f t="shared" si="425"/>
        <v>0</v>
      </c>
      <c r="I571">
        <f t="shared" si="426"/>
        <v>0</v>
      </c>
      <c r="J571">
        <f>IF(B571&gt;$AJ$2,0,HLOOKUP(C571,Assumptions!$A$6:$J$7,2,TRUE))</f>
        <v>0</v>
      </c>
      <c r="K571" s="4">
        <f t="shared" si="427"/>
        <v>0</v>
      </c>
      <c r="L571" s="4">
        <f t="shared" si="395"/>
        <v>0</v>
      </c>
      <c r="M571" s="4">
        <f t="shared" si="428"/>
        <v>0</v>
      </c>
      <c r="N571">
        <f t="shared" si="429"/>
        <v>0</v>
      </c>
      <c r="O571" s="21">
        <f t="shared" si="430"/>
        <v>0</v>
      </c>
      <c r="P571">
        <f>IF(B571&gt;$AJ$2,0,HLOOKUP(C571,Assumptions!$A$12:$J$13,2,TRUE))</f>
        <v>0</v>
      </c>
      <c r="Q571">
        <f t="shared" si="431"/>
        <v>0</v>
      </c>
      <c r="R571">
        <f t="shared" si="396"/>
        <v>0</v>
      </c>
      <c r="S571">
        <f t="shared" si="432"/>
        <v>0</v>
      </c>
      <c r="T571">
        <f t="shared" si="433"/>
        <v>0</v>
      </c>
      <c r="U571">
        <f t="shared" si="397"/>
        <v>0</v>
      </c>
      <c r="V571">
        <f t="shared" si="398"/>
        <v>0</v>
      </c>
      <c r="W571">
        <f t="shared" si="399"/>
        <v>0</v>
      </c>
      <c r="X571">
        <f t="shared" si="434"/>
        <v>0</v>
      </c>
      <c r="Y571">
        <f t="shared" si="400"/>
        <v>0</v>
      </c>
      <c r="Z571">
        <f t="shared" si="401"/>
        <v>0</v>
      </c>
      <c r="AA571">
        <f t="shared" si="402"/>
        <v>0</v>
      </c>
      <c r="AB571">
        <f t="shared" si="403"/>
        <v>0</v>
      </c>
      <c r="AC571" s="23">
        <f>IF(B571&gt;$AJ$2,0,HLOOKUP(YEAR(A571),Assumptions!$A$25:$AL$29,4,TRUE)/100)</f>
        <v>0</v>
      </c>
      <c r="AD571">
        <f t="shared" si="404"/>
        <v>0</v>
      </c>
      <c r="AE571">
        <f t="shared" si="405"/>
        <v>0</v>
      </c>
      <c r="AF571">
        <f t="shared" si="406"/>
        <v>0</v>
      </c>
      <c r="AG571">
        <f t="shared" si="407"/>
        <v>0</v>
      </c>
      <c r="AH571">
        <f t="shared" si="408"/>
        <v>0</v>
      </c>
      <c r="AI571">
        <f t="shared" si="409"/>
        <v>0</v>
      </c>
      <c r="AJ571">
        <f t="shared" si="410"/>
        <v>0</v>
      </c>
      <c r="AK571">
        <f t="shared" si="435"/>
        <v>0</v>
      </c>
      <c r="AL571">
        <f t="shared" si="411"/>
        <v>0</v>
      </c>
      <c r="AM571">
        <f t="shared" si="393"/>
        <v>0</v>
      </c>
      <c r="AN571">
        <f>IF($S$2=0,0,(SUMPRODUCT($K$2:$R$2,Assumptions!$B$34:$I$34)/$U$2+$J$2/$U$2*Assumptions!$A$34*G571)*K571*O570)</f>
        <v>0</v>
      </c>
      <c r="AO571">
        <f t="shared" si="412"/>
        <v>0</v>
      </c>
      <c r="AP571">
        <f t="shared" si="413"/>
        <v>0</v>
      </c>
      <c r="AQ571">
        <f>IF(B571&gt;$AJ$2,0,AQ570*(1+Assumptions!$B$43)^(1/12))</f>
        <v>0</v>
      </c>
      <c r="AR571" s="27">
        <f>IF(B571&gt;$AJ$2,0,(O570+R570)*Assumptions!$B$39/12*AQ570+AV571*Assumptions!$B$41/12)</f>
        <v>0</v>
      </c>
      <c r="AS571">
        <f t="shared" si="414"/>
        <v>0</v>
      </c>
      <c r="AT571" s="28">
        <f t="shared" si="415"/>
        <v>0</v>
      </c>
      <c r="AU571">
        <f t="shared" si="416"/>
        <v>0</v>
      </c>
      <c r="AV571" s="28">
        <f t="shared" si="417"/>
        <v>0</v>
      </c>
      <c r="AW571" s="28">
        <f t="shared" si="418"/>
        <v>0</v>
      </c>
      <c r="AX571" s="23">
        <f>HLOOKUP(YEAR(A571),Assumptions!$A$25:$AL$29,2,TRUE)/100</f>
        <v>1.1332999999999999E-2</v>
      </c>
      <c r="AY571" s="29">
        <f>1/(1+HLOOKUP(YEAR(A571),Assumptions!$A$18:$AL$20,3,TRUE))^(1/12)</f>
        <v>0.99906100631170314</v>
      </c>
      <c r="AZ571" s="26">
        <f t="shared" si="419"/>
        <v>0</v>
      </c>
      <c r="BA571">
        <f t="shared" si="420"/>
        <v>0</v>
      </c>
      <c r="BB571">
        <f t="shared" si="421"/>
        <v>0</v>
      </c>
      <c r="BC571">
        <f t="shared" si="422"/>
        <v>0</v>
      </c>
    </row>
    <row r="572" spans="1:55" x14ac:dyDescent="0.2">
      <c r="A572" s="3">
        <f t="shared" si="394"/>
        <v>60175</v>
      </c>
      <c r="B572">
        <f t="shared" si="391"/>
        <v>574</v>
      </c>
      <c r="C572">
        <f t="shared" si="423"/>
        <v>47.75</v>
      </c>
      <c r="D572">
        <f t="shared" si="424"/>
        <v>0</v>
      </c>
      <c r="E572">
        <f t="shared" si="392"/>
        <v>103</v>
      </c>
      <c r="F572">
        <f>IF(C572&gt;=$T$2,0,VLOOKUP($E572,'Mortality Table'!$A$3:$C$128,2+AF$2,FALSE))</f>
        <v>0</v>
      </c>
      <c r="G572">
        <f>F572*Assumptions!$B$1</f>
        <v>0</v>
      </c>
      <c r="H572">
        <f t="shared" si="425"/>
        <v>0</v>
      </c>
      <c r="I572">
        <f t="shared" si="426"/>
        <v>0</v>
      </c>
      <c r="J572">
        <f>IF(B572&gt;$AJ$2,0,HLOOKUP(C572,Assumptions!$A$6:$J$7,2,TRUE))</f>
        <v>0</v>
      </c>
      <c r="K572" s="4">
        <f t="shared" si="427"/>
        <v>0</v>
      </c>
      <c r="L572" s="4">
        <f t="shared" si="395"/>
        <v>0</v>
      </c>
      <c r="M572" s="4">
        <f t="shared" si="428"/>
        <v>0</v>
      </c>
      <c r="N572">
        <f t="shared" si="429"/>
        <v>0</v>
      </c>
      <c r="O572" s="21">
        <f t="shared" si="430"/>
        <v>0</v>
      </c>
      <c r="P572">
        <f>IF(B572&gt;$AJ$2,0,HLOOKUP(C572,Assumptions!$A$12:$J$13,2,TRUE))</f>
        <v>0</v>
      </c>
      <c r="Q572">
        <f t="shared" si="431"/>
        <v>0</v>
      </c>
      <c r="R572">
        <f t="shared" si="396"/>
        <v>0</v>
      </c>
      <c r="S572">
        <f t="shared" si="432"/>
        <v>0</v>
      </c>
      <c r="T572">
        <f t="shared" si="433"/>
        <v>0</v>
      </c>
      <c r="U572">
        <f t="shared" si="397"/>
        <v>0</v>
      </c>
      <c r="V572">
        <f t="shared" si="398"/>
        <v>0</v>
      </c>
      <c r="W572">
        <f t="shared" si="399"/>
        <v>0</v>
      </c>
      <c r="X572">
        <f t="shared" si="434"/>
        <v>0</v>
      </c>
      <c r="Y572">
        <f t="shared" si="400"/>
        <v>0</v>
      </c>
      <c r="Z572">
        <f t="shared" si="401"/>
        <v>0</v>
      </c>
      <c r="AA572">
        <f t="shared" si="402"/>
        <v>0</v>
      </c>
      <c r="AB572">
        <f t="shared" si="403"/>
        <v>0</v>
      </c>
      <c r="AC572" s="23">
        <f>IF(B572&gt;$AJ$2,0,HLOOKUP(YEAR(A572),Assumptions!$A$25:$AL$29,4,TRUE)/100)</f>
        <v>0</v>
      </c>
      <c r="AD572">
        <f t="shared" si="404"/>
        <v>0</v>
      </c>
      <c r="AE572">
        <f t="shared" si="405"/>
        <v>0</v>
      </c>
      <c r="AF572">
        <f t="shared" si="406"/>
        <v>0</v>
      </c>
      <c r="AG572">
        <f t="shared" si="407"/>
        <v>0</v>
      </c>
      <c r="AH572">
        <f t="shared" si="408"/>
        <v>0</v>
      </c>
      <c r="AI572">
        <f t="shared" si="409"/>
        <v>0</v>
      </c>
      <c r="AJ572">
        <f t="shared" si="410"/>
        <v>0</v>
      </c>
      <c r="AK572">
        <f t="shared" si="435"/>
        <v>0</v>
      </c>
      <c r="AL572">
        <f t="shared" si="411"/>
        <v>0</v>
      </c>
      <c r="AM572">
        <f t="shared" si="393"/>
        <v>0</v>
      </c>
      <c r="AN572">
        <f>IF($S$2=0,0,(SUMPRODUCT($K$2:$R$2,Assumptions!$B$34:$I$34)/$U$2+$J$2/$U$2*Assumptions!$A$34*G572)*K572*O571)</f>
        <v>0</v>
      </c>
      <c r="AO572">
        <f t="shared" si="412"/>
        <v>0</v>
      </c>
      <c r="AP572">
        <f t="shared" si="413"/>
        <v>0</v>
      </c>
      <c r="AQ572">
        <f>IF(B572&gt;$AJ$2,0,AQ571*(1+Assumptions!$B$43)^(1/12))</f>
        <v>0</v>
      </c>
      <c r="AR572" s="27">
        <f>IF(B572&gt;$AJ$2,0,(O571+R571)*Assumptions!$B$39/12*AQ571+AV572*Assumptions!$B$41/12)</f>
        <v>0</v>
      </c>
      <c r="AS572">
        <f t="shared" si="414"/>
        <v>0</v>
      </c>
      <c r="AT572" s="28">
        <f t="shared" si="415"/>
        <v>0</v>
      </c>
      <c r="AU572">
        <f t="shared" si="416"/>
        <v>0</v>
      </c>
      <c r="AV572" s="28">
        <f t="shared" si="417"/>
        <v>0</v>
      </c>
      <c r="AW572" s="28">
        <f t="shared" si="418"/>
        <v>0</v>
      </c>
      <c r="AX572" s="23">
        <f>HLOOKUP(YEAR(A572),Assumptions!$A$25:$AL$29,2,TRUE)/100</f>
        <v>1.1332999999999999E-2</v>
      </c>
      <c r="AY572" s="29">
        <f>1/(1+HLOOKUP(YEAR(A572),Assumptions!$A$18:$AL$20,3,TRUE))^(1/12)</f>
        <v>0.99906100631170314</v>
      </c>
      <c r="AZ572" s="26">
        <f t="shared" si="419"/>
        <v>0</v>
      </c>
      <c r="BA572">
        <f t="shared" si="420"/>
        <v>0</v>
      </c>
      <c r="BB572">
        <f t="shared" si="421"/>
        <v>0</v>
      </c>
      <c r="BC572">
        <f t="shared" si="422"/>
        <v>0</v>
      </c>
    </row>
    <row r="573" spans="1:55" x14ac:dyDescent="0.2">
      <c r="A573" s="3">
        <f t="shared" si="394"/>
        <v>60206</v>
      </c>
      <c r="B573">
        <f t="shared" si="391"/>
        <v>575</v>
      </c>
      <c r="C573">
        <f t="shared" si="423"/>
        <v>47.833333333333336</v>
      </c>
      <c r="D573">
        <f t="shared" si="424"/>
        <v>0</v>
      </c>
      <c r="E573">
        <f t="shared" si="392"/>
        <v>103</v>
      </c>
      <c r="F573">
        <f>IF(C573&gt;=$T$2,0,VLOOKUP($E573,'Mortality Table'!$A$3:$C$128,2+AF$2,FALSE))</f>
        <v>0</v>
      </c>
      <c r="G573">
        <f>F573*Assumptions!$B$1</f>
        <v>0</v>
      </c>
      <c r="H573">
        <f t="shared" si="425"/>
        <v>0</v>
      </c>
      <c r="I573">
        <f t="shared" si="426"/>
        <v>0</v>
      </c>
      <c r="J573">
        <f>IF(B573&gt;$AJ$2,0,HLOOKUP(C573,Assumptions!$A$6:$J$7,2,TRUE))</f>
        <v>0</v>
      </c>
      <c r="K573" s="4">
        <f t="shared" si="427"/>
        <v>0</v>
      </c>
      <c r="L573" s="4">
        <f t="shared" si="395"/>
        <v>0</v>
      </c>
      <c r="M573" s="4">
        <f t="shared" si="428"/>
        <v>0</v>
      </c>
      <c r="N573">
        <f t="shared" si="429"/>
        <v>0</v>
      </c>
      <c r="O573" s="21">
        <f t="shared" si="430"/>
        <v>0</v>
      </c>
      <c r="P573">
        <f>IF(B573&gt;$AJ$2,0,HLOOKUP(C573,Assumptions!$A$12:$J$13,2,TRUE))</f>
        <v>0</v>
      </c>
      <c r="Q573">
        <f t="shared" si="431"/>
        <v>0</v>
      </c>
      <c r="R573">
        <f t="shared" si="396"/>
        <v>0</v>
      </c>
      <c r="S573">
        <f t="shared" si="432"/>
        <v>0</v>
      </c>
      <c r="T573">
        <f t="shared" si="433"/>
        <v>0</v>
      </c>
      <c r="U573">
        <f t="shared" si="397"/>
        <v>0</v>
      </c>
      <c r="V573">
        <f t="shared" si="398"/>
        <v>0</v>
      </c>
      <c r="W573">
        <f t="shared" si="399"/>
        <v>0</v>
      </c>
      <c r="X573">
        <f t="shared" si="434"/>
        <v>0</v>
      </c>
      <c r="Y573">
        <f t="shared" si="400"/>
        <v>0</v>
      </c>
      <c r="Z573">
        <f t="shared" si="401"/>
        <v>0</v>
      </c>
      <c r="AA573">
        <f t="shared" si="402"/>
        <v>0</v>
      </c>
      <c r="AB573">
        <f t="shared" si="403"/>
        <v>0</v>
      </c>
      <c r="AC573" s="23">
        <f>IF(B573&gt;$AJ$2,0,HLOOKUP(YEAR(A573),Assumptions!$A$25:$AL$29,4,TRUE)/100)</f>
        <v>0</v>
      </c>
      <c r="AD573">
        <f t="shared" si="404"/>
        <v>0</v>
      </c>
      <c r="AE573">
        <f t="shared" si="405"/>
        <v>0</v>
      </c>
      <c r="AF573">
        <f t="shared" si="406"/>
        <v>0</v>
      </c>
      <c r="AG573">
        <f t="shared" si="407"/>
        <v>0</v>
      </c>
      <c r="AH573">
        <f t="shared" si="408"/>
        <v>0</v>
      </c>
      <c r="AI573">
        <f t="shared" si="409"/>
        <v>0</v>
      </c>
      <c r="AJ573">
        <f t="shared" si="410"/>
        <v>0</v>
      </c>
      <c r="AK573">
        <f t="shared" si="435"/>
        <v>0</v>
      </c>
      <c r="AL573">
        <f t="shared" si="411"/>
        <v>0</v>
      </c>
      <c r="AM573">
        <f t="shared" si="393"/>
        <v>0</v>
      </c>
      <c r="AN573">
        <f>IF($S$2=0,0,(SUMPRODUCT($K$2:$R$2,Assumptions!$B$34:$I$34)/$U$2+$J$2/$U$2*Assumptions!$A$34*G573)*K573*O572)</f>
        <v>0</v>
      </c>
      <c r="AO573">
        <f t="shared" si="412"/>
        <v>0</v>
      </c>
      <c r="AP573">
        <f t="shared" si="413"/>
        <v>0</v>
      </c>
      <c r="AQ573">
        <f>IF(B573&gt;$AJ$2,0,AQ572*(1+Assumptions!$B$43)^(1/12))</f>
        <v>0</v>
      </c>
      <c r="AR573" s="27">
        <f>IF(B573&gt;$AJ$2,0,(O572+R572)*Assumptions!$B$39/12*AQ572+AV573*Assumptions!$B$41/12)</f>
        <v>0</v>
      </c>
      <c r="AS573">
        <f t="shared" si="414"/>
        <v>0</v>
      </c>
      <c r="AT573" s="28">
        <f t="shared" si="415"/>
        <v>0</v>
      </c>
      <c r="AU573">
        <f t="shared" si="416"/>
        <v>0</v>
      </c>
      <c r="AV573" s="28">
        <f t="shared" si="417"/>
        <v>0</v>
      </c>
      <c r="AW573" s="28">
        <f t="shared" si="418"/>
        <v>0</v>
      </c>
      <c r="AX573" s="23">
        <f>HLOOKUP(YEAR(A573),Assumptions!$A$25:$AL$29,2,TRUE)/100</f>
        <v>1.1332999999999999E-2</v>
      </c>
      <c r="AY573" s="29">
        <f>1/(1+HLOOKUP(YEAR(A573),Assumptions!$A$18:$AL$20,3,TRUE))^(1/12)</f>
        <v>0.99906100631170314</v>
      </c>
      <c r="AZ573" s="26">
        <f t="shared" si="419"/>
        <v>0</v>
      </c>
      <c r="BA573">
        <f t="shared" si="420"/>
        <v>0</v>
      </c>
      <c r="BB573">
        <f t="shared" si="421"/>
        <v>0</v>
      </c>
      <c r="BC573">
        <f t="shared" si="422"/>
        <v>0</v>
      </c>
    </row>
    <row r="574" spans="1:55" x14ac:dyDescent="0.2">
      <c r="A574" s="3">
        <f t="shared" si="394"/>
        <v>60236</v>
      </c>
      <c r="B574">
        <f t="shared" si="391"/>
        <v>576</v>
      </c>
      <c r="C574">
        <f t="shared" si="423"/>
        <v>47.916666666666664</v>
      </c>
      <c r="D574">
        <f t="shared" si="424"/>
        <v>0</v>
      </c>
      <c r="E574">
        <f t="shared" si="392"/>
        <v>103</v>
      </c>
      <c r="F574">
        <f>IF(C574&gt;=$T$2,0,VLOOKUP($E574,'Mortality Table'!$A$3:$C$128,2+AF$2,FALSE))</f>
        <v>0</v>
      </c>
      <c r="G574">
        <f>F574*Assumptions!$B$1</f>
        <v>0</v>
      </c>
      <c r="H574">
        <f t="shared" si="425"/>
        <v>0</v>
      </c>
      <c r="I574">
        <f t="shared" si="426"/>
        <v>0</v>
      </c>
      <c r="J574">
        <f>IF(B574&gt;$AJ$2,0,HLOOKUP(C574,Assumptions!$A$6:$J$7,2,TRUE))</f>
        <v>0</v>
      </c>
      <c r="K574" s="4">
        <f t="shared" si="427"/>
        <v>0</v>
      </c>
      <c r="L574" s="4">
        <f t="shared" si="395"/>
        <v>0</v>
      </c>
      <c r="M574" s="4">
        <f t="shared" si="428"/>
        <v>0</v>
      </c>
      <c r="N574">
        <f t="shared" si="429"/>
        <v>0</v>
      </c>
      <c r="O574" s="21">
        <f t="shared" si="430"/>
        <v>0</v>
      </c>
      <c r="P574">
        <f>IF(B574&gt;$AJ$2,0,HLOOKUP(C574,Assumptions!$A$12:$J$13,2,TRUE))</f>
        <v>0</v>
      </c>
      <c r="Q574">
        <f t="shared" si="431"/>
        <v>0</v>
      </c>
      <c r="R574">
        <f t="shared" si="396"/>
        <v>0</v>
      </c>
      <c r="S574">
        <f t="shared" si="432"/>
        <v>0</v>
      </c>
      <c r="T574">
        <f t="shared" si="433"/>
        <v>0</v>
      </c>
      <c r="U574">
        <f t="shared" si="397"/>
        <v>0</v>
      </c>
      <c r="V574">
        <f t="shared" si="398"/>
        <v>0</v>
      </c>
      <c r="W574">
        <f t="shared" si="399"/>
        <v>0</v>
      </c>
      <c r="X574">
        <f t="shared" si="434"/>
        <v>0</v>
      </c>
      <c r="Y574">
        <f t="shared" si="400"/>
        <v>0</v>
      </c>
      <c r="Z574">
        <f t="shared" si="401"/>
        <v>0</v>
      </c>
      <c r="AA574">
        <f t="shared" si="402"/>
        <v>0</v>
      </c>
      <c r="AB574">
        <f t="shared" si="403"/>
        <v>0</v>
      </c>
      <c r="AC574" s="23">
        <f>IF(B574&gt;$AJ$2,0,HLOOKUP(YEAR(A574),Assumptions!$A$25:$AL$29,4,TRUE)/100)</f>
        <v>0</v>
      </c>
      <c r="AD574">
        <f t="shared" si="404"/>
        <v>0</v>
      </c>
      <c r="AE574">
        <f t="shared" si="405"/>
        <v>0</v>
      </c>
      <c r="AF574">
        <f t="shared" si="406"/>
        <v>0</v>
      </c>
      <c r="AG574">
        <f t="shared" si="407"/>
        <v>0</v>
      </c>
      <c r="AH574">
        <f t="shared" si="408"/>
        <v>0</v>
      </c>
      <c r="AI574">
        <f t="shared" si="409"/>
        <v>0</v>
      </c>
      <c r="AJ574">
        <f t="shared" si="410"/>
        <v>0</v>
      </c>
      <c r="AK574">
        <f t="shared" si="435"/>
        <v>0</v>
      </c>
      <c r="AL574">
        <f t="shared" si="411"/>
        <v>0</v>
      </c>
      <c r="AM574">
        <f t="shared" si="393"/>
        <v>0</v>
      </c>
      <c r="AN574">
        <f>IF($S$2=0,0,(SUMPRODUCT($K$2:$R$2,Assumptions!$B$34:$I$34)/$U$2+$J$2/$U$2*Assumptions!$A$34*G574)*K574*O573)</f>
        <v>0</v>
      </c>
      <c r="AO574">
        <f t="shared" si="412"/>
        <v>0</v>
      </c>
      <c r="AP574">
        <f t="shared" si="413"/>
        <v>0</v>
      </c>
      <c r="AQ574">
        <f>IF(B574&gt;$AJ$2,0,AQ573*(1+Assumptions!$B$43)^(1/12))</f>
        <v>0</v>
      </c>
      <c r="AR574" s="27">
        <f>IF(B574&gt;$AJ$2,0,(O573+R573)*Assumptions!$B$39/12*AQ573+AV574*Assumptions!$B$41/12)</f>
        <v>0</v>
      </c>
      <c r="AS574">
        <f t="shared" si="414"/>
        <v>0</v>
      </c>
      <c r="AT574" s="28">
        <f t="shared" si="415"/>
        <v>0</v>
      </c>
      <c r="AU574">
        <f t="shared" si="416"/>
        <v>0</v>
      </c>
      <c r="AV574" s="28">
        <f t="shared" si="417"/>
        <v>0</v>
      </c>
      <c r="AW574" s="28">
        <f t="shared" si="418"/>
        <v>0</v>
      </c>
      <c r="AX574" s="23">
        <f>HLOOKUP(YEAR(A574),Assumptions!$A$25:$AL$29,2,TRUE)/100</f>
        <v>1.1332999999999999E-2</v>
      </c>
      <c r="AY574" s="29">
        <f>1/(1+HLOOKUP(YEAR(A574),Assumptions!$A$18:$AL$20,3,TRUE))^(1/12)</f>
        <v>0.99906100631170314</v>
      </c>
      <c r="AZ574" s="26">
        <f t="shared" si="419"/>
        <v>0</v>
      </c>
      <c r="BA574">
        <f t="shared" si="420"/>
        <v>0</v>
      </c>
      <c r="BB574">
        <f t="shared" si="421"/>
        <v>0</v>
      </c>
      <c r="BC574">
        <f t="shared" si="422"/>
        <v>0</v>
      </c>
    </row>
    <row r="575" spans="1:55" x14ac:dyDescent="0.2">
      <c r="A575" s="3">
        <f t="shared" si="394"/>
        <v>60267</v>
      </c>
      <c r="B575">
        <f t="shared" si="391"/>
        <v>577</v>
      </c>
      <c r="C575">
        <f t="shared" si="423"/>
        <v>48</v>
      </c>
      <c r="D575">
        <f t="shared" si="424"/>
        <v>1</v>
      </c>
      <c r="E575">
        <f t="shared" si="392"/>
        <v>104</v>
      </c>
      <c r="F575">
        <f>IF(C575&gt;=$T$2,0,VLOOKUP($E575,'Mortality Table'!$A$3:$C$128,2+AF$2,FALSE))</f>
        <v>0</v>
      </c>
      <c r="G575">
        <f>F575*Assumptions!$B$1</f>
        <v>0</v>
      </c>
      <c r="H575">
        <f t="shared" si="425"/>
        <v>0</v>
      </c>
      <c r="I575">
        <f t="shared" si="426"/>
        <v>0</v>
      </c>
      <c r="J575">
        <f>IF(B575&gt;$AJ$2,0,HLOOKUP(C575,Assumptions!$A$6:$J$7,2,TRUE))</f>
        <v>0</v>
      </c>
      <c r="K575" s="4">
        <f t="shared" si="427"/>
        <v>0</v>
      </c>
      <c r="L575" s="4">
        <f t="shared" si="395"/>
        <v>0</v>
      </c>
      <c r="M575" s="4">
        <f t="shared" si="428"/>
        <v>0</v>
      </c>
      <c r="N575">
        <f t="shared" si="429"/>
        <v>0</v>
      </c>
      <c r="O575" s="21">
        <f t="shared" si="430"/>
        <v>0</v>
      </c>
      <c r="P575">
        <f>IF(B575&gt;$AJ$2,0,HLOOKUP(C575,Assumptions!$A$12:$J$13,2,TRUE))</f>
        <v>0</v>
      </c>
      <c r="Q575">
        <f t="shared" si="431"/>
        <v>0</v>
      </c>
      <c r="R575">
        <f t="shared" si="396"/>
        <v>0</v>
      </c>
      <c r="S575">
        <f t="shared" si="432"/>
        <v>0</v>
      </c>
      <c r="T575">
        <f t="shared" si="433"/>
        <v>0</v>
      </c>
      <c r="U575">
        <f t="shared" si="397"/>
        <v>0</v>
      </c>
      <c r="V575">
        <f t="shared" si="398"/>
        <v>0</v>
      </c>
      <c r="W575">
        <f t="shared" si="399"/>
        <v>0</v>
      </c>
      <c r="X575">
        <f t="shared" si="434"/>
        <v>0</v>
      </c>
      <c r="Y575">
        <f t="shared" si="400"/>
        <v>0</v>
      </c>
      <c r="Z575">
        <f t="shared" si="401"/>
        <v>0</v>
      </c>
      <c r="AA575">
        <f t="shared" si="402"/>
        <v>0</v>
      </c>
      <c r="AB575">
        <f t="shared" si="403"/>
        <v>0</v>
      </c>
      <c r="AC575" s="23">
        <f>IF(B575&gt;$AJ$2,0,HLOOKUP(YEAR(A575),Assumptions!$A$25:$AL$29,4,TRUE)/100)</f>
        <v>0</v>
      </c>
      <c r="AD575">
        <f t="shared" si="404"/>
        <v>0</v>
      </c>
      <c r="AE575">
        <f t="shared" si="405"/>
        <v>0</v>
      </c>
      <c r="AF575">
        <f t="shared" si="406"/>
        <v>0</v>
      </c>
      <c r="AG575">
        <f t="shared" si="407"/>
        <v>0</v>
      </c>
      <c r="AH575">
        <f t="shared" si="408"/>
        <v>0</v>
      </c>
      <c r="AI575">
        <f t="shared" si="409"/>
        <v>0</v>
      </c>
      <c r="AJ575">
        <f t="shared" si="410"/>
        <v>0</v>
      </c>
      <c r="AK575">
        <f t="shared" si="435"/>
        <v>0</v>
      </c>
      <c r="AL575">
        <f t="shared" si="411"/>
        <v>0</v>
      </c>
      <c r="AM575">
        <f t="shared" si="393"/>
        <v>0</v>
      </c>
      <c r="AN575">
        <f>IF($S$2=0,0,(SUMPRODUCT($K$2:$R$2,Assumptions!$B$34:$I$34)/$U$2+$J$2/$U$2*Assumptions!$A$34*G575)*K575*O574)</f>
        <v>0</v>
      </c>
      <c r="AO575">
        <f t="shared" si="412"/>
        <v>0</v>
      </c>
      <c r="AP575">
        <f t="shared" si="413"/>
        <v>0</v>
      </c>
      <c r="AQ575">
        <f>IF(B575&gt;$AJ$2,0,AQ574*(1+Assumptions!$B$43)^(1/12))</f>
        <v>0</v>
      </c>
      <c r="AR575" s="27">
        <f>IF(B575&gt;$AJ$2,0,(O574+R574)*Assumptions!$B$39/12*AQ574+AV575*Assumptions!$B$41/12)</f>
        <v>0</v>
      </c>
      <c r="AS575">
        <f t="shared" si="414"/>
        <v>0</v>
      </c>
      <c r="AT575" s="28">
        <f t="shared" si="415"/>
        <v>0</v>
      </c>
      <c r="AU575">
        <f t="shared" si="416"/>
        <v>0</v>
      </c>
      <c r="AV575" s="28">
        <f t="shared" si="417"/>
        <v>0</v>
      </c>
      <c r="AW575" s="28">
        <f t="shared" si="418"/>
        <v>0</v>
      </c>
      <c r="AX575" s="23">
        <f>HLOOKUP(YEAR(A575),Assumptions!$A$25:$AL$29,2,TRUE)/100</f>
        <v>1.1332999999999999E-2</v>
      </c>
      <c r="AY575" s="29">
        <f>1/(1+HLOOKUP(YEAR(A575),Assumptions!$A$18:$AL$20,3,TRUE))^(1/12)</f>
        <v>0.99906100631170314</v>
      </c>
      <c r="AZ575" s="26">
        <f t="shared" si="419"/>
        <v>0</v>
      </c>
      <c r="BA575">
        <f t="shared" si="420"/>
        <v>0</v>
      </c>
      <c r="BB575">
        <f t="shared" si="421"/>
        <v>0</v>
      </c>
      <c r="BC575">
        <f t="shared" si="422"/>
        <v>0</v>
      </c>
    </row>
    <row r="576" spans="1:55" x14ac:dyDescent="0.2">
      <c r="A576" s="3">
        <f t="shared" si="394"/>
        <v>60298</v>
      </c>
      <c r="B576">
        <f t="shared" si="391"/>
        <v>578</v>
      </c>
      <c r="C576">
        <f t="shared" si="423"/>
        <v>48.083333333333336</v>
      </c>
      <c r="D576">
        <f t="shared" si="424"/>
        <v>0</v>
      </c>
      <c r="E576">
        <f t="shared" si="392"/>
        <v>104</v>
      </c>
      <c r="F576">
        <f>IF(C576&gt;=$T$2,0,VLOOKUP($E576,'Mortality Table'!$A$3:$C$128,2+AF$2,FALSE))</f>
        <v>0</v>
      </c>
      <c r="G576">
        <f>F576*Assumptions!$B$1</f>
        <v>0</v>
      </c>
      <c r="H576">
        <f t="shared" si="425"/>
        <v>0</v>
      </c>
      <c r="I576">
        <f t="shared" si="426"/>
        <v>0</v>
      </c>
      <c r="J576">
        <f>IF(B576&gt;$AJ$2,0,HLOOKUP(C576,Assumptions!$A$6:$J$7,2,TRUE))</f>
        <v>0</v>
      </c>
      <c r="K576" s="4">
        <f t="shared" si="427"/>
        <v>0</v>
      </c>
      <c r="L576" s="4">
        <f t="shared" si="395"/>
        <v>0</v>
      </c>
      <c r="M576" s="4">
        <f t="shared" si="428"/>
        <v>0</v>
      </c>
      <c r="N576">
        <f t="shared" si="429"/>
        <v>0</v>
      </c>
      <c r="O576" s="21">
        <f t="shared" si="430"/>
        <v>0</v>
      </c>
      <c r="P576">
        <f>IF(B576&gt;$AJ$2,0,HLOOKUP(C576,Assumptions!$A$12:$J$13,2,TRUE))</f>
        <v>0</v>
      </c>
      <c r="Q576">
        <f t="shared" si="431"/>
        <v>0</v>
      </c>
      <c r="R576">
        <f t="shared" si="396"/>
        <v>0</v>
      </c>
      <c r="S576">
        <f t="shared" si="432"/>
        <v>0</v>
      </c>
      <c r="T576">
        <f t="shared" si="433"/>
        <v>0</v>
      </c>
      <c r="U576">
        <f t="shared" si="397"/>
        <v>0</v>
      </c>
      <c r="V576">
        <f t="shared" si="398"/>
        <v>0</v>
      </c>
      <c r="W576">
        <f t="shared" si="399"/>
        <v>0</v>
      </c>
      <c r="X576">
        <f t="shared" si="434"/>
        <v>0</v>
      </c>
      <c r="Y576">
        <f t="shared" si="400"/>
        <v>0</v>
      </c>
      <c r="Z576">
        <f t="shared" si="401"/>
        <v>0</v>
      </c>
      <c r="AA576">
        <f t="shared" si="402"/>
        <v>0</v>
      </c>
      <c r="AB576">
        <f t="shared" si="403"/>
        <v>0</v>
      </c>
      <c r="AC576" s="23">
        <f>IF(B576&gt;$AJ$2,0,HLOOKUP(YEAR(A576),Assumptions!$A$25:$AL$29,4,TRUE)/100)</f>
        <v>0</v>
      </c>
      <c r="AD576">
        <f t="shared" si="404"/>
        <v>0</v>
      </c>
      <c r="AE576">
        <f t="shared" si="405"/>
        <v>0</v>
      </c>
      <c r="AF576">
        <f t="shared" si="406"/>
        <v>0</v>
      </c>
      <c r="AG576">
        <f t="shared" si="407"/>
        <v>0</v>
      </c>
      <c r="AH576">
        <f t="shared" si="408"/>
        <v>0</v>
      </c>
      <c r="AI576">
        <f t="shared" si="409"/>
        <v>0</v>
      </c>
      <c r="AJ576">
        <f t="shared" si="410"/>
        <v>0</v>
      </c>
      <c r="AK576">
        <f t="shared" si="435"/>
        <v>0</v>
      </c>
      <c r="AL576">
        <f t="shared" si="411"/>
        <v>0</v>
      </c>
      <c r="AM576">
        <f t="shared" si="393"/>
        <v>0</v>
      </c>
      <c r="AN576">
        <f>IF($S$2=0,0,(SUMPRODUCT($K$2:$R$2,Assumptions!$B$34:$I$34)/$U$2+$J$2/$U$2*Assumptions!$A$34*G576)*K576*O575)</f>
        <v>0</v>
      </c>
      <c r="AO576">
        <f t="shared" si="412"/>
        <v>0</v>
      </c>
      <c r="AP576">
        <f t="shared" si="413"/>
        <v>0</v>
      </c>
      <c r="AQ576">
        <f>IF(B576&gt;$AJ$2,0,AQ575*(1+Assumptions!$B$43)^(1/12))</f>
        <v>0</v>
      </c>
      <c r="AR576" s="27">
        <f>IF(B576&gt;$AJ$2,0,(O575+R575)*Assumptions!$B$39/12*AQ575+AV576*Assumptions!$B$41/12)</f>
        <v>0</v>
      </c>
      <c r="AS576">
        <f t="shared" si="414"/>
        <v>0</v>
      </c>
      <c r="AT576" s="28">
        <f t="shared" si="415"/>
        <v>0</v>
      </c>
      <c r="AU576">
        <f t="shared" si="416"/>
        <v>0</v>
      </c>
      <c r="AV576" s="28">
        <f t="shared" si="417"/>
        <v>0</v>
      </c>
      <c r="AW576" s="28">
        <f t="shared" si="418"/>
        <v>0</v>
      </c>
      <c r="AX576" s="23">
        <f>HLOOKUP(YEAR(A576),Assumptions!$A$25:$AL$29,2,TRUE)/100</f>
        <v>1.1332999999999999E-2</v>
      </c>
      <c r="AY576" s="29">
        <f>1/(1+HLOOKUP(YEAR(A576),Assumptions!$A$18:$AL$20,3,TRUE))^(1/12)</f>
        <v>0.99906100631170314</v>
      </c>
      <c r="AZ576" s="26">
        <f t="shared" si="419"/>
        <v>0</v>
      </c>
      <c r="BA576">
        <f t="shared" si="420"/>
        <v>0</v>
      </c>
      <c r="BB576">
        <f t="shared" si="421"/>
        <v>0</v>
      </c>
      <c r="BC576">
        <f t="shared" si="422"/>
        <v>0</v>
      </c>
    </row>
    <row r="577" spans="1:55" x14ac:dyDescent="0.2">
      <c r="A577" s="3">
        <f t="shared" si="394"/>
        <v>60326</v>
      </c>
      <c r="B577">
        <f t="shared" si="391"/>
        <v>579</v>
      </c>
      <c r="C577">
        <f t="shared" si="423"/>
        <v>48.166666666666664</v>
      </c>
      <c r="D577">
        <f t="shared" si="424"/>
        <v>0</v>
      </c>
      <c r="E577">
        <f t="shared" si="392"/>
        <v>104</v>
      </c>
      <c r="F577">
        <f>IF(C577&gt;=$T$2,0,VLOOKUP($E577,'Mortality Table'!$A$3:$C$128,2+AF$2,FALSE))</f>
        <v>0</v>
      </c>
      <c r="G577">
        <f>F577*Assumptions!$B$1</f>
        <v>0</v>
      </c>
      <c r="H577">
        <f t="shared" si="425"/>
        <v>0</v>
      </c>
      <c r="I577">
        <f t="shared" si="426"/>
        <v>0</v>
      </c>
      <c r="J577">
        <f>IF(B577&gt;$AJ$2,0,HLOOKUP(C577,Assumptions!$A$6:$J$7,2,TRUE))</f>
        <v>0</v>
      </c>
      <c r="K577" s="4">
        <f t="shared" si="427"/>
        <v>0</v>
      </c>
      <c r="L577" s="4">
        <f t="shared" si="395"/>
        <v>0</v>
      </c>
      <c r="M577" s="4">
        <f t="shared" si="428"/>
        <v>0</v>
      </c>
      <c r="N577">
        <f t="shared" si="429"/>
        <v>0</v>
      </c>
      <c r="O577" s="21">
        <f t="shared" si="430"/>
        <v>0</v>
      </c>
      <c r="P577">
        <f>IF(B577&gt;$AJ$2,0,HLOOKUP(C577,Assumptions!$A$12:$J$13,2,TRUE))</f>
        <v>0</v>
      </c>
      <c r="Q577">
        <f t="shared" si="431"/>
        <v>0</v>
      </c>
      <c r="R577">
        <f t="shared" si="396"/>
        <v>0</v>
      </c>
      <c r="S577">
        <f t="shared" si="432"/>
        <v>0</v>
      </c>
      <c r="T577">
        <f t="shared" si="433"/>
        <v>0</v>
      </c>
      <c r="U577">
        <f t="shared" si="397"/>
        <v>0</v>
      </c>
      <c r="V577">
        <f t="shared" si="398"/>
        <v>0</v>
      </c>
      <c r="W577">
        <f t="shared" si="399"/>
        <v>0</v>
      </c>
      <c r="X577">
        <f t="shared" si="434"/>
        <v>0</v>
      </c>
      <c r="Y577">
        <f t="shared" si="400"/>
        <v>0</v>
      </c>
      <c r="Z577">
        <f t="shared" si="401"/>
        <v>0</v>
      </c>
      <c r="AA577">
        <f t="shared" si="402"/>
        <v>0</v>
      </c>
      <c r="AB577">
        <f t="shared" si="403"/>
        <v>0</v>
      </c>
      <c r="AC577" s="23">
        <f>IF(B577&gt;$AJ$2,0,HLOOKUP(YEAR(A577),Assumptions!$A$25:$AL$29,4,TRUE)/100)</f>
        <v>0</v>
      </c>
      <c r="AD577">
        <f t="shared" si="404"/>
        <v>0</v>
      </c>
      <c r="AE577">
        <f t="shared" si="405"/>
        <v>0</v>
      </c>
      <c r="AF577">
        <f t="shared" si="406"/>
        <v>0</v>
      </c>
      <c r="AG577">
        <f t="shared" si="407"/>
        <v>0</v>
      </c>
      <c r="AH577">
        <f t="shared" si="408"/>
        <v>0</v>
      </c>
      <c r="AI577">
        <f t="shared" si="409"/>
        <v>0</v>
      </c>
      <c r="AJ577">
        <f t="shared" si="410"/>
        <v>0</v>
      </c>
      <c r="AK577">
        <f t="shared" si="435"/>
        <v>0</v>
      </c>
      <c r="AL577">
        <f t="shared" si="411"/>
        <v>0</v>
      </c>
      <c r="AM577">
        <f t="shared" si="393"/>
        <v>0</v>
      </c>
      <c r="AN577">
        <f>IF($S$2=0,0,(SUMPRODUCT($K$2:$R$2,Assumptions!$B$34:$I$34)/$U$2+$J$2/$U$2*Assumptions!$A$34*G577)*K577*O576)</f>
        <v>0</v>
      </c>
      <c r="AO577">
        <f t="shared" si="412"/>
        <v>0</v>
      </c>
      <c r="AP577">
        <f t="shared" si="413"/>
        <v>0</v>
      </c>
      <c r="AQ577">
        <f>IF(B577&gt;$AJ$2,0,AQ576*(1+Assumptions!$B$43)^(1/12))</f>
        <v>0</v>
      </c>
      <c r="AR577" s="27">
        <f>IF(B577&gt;$AJ$2,0,(O576+R576)*Assumptions!$B$39/12*AQ576+AV577*Assumptions!$B$41/12)</f>
        <v>0</v>
      </c>
      <c r="AS577">
        <f t="shared" si="414"/>
        <v>0</v>
      </c>
      <c r="AT577" s="28">
        <f t="shared" si="415"/>
        <v>0</v>
      </c>
      <c r="AU577">
        <f t="shared" si="416"/>
        <v>0</v>
      </c>
      <c r="AV577" s="28">
        <f t="shared" si="417"/>
        <v>0</v>
      </c>
      <c r="AW577" s="28">
        <f t="shared" si="418"/>
        <v>0</v>
      </c>
      <c r="AX577" s="23">
        <f>HLOOKUP(YEAR(A577),Assumptions!$A$25:$AL$29,2,TRUE)/100</f>
        <v>1.1332999999999999E-2</v>
      </c>
      <c r="AY577" s="29">
        <f>1/(1+HLOOKUP(YEAR(A577),Assumptions!$A$18:$AL$20,3,TRUE))^(1/12)</f>
        <v>0.99906100631170314</v>
      </c>
      <c r="AZ577" s="26">
        <f t="shared" si="419"/>
        <v>0</v>
      </c>
      <c r="BA577">
        <f t="shared" si="420"/>
        <v>0</v>
      </c>
      <c r="BB577">
        <f t="shared" si="421"/>
        <v>0</v>
      </c>
      <c r="BC577">
        <f t="shared" si="422"/>
        <v>0</v>
      </c>
    </row>
    <row r="578" spans="1:55" x14ac:dyDescent="0.2">
      <c r="A578" s="3">
        <f t="shared" si="394"/>
        <v>60357</v>
      </c>
      <c r="B578">
        <f t="shared" si="391"/>
        <v>580</v>
      </c>
      <c r="C578">
        <f t="shared" si="423"/>
        <v>48.25</v>
      </c>
      <c r="D578">
        <f t="shared" si="424"/>
        <v>0</v>
      </c>
      <c r="E578">
        <f t="shared" si="392"/>
        <v>104</v>
      </c>
      <c r="F578">
        <f>IF(C578&gt;=$T$2,0,VLOOKUP($E578,'Mortality Table'!$A$3:$C$128,2+AF$2,FALSE))</f>
        <v>0</v>
      </c>
      <c r="G578">
        <f>F578*Assumptions!$B$1</f>
        <v>0</v>
      </c>
      <c r="H578">
        <f t="shared" si="425"/>
        <v>0</v>
      </c>
      <c r="I578">
        <f t="shared" si="426"/>
        <v>0</v>
      </c>
      <c r="J578">
        <f>IF(B578&gt;$AJ$2,0,HLOOKUP(C578,Assumptions!$A$6:$J$7,2,TRUE))</f>
        <v>0</v>
      </c>
      <c r="K578" s="4">
        <f t="shared" si="427"/>
        <v>0</v>
      </c>
      <c r="L578" s="4">
        <f t="shared" si="395"/>
        <v>0</v>
      </c>
      <c r="M578" s="4">
        <f t="shared" si="428"/>
        <v>0</v>
      </c>
      <c r="N578">
        <f t="shared" si="429"/>
        <v>0</v>
      </c>
      <c r="O578" s="21">
        <f t="shared" si="430"/>
        <v>0</v>
      </c>
      <c r="P578">
        <f>IF(B578&gt;$AJ$2,0,HLOOKUP(C578,Assumptions!$A$12:$J$13,2,TRUE))</f>
        <v>0</v>
      </c>
      <c r="Q578">
        <f t="shared" si="431"/>
        <v>0</v>
      </c>
      <c r="R578">
        <f t="shared" si="396"/>
        <v>0</v>
      </c>
      <c r="S578">
        <f t="shared" si="432"/>
        <v>0</v>
      </c>
      <c r="T578">
        <f t="shared" si="433"/>
        <v>0</v>
      </c>
      <c r="U578">
        <f t="shared" si="397"/>
        <v>0</v>
      </c>
      <c r="V578">
        <f t="shared" si="398"/>
        <v>0</v>
      </c>
      <c r="W578">
        <f t="shared" si="399"/>
        <v>0</v>
      </c>
      <c r="X578">
        <f t="shared" si="434"/>
        <v>0</v>
      </c>
      <c r="Y578">
        <f t="shared" si="400"/>
        <v>0</v>
      </c>
      <c r="Z578">
        <f t="shared" si="401"/>
        <v>0</v>
      </c>
      <c r="AA578">
        <f t="shared" si="402"/>
        <v>0</v>
      </c>
      <c r="AB578">
        <f t="shared" si="403"/>
        <v>0</v>
      </c>
      <c r="AC578" s="23">
        <f>IF(B578&gt;$AJ$2,0,HLOOKUP(YEAR(A578),Assumptions!$A$25:$AL$29,4,TRUE)/100)</f>
        <v>0</v>
      </c>
      <c r="AD578">
        <f t="shared" si="404"/>
        <v>0</v>
      </c>
      <c r="AE578">
        <f t="shared" si="405"/>
        <v>0</v>
      </c>
      <c r="AF578">
        <f t="shared" si="406"/>
        <v>0</v>
      </c>
      <c r="AG578">
        <f t="shared" si="407"/>
        <v>0</v>
      </c>
      <c r="AH578">
        <f t="shared" si="408"/>
        <v>0</v>
      </c>
      <c r="AI578">
        <f t="shared" si="409"/>
        <v>0</v>
      </c>
      <c r="AJ578">
        <f t="shared" si="410"/>
        <v>0</v>
      </c>
      <c r="AK578">
        <f t="shared" si="435"/>
        <v>0</v>
      </c>
      <c r="AL578">
        <f t="shared" si="411"/>
        <v>0</v>
      </c>
      <c r="AM578">
        <f t="shared" si="393"/>
        <v>0</v>
      </c>
      <c r="AN578">
        <f>IF($S$2=0,0,(SUMPRODUCT($K$2:$R$2,Assumptions!$B$34:$I$34)/$U$2+$J$2/$U$2*Assumptions!$A$34*G578)*K578*O577)</f>
        <v>0</v>
      </c>
      <c r="AO578">
        <f t="shared" si="412"/>
        <v>0</v>
      </c>
      <c r="AP578">
        <f t="shared" si="413"/>
        <v>0</v>
      </c>
      <c r="AQ578">
        <f>IF(B578&gt;$AJ$2,0,AQ577*(1+Assumptions!$B$43)^(1/12))</f>
        <v>0</v>
      </c>
      <c r="AR578" s="27">
        <f>IF(B578&gt;$AJ$2,0,(O577+R577)*Assumptions!$B$39/12*AQ577+AV578*Assumptions!$B$41/12)</f>
        <v>0</v>
      </c>
      <c r="AS578">
        <f t="shared" si="414"/>
        <v>0</v>
      </c>
      <c r="AT578" s="28">
        <f t="shared" si="415"/>
        <v>0</v>
      </c>
      <c r="AU578">
        <f t="shared" si="416"/>
        <v>0</v>
      </c>
      <c r="AV578" s="28">
        <f t="shared" si="417"/>
        <v>0</v>
      </c>
      <c r="AW578" s="28">
        <f t="shared" si="418"/>
        <v>0</v>
      </c>
      <c r="AX578" s="23">
        <f>HLOOKUP(YEAR(A578),Assumptions!$A$25:$AL$29,2,TRUE)/100</f>
        <v>1.1332999999999999E-2</v>
      </c>
      <c r="AY578" s="29">
        <f>1/(1+HLOOKUP(YEAR(A578),Assumptions!$A$18:$AL$20,3,TRUE))^(1/12)</f>
        <v>0.99906100631170314</v>
      </c>
      <c r="AZ578" s="26">
        <f t="shared" si="419"/>
        <v>0</v>
      </c>
      <c r="BA578">
        <f t="shared" si="420"/>
        <v>0</v>
      </c>
      <c r="BB578">
        <f t="shared" si="421"/>
        <v>0</v>
      </c>
      <c r="BC578">
        <f t="shared" si="422"/>
        <v>0</v>
      </c>
    </row>
    <row r="579" spans="1:55" x14ac:dyDescent="0.2">
      <c r="A579" s="3">
        <f t="shared" si="394"/>
        <v>60387</v>
      </c>
      <c r="B579">
        <f t="shared" si="391"/>
        <v>581</v>
      </c>
      <c r="C579">
        <f t="shared" si="423"/>
        <v>48.333333333333336</v>
      </c>
      <c r="D579">
        <f t="shared" si="424"/>
        <v>0</v>
      </c>
      <c r="E579">
        <f t="shared" si="392"/>
        <v>104</v>
      </c>
      <c r="F579">
        <f>IF(C579&gt;=$T$2,0,VLOOKUP($E579,'Mortality Table'!$A$3:$C$128,2+AF$2,FALSE))</f>
        <v>0</v>
      </c>
      <c r="G579">
        <f>F579*Assumptions!$B$1</f>
        <v>0</v>
      </c>
      <c r="H579">
        <f t="shared" si="425"/>
        <v>0</v>
      </c>
      <c r="I579">
        <f t="shared" si="426"/>
        <v>0</v>
      </c>
      <c r="J579">
        <f>IF(B579&gt;$AJ$2,0,HLOOKUP(C579,Assumptions!$A$6:$J$7,2,TRUE))</f>
        <v>0</v>
      </c>
      <c r="K579" s="4">
        <f t="shared" si="427"/>
        <v>0</v>
      </c>
      <c r="L579" s="4">
        <f t="shared" si="395"/>
        <v>0</v>
      </c>
      <c r="M579" s="4">
        <f t="shared" si="428"/>
        <v>0</v>
      </c>
      <c r="N579">
        <f t="shared" si="429"/>
        <v>0</v>
      </c>
      <c r="O579" s="21">
        <f t="shared" si="430"/>
        <v>0</v>
      </c>
      <c r="P579">
        <f>IF(B579&gt;$AJ$2,0,HLOOKUP(C579,Assumptions!$A$12:$J$13,2,TRUE))</f>
        <v>0</v>
      </c>
      <c r="Q579">
        <f t="shared" si="431"/>
        <v>0</v>
      </c>
      <c r="R579">
        <f t="shared" si="396"/>
        <v>0</v>
      </c>
      <c r="S579">
        <f t="shared" si="432"/>
        <v>0</v>
      </c>
      <c r="T579">
        <f t="shared" si="433"/>
        <v>0</v>
      </c>
      <c r="U579">
        <f t="shared" si="397"/>
        <v>0</v>
      </c>
      <c r="V579">
        <f t="shared" si="398"/>
        <v>0</v>
      </c>
      <c r="W579">
        <f t="shared" si="399"/>
        <v>0</v>
      </c>
      <c r="X579">
        <f t="shared" si="434"/>
        <v>0</v>
      </c>
      <c r="Y579">
        <f t="shared" si="400"/>
        <v>0</v>
      </c>
      <c r="Z579">
        <f t="shared" si="401"/>
        <v>0</v>
      </c>
      <c r="AA579">
        <f t="shared" si="402"/>
        <v>0</v>
      </c>
      <c r="AB579">
        <f t="shared" si="403"/>
        <v>0</v>
      </c>
      <c r="AC579" s="23">
        <f>IF(B579&gt;$AJ$2,0,HLOOKUP(YEAR(A579),Assumptions!$A$25:$AL$29,4,TRUE)/100)</f>
        <v>0</v>
      </c>
      <c r="AD579">
        <f t="shared" si="404"/>
        <v>0</v>
      </c>
      <c r="AE579">
        <f t="shared" si="405"/>
        <v>0</v>
      </c>
      <c r="AF579">
        <f t="shared" si="406"/>
        <v>0</v>
      </c>
      <c r="AG579">
        <f t="shared" si="407"/>
        <v>0</v>
      </c>
      <c r="AH579">
        <f t="shared" si="408"/>
        <v>0</v>
      </c>
      <c r="AI579">
        <f t="shared" si="409"/>
        <v>0</v>
      </c>
      <c r="AJ579">
        <f t="shared" si="410"/>
        <v>0</v>
      </c>
      <c r="AK579">
        <f t="shared" si="435"/>
        <v>0</v>
      </c>
      <c r="AL579">
        <f t="shared" si="411"/>
        <v>0</v>
      </c>
      <c r="AM579">
        <f t="shared" si="393"/>
        <v>0</v>
      </c>
      <c r="AN579">
        <f>IF($S$2=0,0,(SUMPRODUCT($K$2:$R$2,Assumptions!$B$34:$I$34)/$U$2+$J$2/$U$2*Assumptions!$A$34*G579)*K579*O578)</f>
        <v>0</v>
      </c>
      <c r="AO579">
        <f t="shared" si="412"/>
        <v>0</v>
      </c>
      <c r="AP579">
        <f t="shared" si="413"/>
        <v>0</v>
      </c>
      <c r="AQ579">
        <f>IF(B579&gt;$AJ$2,0,AQ578*(1+Assumptions!$B$43)^(1/12))</f>
        <v>0</v>
      </c>
      <c r="AR579" s="27">
        <f>IF(B579&gt;$AJ$2,0,(O578+R578)*Assumptions!$B$39/12*AQ578+AV579*Assumptions!$B$41/12)</f>
        <v>0</v>
      </c>
      <c r="AS579">
        <f t="shared" si="414"/>
        <v>0</v>
      </c>
      <c r="AT579" s="28">
        <f t="shared" si="415"/>
        <v>0</v>
      </c>
      <c r="AU579">
        <f t="shared" si="416"/>
        <v>0</v>
      </c>
      <c r="AV579" s="28">
        <f t="shared" si="417"/>
        <v>0</v>
      </c>
      <c r="AW579" s="28">
        <f t="shared" si="418"/>
        <v>0</v>
      </c>
      <c r="AX579" s="23">
        <f>HLOOKUP(YEAR(A579),Assumptions!$A$25:$AL$29,2,TRUE)/100</f>
        <v>1.1332999999999999E-2</v>
      </c>
      <c r="AY579" s="29">
        <f>1/(1+HLOOKUP(YEAR(A579),Assumptions!$A$18:$AL$20,3,TRUE))^(1/12)</f>
        <v>0.99906100631170314</v>
      </c>
      <c r="AZ579" s="26">
        <f t="shared" si="419"/>
        <v>0</v>
      </c>
      <c r="BA579">
        <f t="shared" si="420"/>
        <v>0</v>
      </c>
      <c r="BB579">
        <f t="shared" si="421"/>
        <v>0</v>
      </c>
      <c r="BC579">
        <f t="shared" si="422"/>
        <v>0</v>
      </c>
    </row>
    <row r="580" spans="1:55" x14ac:dyDescent="0.2">
      <c r="A580" s="3">
        <f t="shared" si="394"/>
        <v>60418</v>
      </c>
      <c r="B580">
        <f t="shared" si="391"/>
        <v>582</v>
      </c>
      <c r="C580">
        <f t="shared" si="423"/>
        <v>48.416666666666664</v>
      </c>
      <c r="D580">
        <f t="shared" si="424"/>
        <v>0</v>
      </c>
      <c r="E580">
        <f t="shared" si="392"/>
        <v>104</v>
      </c>
      <c r="F580">
        <f>IF(C580&gt;=$T$2,0,VLOOKUP($E580,'Mortality Table'!$A$3:$C$128,2+AF$2,FALSE))</f>
        <v>0</v>
      </c>
      <c r="G580">
        <f>F580*Assumptions!$B$1</f>
        <v>0</v>
      </c>
      <c r="H580">
        <f t="shared" si="425"/>
        <v>0</v>
      </c>
      <c r="I580">
        <f t="shared" si="426"/>
        <v>0</v>
      </c>
      <c r="J580">
        <f>IF(B580&gt;$AJ$2,0,HLOOKUP(C580,Assumptions!$A$6:$J$7,2,TRUE))</f>
        <v>0</v>
      </c>
      <c r="K580" s="4">
        <f t="shared" si="427"/>
        <v>0</v>
      </c>
      <c r="L580" s="4">
        <f t="shared" si="395"/>
        <v>0</v>
      </c>
      <c r="M580" s="4">
        <f t="shared" si="428"/>
        <v>0</v>
      </c>
      <c r="N580">
        <f t="shared" si="429"/>
        <v>0</v>
      </c>
      <c r="O580" s="21">
        <f t="shared" si="430"/>
        <v>0</v>
      </c>
      <c r="P580">
        <f>IF(B580&gt;$AJ$2,0,HLOOKUP(C580,Assumptions!$A$12:$J$13,2,TRUE))</f>
        <v>0</v>
      </c>
      <c r="Q580">
        <f t="shared" si="431"/>
        <v>0</v>
      </c>
      <c r="R580">
        <f t="shared" si="396"/>
        <v>0</v>
      </c>
      <c r="S580">
        <f t="shared" si="432"/>
        <v>0</v>
      </c>
      <c r="T580">
        <f t="shared" si="433"/>
        <v>0</v>
      </c>
      <c r="U580">
        <f t="shared" si="397"/>
        <v>0</v>
      </c>
      <c r="V580">
        <f t="shared" si="398"/>
        <v>0</v>
      </c>
      <c r="W580">
        <f t="shared" si="399"/>
        <v>0</v>
      </c>
      <c r="X580">
        <f t="shared" si="434"/>
        <v>0</v>
      </c>
      <c r="Y580">
        <f t="shared" si="400"/>
        <v>0</v>
      </c>
      <c r="Z580">
        <f t="shared" si="401"/>
        <v>0</v>
      </c>
      <c r="AA580">
        <f t="shared" si="402"/>
        <v>0</v>
      </c>
      <c r="AB580">
        <f t="shared" si="403"/>
        <v>0</v>
      </c>
      <c r="AC580" s="23">
        <f>IF(B580&gt;$AJ$2,0,HLOOKUP(YEAR(A580),Assumptions!$A$25:$AL$29,4,TRUE)/100)</f>
        <v>0</v>
      </c>
      <c r="AD580">
        <f t="shared" si="404"/>
        <v>0</v>
      </c>
      <c r="AE580">
        <f t="shared" si="405"/>
        <v>0</v>
      </c>
      <c r="AF580">
        <f t="shared" si="406"/>
        <v>0</v>
      </c>
      <c r="AG580">
        <f t="shared" si="407"/>
        <v>0</v>
      </c>
      <c r="AH580">
        <f t="shared" si="408"/>
        <v>0</v>
      </c>
      <c r="AI580">
        <f t="shared" si="409"/>
        <v>0</v>
      </c>
      <c r="AJ580">
        <f t="shared" si="410"/>
        <v>0</v>
      </c>
      <c r="AK580">
        <f t="shared" si="435"/>
        <v>0</v>
      </c>
      <c r="AL580">
        <f t="shared" si="411"/>
        <v>0</v>
      </c>
      <c r="AM580">
        <f t="shared" si="393"/>
        <v>0</v>
      </c>
      <c r="AN580">
        <f>IF($S$2=0,0,(SUMPRODUCT($K$2:$R$2,Assumptions!$B$34:$I$34)/$U$2+$J$2/$U$2*Assumptions!$A$34*G580)*K580*O579)</f>
        <v>0</v>
      </c>
      <c r="AO580">
        <f t="shared" si="412"/>
        <v>0</v>
      </c>
      <c r="AP580">
        <f t="shared" si="413"/>
        <v>0</v>
      </c>
      <c r="AQ580">
        <f>IF(B580&gt;$AJ$2,0,AQ579*(1+Assumptions!$B$43)^(1/12))</f>
        <v>0</v>
      </c>
      <c r="AR580" s="27">
        <f>IF(B580&gt;$AJ$2,0,(O579+R579)*Assumptions!$B$39/12*AQ579+AV580*Assumptions!$B$41/12)</f>
        <v>0</v>
      </c>
      <c r="AS580">
        <f t="shared" si="414"/>
        <v>0</v>
      </c>
      <c r="AT580" s="28">
        <f t="shared" si="415"/>
        <v>0</v>
      </c>
      <c r="AU580">
        <f t="shared" si="416"/>
        <v>0</v>
      </c>
      <c r="AV580" s="28">
        <f t="shared" si="417"/>
        <v>0</v>
      </c>
      <c r="AW580" s="28">
        <f t="shared" si="418"/>
        <v>0</v>
      </c>
      <c r="AX580" s="23">
        <f>HLOOKUP(YEAR(A580),Assumptions!$A$25:$AL$29,2,TRUE)/100</f>
        <v>1.1332999999999999E-2</v>
      </c>
      <c r="AY580" s="29">
        <f>1/(1+HLOOKUP(YEAR(A580),Assumptions!$A$18:$AL$20,3,TRUE))^(1/12)</f>
        <v>0.99906100631170314</v>
      </c>
      <c r="AZ580" s="26">
        <f t="shared" si="419"/>
        <v>0</v>
      </c>
      <c r="BA580">
        <f t="shared" si="420"/>
        <v>0</v>
      </c>
      <c r="BB580">
        <f t="shared" si="421"/>
        <v>0</v>
      </c>
      <c r="BC580">
        <f t="shared" si="422"/>
        <v>0</v>
      </c>
    </row>
    <row r="581" spans="1:55" x14ac:dyDescent="0.2">
      <c r="A581" s="3">
        <f t="shared" si="394"/>
        <v>60448</v>
      </c>
      <c r="B581">
        <f t="shared" si="391"/>
        <v>583</v>
      </c>
      <c r="C581">
        <f t="shared" si="423"/>
        <v>48.5</v>
      </c>
      <c r="D581">
        <f t="shared" si="424"/>
        <v>0</v>
      </c>
      <c r="E581">
        <f t="shared" si="392"/>
        <v>104</v>
      </c>
      <c r="F581">
        <f>IF(C581&gt;=$T$2,0,VLOOKUP($E581,'Mortality Table'!$A$3:$C$128,2+AF$2,FALSE))</f>
        <v>0</v>
      </c>
      <c r="G581">
        <f>F581*Assumptions!$B$1</f>
        <v>0</v>
      </c>
      <c r="H581">
        <f t="shared" si="425"/>
        <v>0</v>
      </c>
      <c r="I581">
        <f t="shared" si="426"/>
        <v>0</v>
      </c>
      <c r="J581">
        <f>IF(B581&gt;$AJ$2,0,HLOOKUP(C581,Assumptions!$A$6:$J$7,2,TRUE))</f>
        <v>0</v>
      </c>
      <c r="K581" s="4">
        <f t="shared" si="427"/>
        <v>0</v>
      </c>
      <c r="L581" s="4">
        <f t="shared" si="395"/>
        <v>0</v>
      </c>
      <c r="M581" s="4">
        <f t="shared" si="428"/>
        <v>0</v>
      </c>
      <c r="N581">
        <f t="shared" si="429"/>
        <v>0</v>
      </c>
      <c r="O581" s="21">
        <f t="shared" si="430"/>
        <v>0</v>
      </c>
      <c r="P581">
        <f>IF(B581&gt;$AJ$2,0,HLOOKUP(C581,Assumptions!$A$12:$J$13,2,TRUE))</f>
        <v>0</v>
      </c>
      <c r="Q581">
        <f t="shared" si="431"/>
        <v>0</v>
      </c>
      <c r="R581">
        <f t="shared" si="396"/>
        <v>0</v>
      </c>
      <c r="S581">
        <f t="shared" si="432"/>
        <v>0</v>
      </c>
      <c r="T581">
        <f t="shared" si="433"/>
        <v>0</v>
      </c>
      <c r="U581">
        <f t="shared" si="397"/>
        <v>0</v>
      </c>
      <c r="V581">
        <f t="shared" si="398"/>
        <v>0</v>
      </c>
      <c r="W581">
        <f t="shared" si="399"/>
        <v>0</v>
      </c>
      <c r="X581">
        <f t="shared" si="434"/>
        <v>0</v>
      </c>
      <c r="Y581">
        <f t="shared" si="400"/>
        <v>0</v>
      </c>
      <c r="Z581">
        <f t="shared" si="401"/>
        <v>0</v>
      </c>
      <c r="AA581">
        <f t="shared" si="402"/>
        <v>0</v>
      </c>
      <c r="AB581">
        <f t="shared" si="403"/>
        <v>0</v>
      </c>
      <c r="AC581" s="23">
        <f>IF(B581&gt;$AJ$2,0,HLOOKUP(YEAR(A581),Assumptions!$A$25:$AL$29,4,TRUE)/100)</f>
        <v>0</v>
      </c>
      <c r="AD581">
        <f t="shared" si="404"/>
        <v>0</v>
      </c>
      <c r="AE581">
        <f t="shared" si="405"/>
        <v>0</v>
      </c>
      <c r="AF581">
        <f t="shared" si="406"/>
        <v>0</v>
      </c>
      <c r="AG581">
        <f t="shared" si="407"/>
        <v>0</v>
      </c>
      <c r="AH581">
        <f t="shared" si="408"/>
        <v>0</v>
      </c>
      <c r="AI581">
        <f t="shared" si="409"/>
        <v>0</v>
      </c>
      <c r="AJ581">
        <f t="shared" si="410"/>
        <v>0</v>
      </c>
      <c r="AK581">
        <f t="shared" si="435"/>
        <v>0</v>
      </c>
      <c r="AL581">
        <f t="shared" si="411"/>
        <v>0</v>
      </c>
      <c r="AM581">
        <f t="shared" si="393"/>
        <v>0</v>
      </c>
      <c r="AN581">
        <f>IF($S$2=0,0,(SUMPRODUCT($K$2:$R$2,Assumptions!$B$34:$I$34)/$U$2+$J$2/$U$2*Assumptions!$A$34*G581)*K581*O580)</f>
        <v>0</v>
      </c>
      <c r="AO581">
        <f t="shared" si="412"/>
        <v>0</v>
      </c>
      <c r="AP581">
        <f t="shared" si="413"/>
        <v>0</v>
      </c>
      <c r="AQ581">
        <f>IF(B581&gt;$AJ$2,0,AQ580*(1+Assumptions!$B$43)^(1/12))</f>
        <v>0</v>
      </c>
      <c r="AR581" s="27">
        <f>IF(B581&gt;$AJ$2,0,(O580+R580)*Assumptions!$B$39/12*AQ580+AV581*Assumptions!$B$41/12)</f>
        <v>0</v>
      </c>
      <c r="AS581">
        <f t="shared" si="414"/>
        <v>0</v>
      </c>
      <c r="AT581" s="28">
        <f t="shared" si="415"/>
        <v>0</v>
      </c>
      <c r="AU581">
        <f t="shared" si="416"/>
        <v>0</v>
      </c>
      <c r="AV581" s="28">
        <f t="shared" si="417"/>
        <v>0</v>
      </c>
      <c r="AW581" s="28">
        <f t="shared" si="418"/>
        <v>0</v>
      </c>
      <c r="AX581" s="23">
        <f>HLOOKUP(YEAR(A581),Assumptions!$A$25:$AL$29,2,TRUE)/100</f>
        <v>1.1332999999999999E-2</v>
      </c>
      <c r="AY581" s="29">
        <f>1/(1+HLOOKUP(YEAR(A581),Assumptions!$A$18:$AL$20,3,TRUE))^(1/12)</f>
        <v>0.99906100631170314</v>
      </c>
      <c r="AZ581" s="26">
        <f t="shared" si="419"/>
        <v>0</v>
      </c>
      <c r="BA581">
        <f t="shared" si="420"/>
        <v>0</v>
      </c>
      <c r="BB581">
        <f t="shared" si="421"/>
        <v>0</v>
      </c>
      <c r="BC581">
        <f t="shared" si="422"/>
        <v>0</v>
      </c>
    </row>
    <row r="582" spans="1:55" x14ac:dyDescent="0.2">
      <c r="A582" s="3">
        <f t="shared" si="394"/>
        <v>60479</v>
      </c>
      <c r="B582">
        <f t="shared" si="391"/>
        <v>584</v>
      </c>
      <c r="C582">
        <f t="shared" si="423"/>
        <v>48.583333333333336</v>
      </c>
      <c r="D582">
        <f t="shared" si="424"/>
        <v>0</v>
      </c>
      <c r="E582">
        <f t="shared" si="392"/>
        <v>104</v>
      </c>
      <c r="F582">
        <f>IF(C582&gt;=$T$2,0,VLOOKUP($E582,'Mortality Table'!$A$3:$C$128,2+AF$2,FALSE))</f>
        <v>0</v>
      </c>
      <c r="G582">
        <f>F582*Assumptions!$B$1</f>
        <v>0</v>
      </c>
      <c r="H582">
        <f t="shared" si="425"/>
        <v>0</v>
      </c>
      <c r="I582">
        <f t="shared" si="426"/>
        <v>0</v>
      </c>
      <c r="J582">
        <f>IF(B582&gt;$AJ$2,0,HLOOKUP(C582,Assumptions!$A$6:$J$7,2,TRUE))</f>
        <v>0</v>
      </c>
      <c r="K582" s="4">
        <f t="shared" si="427"/>
        <v>0</v>
      </c>
      <c r="L582" s="4">
        <f t="shared" si="395"/>
        <v>0</v>
      </c>
      <c r="M582" s="4">
        <f t="shared" si="428"/>
        <v>0</v>
      </c>
      <c r="N582">
        <f t="shared" si="429"/>
        <v>0</v>
      </c>
      <c r="O582" s="21">
        <f t="shared" si="430"/>
        <v>0</v>
      </c>
      <c r="P582">
        <f>IF(B582&gt;$AJ$2,0,HLOOKUP(C582,Assumptions!$A$12:$J$13,2,TRUE))</f>
        <v>0</v>
      </c>
      <c r="Q582">
        <f t="shared" si="431"/>
        <v>0</v>
      </c>
      <c r="R582">
        <f t="shared" si="396"/>
        <v>0</v>
      </c>
      <c r="S582">
        <f t="shared" si="432"/>
        <v>0</v>
      </c>
      <c r="T582">
        <f t="shared" si="433"/>
        <v>0</v>
      </c>
      <c r="U582">
        <f t="shared" si="397"/>
        <v>0</v>
      </c>
      <c r="V582">
        <f t="shared" si="398"/>
        <v>0</v>
      </c>
      <c r="W582">
        <f t="shared" si="399"/>
        <v>0</v>
      </c>
      <c r="X582">
        <f t="shared" si="434"/>
        <v>0</v>
      </c>
      <c r="Y582">
        <f t="shared" si="400"/>
        <v>0</v>
      </c>
      <c r="Z582">
        <f t="shared" si="401"/>
        <v>0</v>
      </c>
      <c r="AA582">
        <f t="shared" si="402"/>
        <v>0</v>
      </c>
      <c r="AB582">
        <f t="shared" si="403"/>
        <v>0</v>
      </c>
      <c r="AC582" s="23">
        <f>IF(B582&gt;$AJ$2,0,HLOOKUP(YEAR(A582),Assumptions!$A$25:$AL$29,4,TRUE)/100)</f>
        <v>0</v>
      </c>
      <c r="AD582">
        <f t="shared" si="404"/>
        <v>0</v>
      </c>
      <c r="AE582">
        <f t="shared" si="405"/>
        <v>0</v>
      </c>
      <c r="AF582">
        <f t="shared" si="406"/>
        <v>0</v>
      </c>
      <c r="AG582">
        <f t="shared" si="407"/>
        <v>0</v>
      </c>
      <c r="AH582">
        <f t="shared" si="408"/>
        <v>0</v>
      </c>
      <c r="AI582">
        <f t="shared" si="409"/>
        <v>0</v>
      </c>
      <c r="AJ582">
        <f t="shared" si="410"/>
        <v>0</v>
      </c>
      <c r="AK582">
        <f t="shared" si="435"/>
        <v>0</v>
      </c>
      <c r="AL582">
        <f t="shared" si="411"/>
        <v>0</v>
      </c>
      <c r="AM582">
        <f t="shared" si="393"/>
        <v>0</v>
      </c>
      <c r="AN582">
        <f>IF($S$2=0,0,(SUMPRODUCT($K$2:$R$2,Assumptions!$B$34:$I$34)/$U$2+$J$2/$U$2*Assumptions!$A$34*G582)*K582*O581)</f>
        <v>0</v>
      </c>
      <c r="AO582">
        <f t="shared" si="412"/>
        <v>0</v>
      </c>
      <c r="AP582">
        <f t="shared" si="413"/>
        <v>0</v>
      </c>
      <c r="AQ582">
        <f>IF(B582&gt;$AJ$2,0,AQ581*(1+Assumptions!$B$43)^(1/12))</f>
        <v>0</v>
      </c>
      <c r="AR582" s="27">
        <f>IF(B582&gt;$AJ$2,0,(O581+R581)*Assumptions!$B$39/12*AQ581+AV582*Assumptions!$B$41/12)</f>
        <v>0</v>
      </c>
      <c r="AS582">
        <f t="shared" si="414"/>
        <v>0</v>
      </c>
      <c r="AT582" s="28">
        <f t="shared" si="415"/>
        <v>0</v>
      </c>
      <c r="AU582">
        <f t="shared" si="416"/>
        <v>0</v>
      </c>
      <c r="AV582" s="28">
        <f t="shared" si="417"/>
        <v>0</v>
      </c>
      <c r="AW582" s="28">
        <f t="shared" si="418"/>
        <v>0</v>
      </c>
      <c r="AX582" s="23">
        <f>HLOOKUP(YEAR(A582),Assumptions!$A$25:$AL$29,2,TRUE)/100</f>
        <v>1.1332999999999999E-2</v>
      </c>
      <c r="AY582" s="29">
        <f>1/(1+HLOOKUP(YEAR(A582),Assumptions!$A$18:$AL$20,3,TRUE))^(1/12)</f>
        <v>0.99906100631170314</v>
      </c>
      <c r="AZ582" s="26">
        <f t="shared" si="419"/>
        <v>0</v>
      </c>
      <c r="BA582">
        <f t="shared" si="420"/>
        <v>0</v>
      </c>
      <c r="BB582">
        <f t="shared" si="421"/>
        <v>0</v>
      </c>
      <c r="BC582">
        <f t="shared" si="422"/>
        <v>0</v>
      </c>
    </row>
    <row r="583" spans="1:55" x14ac:dyDescent="0.2">
      <c r="A583" s="3">
        <f t="shared" si="394"/>
        <v>60510</v>
      </c>
      <c r="B583">
        <f t="shared" si="391"/>
        <v>585</v>
      </c>
      <c r="C583">
        <f t="shared" si="423"/>
        <v>48.666666666666664</v>
      </c>
      <c r="D583">
        <f t="shared" si="424"/>
        <v>0</v>
      </c>
      <c r="E583">
        <f t="shared" si="392"/>
        <v>104</v>
      </c>
      <c r="F583">
        <f>IF(C583&gt;=$T$2,0,VLOOKUP($E583,'Mortality Table'!$A$3:$C$128,2+AF$2,FALSE))</f>
        <v>0</v>
      </c>
      <c r="G583">
        <f>F583*Assumptions!$B$1</f>
        <v>0</v>
      </c>
      <c r="H583">
        <f t="shared" si="425"/>
        <v>0</v>
      </c>
      <c r="I583">
        <f t="shared" si="426"/>
        <v>0</v>
      </c>
      <c r="J583">
        <f>IF(B583&gt;$AJ$2,0,HLOOKUP(C583,Assumptions!$A$6:$J$7,2,TRUE))</f>
        <v>0</v>
      </c>
      <c r="K583" s="4">
        <f t="shared" si="427"/>
        <v>0</v>
      </c>
      <c r="L583" s="4">
        <f t="shared" si="395"/>
        <v>0</v>
      </c>
      <c r="M583" s="4">
        <f t="shared" si="428"/>
        <v>0</v>
      </c>
      <c r="N583">
        <f t="shared" si="429"/>
        <v>0</v>
      </c>
      <c r="O583" s="21">
        <f t="shared" si="430"/>
        <v>0</v>
      </c>
      <c r="P583">
        <f>IF(B583&gt;$AJ$2,0,HLOOKUP(C583,Assumptions!$A$12:$J$13,2,TRUE))</f>
        <v>0</v>
      </c>
      <c r="Q583">
        <f t="shared" si="431"/>
        <v>0</v>
      </c>
      <c r="R583">
        <f t="shared" si="396"/>
        <v>0</v>
      </c>
      <c r="S583">
        <f t="shared" si="432"/>
        <v>0</v>
      </c>
      <c r="T583">
        <f t="shared" si="433"/>
        <v>0</v>
      </c>
      <c r="U583">
        <f t="shared" si="397"/>
        <v>0</v>
      </c>
      <c r="V583">
        <f t="shared" si="398"/>
        <v>0</v>
      </c>
      <c r="W583">
        <f t="shared" si="399"/>
        <v>0</v>
      </c>
      <c r="X583">
        <f t="shared" si="434"/>
        <v>0</v>
      </c>
      <c r="Y583">
        <f t="shared" si="400"/>
        <v>0</v>
      </c>
      <c r="Z583">
        <f t="shared" si="401"/>
        <v>0</v>
      </c>
      <c r="AA583">
        <f t="shared" si="402"/>
        <v>0</v>
      </c>
      <c r="AB583">
        <f t="shared" si="403"/>
        <v>0</v>
      </c>
      <c r="AC583" s="23">
        <f>IF(B583&gt;$AJ$2,0,HLOOKUP(YEAR(A583),Assumptions!$A$25:$AL$29,4,TRUE)/100)</f>
        <v>0</v>
      </c>
      <c r="AD583">
        <f t="shared" si="404"/>
        <v>0</v>
      </c>
      <c r="AE583">
        <f t="shared" si="405"/>
        <v>0</v>
      </c>
      <c r="AF583">
        <f t="shared" si="406"/>
        <v>0</v>
      </c>
      <c r="AG583">
        <f t="shared" si="407"/>
        <v>0</v>
      </c>
      <c r="AH583">
        <f t="shared" si="408"/>
        <v>0</v>
      </c>
      <c r="AI583">
        <f t="shared" si="409"/>
        <v>0</v>
      </c>
      <c r="AJ583">
        <f t="shared" si="410"/>
        <v>0</v>
      </c>
      <c r="AK583">
        <f t="shared" si="435"/>
        <v>0</v>
      </c>
      <c r="AL583">
        <f t="shared" si="411"/>
        <v>0</v>
      </c>
      <c r="AM583">
        <f t="shared" si="393"/>
        <v>0</v>
      </c>
      <c r="AN583">
        <f>IF($S$2=0,0,(SUMPRODUCT($K$2:$R$2,Assumptions!$B$34:$I$34)/$U$2+$J$2/$U$2*Assumptions!$A$34*G583)*K583*O582)</f>
        <v>0</v>
      </c>
      <c r="AO583">
        <f t="shared" si="412"/>
        <v>0</v>
      </c>
      <c r="AP583">
        <f t="shared" si="413"/>
        <v>0</v>
      </c>
      <c r="AQ583">
        <f>IF(B583&gt;$AJ$2,0,AQ582*(1+Assumptions!$B$43)^(1/12))</f>
        <v>0</v>
      </c>
      <c r="AR583" s="27">
        <f>IF(B583&gt;$AJ$2,0,(O582+R582)*Assumptions!$B$39/12*AQ582+AV583*Assumptions!$B$41/12)</f>
        <v>0</v>
      </c>
      <c r="AS583">
        <f t="shared" si="414"/>
        <v>0</v>
      </c>
      <c r="AT583" s="28">
        <f t="shared" si="415"/>
        <v>0</v>
      </c>
      <c r="AU583">
        <f t="shared" si="416"/>
        <v>0</v>
      </c>
      <c r="AV583" s="28">
        <f t="shared" si="417"/>
        <v>0</v>
      </c>
      <c r="AW583" s="28">
        <f t="shared" si="418"/>
        <v>0</v>
      </c>
      <c r="AX583" s="23">
        <f>HLOOKUP(YEAR(A583),Assumptions!$A$25:$AL$29,2,TRUE)/100</f>
        <v>1.1332999999999999E-2</v>
      </c>
      <c r="AY583" s="29">
        <f>1/(1+HLOOKUP(YEAR(A583),Assumptions!$A$18:$AL$20,3,TRUE))^(1/12)</f>
        <v>0.99906100631170314</v>
      </c>
      <c r="AZ583" s="26">
        <f t="shared" si="419"/>
        <v>0</v>
      </c>
      <c r="BA583">
        <f t="shared" si="420"/>
        <v>0</v>
      </c>
      <c r="BB583">
        <f t="shared" si="421"/>
        <v>0</v>
      </c>
      <c r="BC583">
        <f t="shared" si="422"/>
        <v>0</v>
      </c>
    </row>
    <row r="584" spans="1:55" x14ac:dyDescent="0.2">
      <c r="A584" s="3">
        <f t="shared" si="394"/>
        <v>60540</v>
      </c>
      <c r="B584">
        <f t="shared" si="391"/>
        <v>586</v>
      </c>
      <c r="C584">
        <f t="shared" si="423"/>
        <v>48.75</v>
      </c>
      <c r="D584">
        <f t="shared" si="424"/>
        <v>0</v>
      </c>
      <c r="E584">
        <f t="shared" si="392"/>
        <v>104</v>
      </c>
      <c r="F584">
        <f>IF(C584&gt;=$T$2,0,VLOOKUP($E584,'Mortality Table'!$A$3:$C$128,2+AF$2,FALSE))</f>
        <v>0</v>
      </c>
      <c r="G584">
        <f>F584*Assumptions!$B$1</f>
        <v>0</v>
      </c>
      <c r="H584">
        <f t="shared" si="425"/>
        <v>0</v>
      </c>
      <c r="I584">
        <f t="shared" si="426"/>
        <v>0</v>
      </c>
      <c r="J584">
        <f>IF(B584&gt;$AJ$2,0,HLOOKUP(C584,Assumptions!$A$6:$J$7,2,TRUE))</f>
        <v>0</v>
      </c>
      <c r="K584" s="4">
        <f t="shared" si="427"/>
        <v>0</v>
      </c>
      <c r="L584" s="4">
        <f t="shared" si="395"/>
        <v>0</v>
      </c>
      <c r="M584" s="4">
        <f t="shared" si="428"/>
        <v>0</v>
      </c>
      <c r="N584">
        <f t="shared" si="429"/>
        <v>0</v>
      </c>
      <c r="O584" s="21">
        <f t="shared" si="430"/>
        <v>0</v>
      </c>
      <c r="P584">
        <f>IF(B584&gt;$AJ$2,0,HLOOKUP(C584,Assumptions!$A$12:$J$13,2,TRUE))</f>
        <v>0</v>
      </c>
      <c r="Q584">
        <f t="shared" si="431"/>
        <v>0</v>
      </c>
      <c r="R584">
        <f t="shared" si="396"/>
        <v>0</v>
      </c>
      <c r="S584">
        <f t="shared" si="432"/>
        <v>0</v>
      </c>
      <c r="T584">
        <f t="shared" si="433"/>
        <v>0</v>
      </c>
      <c r="U584">
        <f t="shared" si="397"/>
        <v>0</v>
      </c>
      <c r="V584">
        <f t="shared" si="398"/>
        <v>0</v>
      </c>
      <c r="W584">
        <f t="shared" si="399"/>
        <v>0</v>
      </c>
      <c r="X584">
        <f t="shared" si="434"/>
        <v>0</v>
      </c>
      <c r="Y584">
        <f t="shared" si="400"/>
        <v>0</v>
      </c>
      <c r="Z584">
        <f t="shared" si="401"/>
        <v>0</v>
      </c>
      <c r="AA584">
        <f t="shared" si="402"/>
        <v>0</v>
      </c>
      <c r="AB584">
        <f t="shared" si="403"/>
        <v>0</v>
      </c>
      <c r="AC584" s="23">
        <f>IF(B584&gt;$AJ$2,0,HLOOKUP(YEAR(A584),Assumptions!$A$25:$AL$29,4,TRUE)/100)</f>
        <v>0</v>
      </c>
      <c r="AD584">
        <f t="shared" si="404"/>
        <v>0</v>
      </c>
      <c r="AE584">
        <f t="shared" si="405"/>
        <v>0</v>
      </c>
      <c r="AF584">
        <f t="shared" si="406"/>
        <v>0</v>
      </c>
      <c r="AG584">
        <f t="shared" si="407"/>
        <v>0</v>
      </c>
      <c r="AH584">
        <f t="shared" si="408"/>
        <v>0</v>
      </c>
      <c r="AI584">
        <f t="shared" si="409"/>
        <v>0</v>
      </c>
      <c r="AJ584">
        <f t="shared" si="410"/>
        <v>0</v>
      </c>
      <c r="AK584">
        <f t="shared" si="435"/>
        <v>0</v>
      </c>
      <c r="AL584">
        <f t="shared" si="411"/>
        <v>0</v>
      </c>
      <c r="AM584">
        <f t="shared" si="393"/>
        <v>0</v>
      </c>
      <c r="AN584">
        <f>IF($S$2=0,0,(SUMPRODUCT($K$2:$R$2,Assumptions!$B$34:$I$34)/$U$2+$J$2/$U$2*Assumptions!$A$34*G584)*K584*O583)</f>
        <v>0</v>
      </c>
      <c r="AO584">
        <f t="shared" si="412"/>
        <v>0</v>
      </c>
      <c r="AP584">
        <f t="shared" si="413"/>
        <v>0</v>
      </c>
      <c r="AQ584">
        <f>IF(B584&gt;$AJ$2,0,AQ583*(1+Assumptions!$B$43)^(1/12))</f>
        <v>0</v>
      </c>
      <c r="AR584" s="27">
        <f>IF(B584&gt;$AJ$2,0,(O583+R583)*Assumptions!$B$39/12*AQ583+AV584*Assumptions!$B$41/12)</f>
        <v>0</v>
      </c>
      <c r="AS584">
        <f t="shared" si="414"/>
        <v>0</v>
      </c>
      <c r="AT584" s="28">
        <f t="shared" si="415"/>
        <v>0</v>
      </c>
      <c r="AU584">
        <f t="shared" si="416"/>
        <v>0</v>
      </c>
      <c r="AV584" s="28">
        <f t="shared" si="417"/>
        <v>0</v>
      </c>
      <c r="AW584" s="28">
        <f t="shared" si="418"/>
        <v>0</v>
      </c>
      <c r="AX584" s="23">
        <f>HLOOKUP(YEAR(A584),Assumptions!$A$25:$AL$29,2,TRUE)/100</f>
        <v>1.1332999999999999E-2</v>
      </c>
      <c r="AY584" s="29">
        <f>1/(1+HLOOKUP(YEAR(A584),Assumptions!$A$18:$AL$20,3,TRUE))^(1/12)</f>
        <v>0.99906100631170314</v>
      </c>
      <c r="AZ584" s="26">
        <f t="shared" si="419"/>
        <v>0</v>
      </c>
      <c r="BA584">
        <f t="shared" si="420"/>
        <v>0</v>
      </c>
      <c r="BB584">
        <f t="shared" si="421"/>
        <v>0</v>
      </c>
      <c r="BC584">
        <f t="shared" si="422"/>
        <v>0</v>
      </c>
    </row>
    <row r="585" spans="1:55" x14ac:dyDescent="0.2">
      <c r="A585" s="3">
        <f t="shared" si="394"/>
        <v>60571</v>
      </c>
      <c r="B585">
        <f t="shared" si="391"/>
        <v>587</v>
      </c>
      <c r="C585">
        <f t="shared" si="423"/>
        <v>48.833333333333336</v>
      </c>
      <c r="D585">
        <f t="shared" si="424"/>
        <v>0</v>
      </c>
      <c r="E585">
        <f t="shared" si="392"/>
        <v>104</v>
      </c>
      <c r="F585">
        <f>IF(C585&gt;=$T$2,0,VLOOKUP($E585,'Mortality Table'!$A$3:$C$128,2+AF$2,FALSE))</f>
        <v>0</v>
      </c>
      <c r="G585">
        <f>F585*Assumptions!$B$1</f>
        <v>0</v>
      </c>
      <c r="H585">
        <f t="shared" si="425"/>
        <v>0</v>
      </c>
      <c r="I585">
        <f t="shared" si="426"/>
        <v>0</v>
      </c>
      <c r="J585">
        <f>IF(B585&gt;$AJ$2,0,HLOOKUP(C585,Assumptions!$A$6:$J$7,2,TRUE))</f>
        <v>0</v>
      </c>
      <c r="K585" s="4">
        <f t="shared" si="427"/>
        <v>0</v>
      </c>
      <c r="L585" s="4">
        <f t="shared" si="395"/>
        <v>0</v>
      </c>
      <c r="M585" s="4">
        <f t="shared" si="428"/>
        <v>0</v>
      </c>
      <c r="N585">
        <f t="shared" si="429"/>
        <v>0</v>
      </c>
      <c r="O585" s="21">
        <f t="shared" si="430"/>
        <v>0</v>
      </c>
      <c r="P585">
        <f>IF(B585&gt;$AJ$2,0,HLOOKUP(C585,Assumptions!$A$12:$J$13,2,TRUE))</f>
        <v>0</v>
      </c>
      <c r="Q585">
        <f t="shared" si="431"/>
        <v>0</v>
      </c>
      <c r="R585">
        <f t="shared" si="396"/>
        <v>0</v>
      </c>
      <c r="S585">
        <f t="shared" si="432"/>
        <v>0</v>
      </c>
      <c r="T585">
        <f t="shared" si="433"/>
        <v>0</v>
      </c>
      <c r="U585">
        <f t="shared" si="397"/>
        <v>0</v>
      </c>
      <c r="V585">
        <f t="shared" si="398"/>
        <v>0</v>
      </c>
      <c r="W585">
        <f t="shared" si="399"/>
        <v>0</v>
      </c>
      <c r="X585">
        <f t="shared" si="434"/>
        <v>0</v>
      </c>
      <c r="Y585">
        <f t="shared" si="400"/>
        <v>0</v>
      </c>
      <c r="Z585">
        <f t="shared" si="401"/>
        <v>0</v>
      </c>
      <c r="AA585">
        <f t="shared" si="402"/>
        <v>0</v>
      </c>
      <c r="AB585">
        <f t="shared" si="403"/>
        <v>0</v>
      </c>
      <c r="AC585" s="23">
        <f>IF(B585&gt;$AJ$2,0,HLOOKUP(YEAR(A585),Assumptions!$A$25:$AL$29,4,TRUE)/100)</f>
        <v>0</v>
      </c>
      <c r="AD585">
        <f t="shared" si="404"/>
        <v>0</v>
      </c>
      <c r="AE585">
        <f t="shared" si="405"/>
        <v>0</v>
      </c>
      <c r="AF585">
        <f t="shared" si="406"/>
        <v>0</v>
      </c>
      <c r="AG585">
        <f t="shared" si="407"/>
        <v>0</v>
      </c>
      <c r="AH585">
        <f t="shared" si="408"/>
        <v>0</v>
      </c>
      <c r="AI585">
        <f t="shared" si="409"/>
        <v>0</v>
      </c>
      <c r="AJ585">
        <f t="shared" si="410"/>
        <v>0</v>
      </c>
      <c r="AK585">
        <f t="shared" si="435"/>
        <v>0</v>
      </c>
      <c r="AL585">
        <f t="shared" si="411"/>
        <v>0</v>
      </c>
      <c r="AM585">
        <f t="shared" si="393"/>
        <v>0</v>
      </c>
      <c r="AN585">
        <f>IF($S$2=0,0,(SUMPRODUCT($K$2:$R$2,Assumptions!$B$34:$I$34)/$U$2+$J$2/$U$2*Assumptions!$A$34*G585)*K585*O584)</f>
        <v>0</v>
      </c>
      <c r="AO585">
        <f t="shared" si="412"/>
        <v>0</v>
      </c>
      <c r="AP585">
        <f t="shared" si="413"/>
        <v>0</v>
      </c>
      <c r="AQ585">
        <f>IF(B585&gt;$AJ$2,0,AQ584*(1+Assumptions!$B$43)^(1/12))</f>
        <v>0</v>
      </c>
      <c r="AR585" s="27">
        <f>IF(B585&gt;$AJ$2,0,(O584+R584)*Assumptions!$B$39/12*AQ584+AV585*Assumptions!$B$41/12)</f>
        <v>0</v>
      </c>
      <c r="AS585">
        <f t="shared" si="414"/>
        <v>0</v>
      </c>
      <c r="AT585" s="28">
        <f t="shared" si="415"/>
        <v>0</v>
      </c>
      <c r="AU585">
        <f t="shared" si="416"/>
        <v>0</v>
      </c>
      <c r="AV585" s="28">
        <f t="shared" si="417"/>
        <v>0</v>
      </c>
      <c r="AW585" s="28">
        <f t="shared" si="418"/>
        <v>0</v>
      </c>
      <c r="AX585" s="23">
        <f>HLOOKUP(YEAR(A585),Assumptions!$A$25:$AL$29,2,TRUE)/100</f>
        <v>1.1332999999999999E-2</v>
      </c>
      <c r="AY585" s="29">
        <f>1/(1+HLOOKUP(YEAR(A585),Assumptions!$A$18:$AL$20,3,TRUE))^(1/12)</f>
        <v>0.99906100631170314</v>
      </c>
      <c r="AZ585" s="26">
        <f t="shared" si="419"/>
        <v>0</v>
      </c>
      <c r="BA585">
        <f t="shared" si="420"/>
        <v>0</v>
      </c>
      <c r="BB585">
        <f t="shared" si="421"/>
        <v>0</v>
      </c>
      <c r="BC585">
        <f t="shared" si="422"/>
        <v>0</v>
      </c>
    </row>
    <row r="586" spans="1:55" x14ac:dyDescent="0.2">
      <c r="A586" s="3">
        <f t="shared" si="394"/>
        <v>60601</v>
      </c>
      <c r="B586">
        <f t="shared" si="391"/>
        <v>588</v>
      </c>
      <c r="C586">
        <f t="shared" si="423"/>
        <v>48.916666666666664</v>
      </c>
      <c r="D586">
        <f t="shared" si="424"/>
        <v>0</v>
      </c>
      <c r="E586">
        <f t="shared" si="392"/>
        <v>104</v>
      </c>
      <c r="F586">
        <f>IF(C586&gt;=$T$2,0,VLOOKUP($E586,'Mortality Table'!$A$3:$C$128,2+AF$2,FALSE))</f>
        <v>0</v>
      </c>
      <c r="G586">
        <f>F586*Assumptions!$B$1</f>
        <v>0</v>
      </c>
      <c r="H586">
        <f t="shared" si="425"/>
        <v>0</v>
      </c>
      <c r="I586">
        <f t="shared" si="426"/>
        <v>0</v>
      </c>
      <c r="J586">
        <f>IF(B586&gt;$AJ$2,0,HLOOKUP(C586,Assumptions!$A$6:$J$7,2,TRUE))</f>
        <v>0</v>
      </c>
      <c r="K586" s="4">
        <f t="shared" si="427"/>
        <v>0</v>
      </c>
      <c r="L586" s="4">
        <f t="shared" si="395"/>
        <v>0</v>
      </c>
      <c r="M586" s="4">
        <f t="shared" si="428"/>
        <v>0</v>
      </c>
      <c r="N586">
        <f t="shared" si="429"/>
        <v>0</v>
      </c>
      <c r="O586" s="21">
        <f t="shared" si="430"/>
        <v>0</v>
      </c>
      <c r="P586">
        <f>IF(B586&gt;$AJ$2,0,HLOOKUP(C586,Assumptions!$A$12:$J$13,2,TRUE))</f>
        <v>0</v>
      </c>
      <c r="Q586">
        <f t="shared" si="431"/>
        <v>0</v>
      </c>
      <c r="R586">
        <f t="shared" si="396"/>
        <v>0</v>
      </c>
      <c r="S586">
        <f t="shared" si="432"/>
        <v>0</v>
      </c>
      <c r="T586">
        <f t="shared" si="433"/>
        <v>0</v>
      </c>
      <c r="U586">
        <f t="shared" si="397"/>
        <v>0</v>
      </c>
      <c r="V586">
        <f t="shared" si="398"/>
        <v>0</v>
      </c>
      <c r="W586">
        <f t="shared" si="399"/>
        <v>0</v>
      </c>
      <c r="X586">
        <f t="shared" si="434"/>
        <v>0</v>
      </c>
      <c r="Y586">
        <f t="shared" si="400"/>
        <v>0</v>
      </c>
      <c r="Z586">
        <f t="shared" si="401"/>
        <v>0</v>
      </c>
      <c r="AA586">
        <f t="shared" si="402"/>
        <v>0</v>
      </c>
      <c r="AB586">
        <f t="shared" si="403"/>
        <v>0</v>
      </c>
      <c r="AC586" s="23">
        <f>IF(B586&gt;$AJ$2,0,HLOOKUP(YEAR(A586),Assumptions!$A$25:$AL$29,4,TRUE)/100)</f>
        <v>0</v>
      </c>
      <c r="AD586">
        <f t="shared" si="404"/>
        <v>0</v>
      </c>
      <c r="AE586">
        <f t="shared" si="405"/>
        <v>0</v>
      </c>
      <c r="AF586">
        <f t="shared" si="406"/>
        <v>0</v>
      </c>
      <c r="AG586">
        <f t="shared" si="407"/>
        <v>0</v>
      </c>
      <c r="AH586">
        <f t="shared" si="408"/>
        <v>0</v>
      </c>
      <c r="AI586">
        <f t="shared" si="409"/>
        <v>0</v>
      </c>
      <c r="AJ586">
        <f t="shared" si="410"/>
        <v>0</v>
      </c>
      <c r="AK586">
        <f t="shared" si="435"/>
        <v>0</v>
      </c>
      <c r="AL586">
        <f t="shared" si="411"/>
        <v>0</v>
      </c>
      <c r="AM586">
        <f t="shared" si="393"/>
        <v>0</v>
      </c>
      <c r="AN586">
        <f>IF($S$2=0,0,(SUMPRODUCT($K$2:$R$2,Assumptions!$B$34:$I$34)/$U$2+$J$2/$U$2*Assumptions!$A$34*G586)*K586*O585)</f>
        <v>0</v>
      </c>
      <c r="AO586">
        <f t="shared" si="412"/>
        <v>0</v>
      </c>
      <c r="AP586">
        <f t="shared" si="413"/>
        <v>0</v>
      </c>
      <c r="AQ586">
        <f>IF(B586&gt;$AJ$2,0,AQ585*(1+Assumptions!$B$43)^(1/12))</f>
        <v>0</v>
      </c>
      <c r="AR586" s="27">
        <f>IF(B586&gt;$AJ$2,0,(O585+R585)*Assumptions!$B$39/12*AQ585+AV586*Assumptions!$B$41/12)</f>
        <v>0</v>
      </c>
      <c r="AS586">
        <f t="shared" si="414"/>
        <v>0</v>
      </c>
      <c r="AT586" s="28">
        <f t="shared" si="415"/>
        <v>0</v>
      </c>
      <c r="AU586">
        <f t="shared" si="416"/>
        <v>0</v>
      </c>
      <c r="AV586" s="28">
        <f t="shared" si="417"/>
        <v>0</v>
      </c>
      <c r="AW586" s="28">
        <f t="shared" si="418"/>
        <v>0</v>
      </c>
      <c r="AX586" s="23">
        <f>HLOOKUP(YEAR(A586),Assumptions!$A$25:$AL$29,2,TRUE)/100</f>
        <v>1.1332999999999999E-2</v>
      </c>
      <c r="AY586" s="29">
        <f>1/(1+HLOOKUP(YEAR(A586),Assumptions!$A$18:$AL$20,3,TRUE))^(1/12)</f>
        <v>0.99906100631170314</v>
      </c>
      <c r="AZ586" s="26">
        <f t="shared" si="419"/>
        <v>0</v>
      </c>
      <c r="BA586">
        <f t="shared" si="420"/>
        <v>0</v>
      </c>
      <c r="BB586">
        <f t="shared" si="421"/>
        <v>0</v>
      </c>
      <c r="BC586">
        <f t="shared" si="422"/>
        <v>0</v>
      </c>
    </row>
    <row r="587" spans="1:55" x14ac:dyDescent="0.2">
      <c r="A587" s="3">
        <f t="shared" si="394"/>
        <v>60632</v>
      </c>
      <c r="B587">
        <f t="shared" si="391"/>
        <v>589</v>
      </c>
      <c r="C587">
        <f t="shared" si="423"/>
        <v>49</v>
      </c>
      <c r="D587">
        <f t="shared" si="424"/>
        <v>1</v>
      </c>
      <c r="E587">
        <f t="shared" si="392"/>
        <v>105</v>
      </c>
      <c r="F587">
        <f>IF(C587&gt;=$T$2,0,VLOOKUP($E587,'Mortality Table'!$A$3:$C$128,2+AF$2,FALSE))</f>
        <v>0</v>
      </c>
      <c r="G587">
        <f>F587*Assumptions!$B$1</f>
        <v>0</v>
      </c>
      <c r="H587">
        <f t="shared" si="425"/>
        <v>0</v>
      </c>
      <c r="I587">
        <f t="shared" si="426"/>
        <v>0</v>
      </c>
      <c r="J587">
        <f>IF(B587&gt;$AJ$2,0,HLOOKUP(C587,Assumptions!$A$6:$J$7,2,TRUE))</f>
        <v>0</v>
      </c>
      <c r="K587" s="4">
        <f t="shared" si="427"/>
        <v>0</v>
      </c>
      <c r="L587" s="4">
        <f t="shared" si="395"/>
        <v>0</v>
      </c>
      <c r="M587" s="4">
        <f t="shared" si="428"/>
        <v>0</v>
      </c>
      <c r="N587">
        <f t="shared" si="429"/>
        <v>0</v>
      </c>
      <c r="O587" s="21">
        <f t="shared" si="430"/>
        <v>0</v>
      </c>
      <c r="P587">
        <f>IF(B587&gt;$AJ$2,0,HLOOKUP(C587,Assumptions!$A$12:$J$13,2,TRUE))</f>
        <v>0</v>
      </c>
      <c r="Q587">
        <f t="shared" si="431"/>
        <v>0</v>
      </c>
      <c r="R587">
        <f t="shared" si="396"/>
        <v>0</v>
      </c>
      <c r="S587">
        <f t="shared" si="432"/>
        <v>0</v>
      </c>
      <c r="T587">
        <f t="shared" si="433"/>
        <v>0</v>
      </c>
      <c r="U587">
        <f t="shared" si="397"/>
        <v>0</v>
      </c>
      <c r="V587">
        <f t="shared" si="398"/>
        <v>0</v>
      </c>
      <c r="W587">
        <f t="shared" si="399"/>
        <v>0</v>
      </c>
      <c r="X587">
        <f t="shared" si="434"/>
        <v>0</v>
      </c>
      <c r="Y587">
        <f t="shared" si="400"/>
        <v>0</v>
      </c>
      <c r="Z587">
        <f t="shared" si="401"/>
        <v>0</v>
      </c>
      <c r="AA587">
        <f t="shared" si="402"/>
        <v>0</v>
      </c>
      <c r="AB587">
        <f t="shared" si="403"/>
        <v>0</v>
      </c>
      <c r="AC587" s="23">
        <f>IF(B587&gt;$AJ$2,0,HLOOKUP(YEAR(A587),Assumptions!$A$25:$AL$29,4,TRUE)/100)</f>
        <v>0</v>
      </c>
      <c r="AD587">
        <f t="shared" si="404"/>
        <v>0</v>
      </c>
      <c r="AE587">
        <f t="shared" si="405"/>
        <v>0</v>
      </c>
      <c r="AF587">
        <f t="shared" si="406"/>
        <v>0</v>
      </c>
      <c r="AG587">
        <f t="shared" si="407"/>
        <v>0</v>
      </c>
      <c r="AH587">
        <f t="shared" si="408"/>
        <v>0</v>
      </c>
      <c r="AI587">
        <f t="shared" si="409"/>
        <v>0</v>
      </c>
      <c r="AJ587">
        <f t="shared" si="410"/>
        <v>0</v>
      </c>
      <c r="AK587">
        <f t="shared" si="435"/>
        <v>0</v>
      </c>
      <c r="AL587">
        <f t="shared" si="411"/>
        <v>0</v>
      </c>
      <c r="AM587">
        <f t="shared" si="393"/>
        <v>0</v>
      </c>
      <c r="AN587">
        <f>IF($S$2=0,0,(SUMPRODUCT($K$2:$R$2,Assumptions!$B$34:$I$34)/$U$2+$J$2/$U$2*Assumptions!$A$34*G587)*K587*O586)</f>
        <v>0</v>
      </c>
      <c r="AO587">
        <f t="shared" si="412"/>
        <v>0</v>
      </c>
      <c r="AP587">
        <f t="shared" si="413"/>
        <v>0</v>
      </c>
      <c r="AQ587">
        <f>IF(B587&gt;$AJ$2,0,AQ586*(1+Assumptions!$B$43)^(1/12))</f>
        <v>0</v>
      </c>
      <c r="AR587" s="27">
        <f>IF(B587&gt;$AJ$2,0,(O586+R586)*Assumptions!$B$39/12*AQ586+AV587*Assumptions!$B$41/12)</f>
        <v>0</v>
      </c>
      <c r="AS587">
        <f t="shared" si="414"/>
        <v>0</v>
      </c>
      <c r="AT587" s="28">
        <f t="shared" si="415"/>
        <v>0</v>
      </c>
      <c r="AU587">
        <f t="shared" si="416"/>
        <v>0</v>
      </c>
      <c r="AV587" s="28">
        <f t="shared" si="417"/>
        <v>0</v>
      </c>
      <c r="AW587" s="28">
        <f t="shared" si="418"/>
        <v>0</v>
      </c>
      <c r="AX587" s="23">
        <f>HLOOKUP(YEAR(A587),Assumptions!$A$25:$AL$29,2,TRUE)/100</f>
        <v>1.1332999999999999E-2</v>
      </c>
      <c r="AY587" s="29">
        <f>1/(1+HLOOKUP(YEAR(A587),Assumptions!$A$18:$AL$20,3,TRUE))^(1/12)</f>
        <v>0.99906100631170314</v>
      </c>
      <c r="AZ587" s="26">
        <f t="shared" si="419"/>
        <v>0</v>
      </c>
      <c r="BA587">
        <f t="shared" si="420"/>
        <v>0</v>
      </c>
      <c r="BB587">
        <f t="shared" si="421"/>
        <v>0</v>
      </c>
      <c r="BC587">
        <f t="shared" si="422"/>
        <v>0</v>
      </c>
    </row>
    <row r="588" spans="1:55" x14ac:dyDescent="0.2">
      <c r="A588" s="3">
        <f t="shared" si="394"/>
        <v>60663</v>
      </c>
      <c r="B588">
        <f t="shared" ref="B588:B624" si="436">B587+1</f>
        <v>590</v>
      </c>
      <c r="C588">
        <f t="shared" si="423"/>
        <v>49.083333333333336</v>
      </c>
      <c r="D588">
        <f t="shared" si="424"/>
        <v>0</v>
      </c>
      <c r="E588">
        <f t="shared" ref="E588:E624" si="437">$C$2+INT($C588)</f>
        <v>105</v>
      </c>
      <c r="F588">
        <f>IF(C588&gt;=$T$2,0,VLOOKUP($E588,'Mortality Table'!$A$3:$C$128,2+AF$2,FALSE))</f>
        <v>0</v>
      </c>
      <c r="G588">
        <f>F588*Assumptions!$B$1</f>
        <v>0</v>
      </c>
      <c r="H588">
        <f t="shared" si="425"/>
        <v>0</v>
      </c>
      <c r="I588">
        <f t="shared" si="426"/>
        <v>0</v>
      </c>
      <c r="J588">
        <f>IF(B588&gt;$AJ$2,0,HLOOKUP(C588,Assumptions!$A$6:$J$7,2,TRUE))</f>
        <v>0</v>
      </c>
      <c r="K588" s="4">
        <f t="shared" si="427"/>
        <v>0</v>
      </c>
      <c r="L588" s="4">
        <f t="shared" si="395"/>
        <v>0</v>
      </c>
      <c r="M588" s="4">
        <f t="shared" si="428"/>
        <v>0</v>
      </c>
      <c r="N588">
        <f t="shared" si="429"/>
        <v>0</v>
      </c>
      <c r="O588" s="21">
        <f t="shared" si="430"/>
        <v>0</v>
      </c>
      <c r="P588">
        <f>IF(B588&gt;$AJ$2,0,HLOOKUP(C588,Assumptions!$A$12:$J$13,2,TRUE))</f>
        <v>0</v>
      </c>
      <c r="Q588">
        <f t="shared" si="431"/>
        <v>0</v>
      </c>
      <c r="R588">
        <f t="shared" si="396"/>
        <v>0</v>
      </c>
      <c r="S588">
        <f t="shared" si="432"/>
        <v>0</v>
      </c>
      <c r="T588">
        <f t="shared" si="433"/>
        <v>0</v>
      </c>
      <c r="U588">
        <f t="shared" si="397"/>
        <v>0</v>
      </c>
      <c r="V588">
        <f t="shared" si="398"/>
        <v>0</v>
      </c>
      <c r="W588">
        <f t="shared" si="399"/>
        <v>0</v>
      </c>
      <c r="X588">
        <f t="shared" si="434"/>
        <v>0</v>
      </c>
      <c r="Y588">
        <f t="shared" si="400"/>
        <v>0</v>
      </c>
      <c r="Z588">
        <f t="shared" si="401"/>
        <v>0</v>
      </c>
      <c r="AA588">
        <f t="shared" si="402"/>
        <v>0</v>
      </c>
      <c r="AB588">
        <f t="shared" si="403"/>
        <v>0</v>
      </c>
      <c r="AC588" s="23">
        <f>IF(B588&gt;$AJ$2,0,HLOOKUP(YEAR(A588),Assumptions!$A$25:$AL$29,4,TRUE)/100)</f>
        <v>0</v>
      </c>
      <c r="AD588">
        <f t="shared" si="404"/>
        <v>0</v>
      </c>
      <c r="AE588">
        <f t="shared" si="405"/>
        <v>0</v>
      </c>
      <c r="AF588">
        <f t="shared" si="406"/>
        <v>0</v>
      </c>
      <c r="AG588">
        <f t="shared" si="407"/>
        <v>0</v>
      </c>
      <c r="AH588">
        <f t="shared" si="408"/>
        <v>0</v>
      </c>
      <c r="AI588">
        <f t="shared" si="409"/>
        <v>0</v>
      </c>
      <c r="AJ588">
        <f t="shared" si="410"/>
        <v>0</v>
      </c>
      <c r="AK588">
        <f t="shared" si="435"/>
        <v>0</v>
      </c>
      <c r="AL588">
        <f t="shared" si="411"/>
        <v>0</v>
      </c>
      <c r="AM588">
        <f t="shared" ref="AM588:AM624" si="438">IF($AJ$2+1=B588,O587*(Z587+AD587+MAX(0,IF(MONTH(A588)=1,AB587-AD587-Z587,0)))+R587*(AF587+AH587),0)</f>
        <v>0</v>
      </c>
      <c r="AN588">
        <f>IF($S$2=0,0,(SUMPRODUCT($K$2:$R$2,Assumptions!$B$34:$I$34)/$U$2+$J$2/$U$2*Assumptions!$A$34*G588)*K588*O587)</f>
        <v>0</v>
      </c>
      <c r="AO588">
        <f t="shared" si="412"/>
        <v>0</v>
      </c>
      <c r="AP588">
        <f t="shared" si="413"/>
        <v>0</v>
      </c>
      <c r="AQ588">
        <f>IF(B588&gt;$AJ$2,0,AQ587*(1+Assumptions!$B$43)^(1/12))</f>
        <v>0</v>
      </c>
      <c r="AR588" s="27">
        <f>IF(B588&gt;$AJ$2,0,(O587+R587)*Assumptions!$B$39/12*AQ587+AV588*Assumptions!$B$41/12)</f>
        <v>0</v>
      </c>
      <c r="AS588">
        <f t="shared" si="414"/>
        <v>0</v>
      </c>
      <c r="AT588" s="28">
        <f t="shared" si="415"/>
        <v>0</v>
      </c>
      <c r="AU588">
        <f t="shared" si="416"/>
        <v>0</v>
      </c>
      <c r="AV588" s="28">
        <f t="shared" si="417"/>
        <v>0</v>
      </c>
      <c r="AW588" s="28">
        <f t="shared" si="418"/>
        <v>0</v>
      </c>
      <c r="AX588" s="23">
        <f>HLOOKUP(YEAR(A588),Assumptions!$A$25:$AL$29,2,TRUE)/100</f>
        <v>1.1332999999999999E-2</v>
      </c>
      <c r="AY588" s="29">
        <f>1/(1+HLOOKUP(YEAR(A588),Assumptions!$A$18:$AL$20,3,TRUE))^(1/12)</f>
        <v>0.99906100631170314</v>
      </c>
      <c r="AZ588" s="26">
        <f t="shared" si="419"/>
        <v>0</v>
      </c>
      <c r="BA588">
        <f t="shared" si="420"/>
        <v>0</v>
      </c>
      <c r="BB588">
        <f t="shared" si="421"/>
        <v>0</v>
      </c>
      <c r="BC588">
        <f t="shared" si="422"/>
        <v>0</v>
      </c>
    </row>
    <row r="589" spans="1:55" x14ac:dyDescent="0.2">
      <c r="A589" s="3">
        <f t="shared" ref="A589:A624" si="439">DATE(YEAR(A588),MONTH(A588)+2,1)-1</f>
        <v>60691</v>
      </c>
      <c r="B589">
        <f t="shared" si="436"/>
        <v>591</v>
      </c>
      <c r="C589">
        <f t="shared" si="423"/>
        <v>49.166666666666664</v>
      </c>
      <c r="D589">
        <f t="shared" si="424"/>
        <v>0</v>
      </c>
      <c r="E589">
        <f t="shared" si="437"/>
        <v>105</v>
      </c>
      <c r="F589">
        <f>IF(C589&gt;=$T$2,0,VLOOKUP($E589,'Mortality Table'!$A$3:$C$128,2+AF$2,FALSE))</f>
        <v>0</v>
      </c>
      <c r="G589">
        <f>F589*Assumptions!$B$1</f>
        <v>0</v>
      </c>
      <c r="H589">
        <f t="shared" si="425"/>
        <v>0</v>
      </c>
      <c r="I589">
        <f t="shared" si="426"/>
        <v>0</v>
      </c>
      <c r="J589">
        <f>IF(B589&gt;$AJ$2,0,HLOOKUP(C589,Assumptions!$A$6:$J$7,2,TRUE))</f>
        <v>0</v>
      </c>
      <c r="K589" s="4">
        <f t="shared" si="427"/>
        <v>0</v>
      </c>
      <c r="L589" s="4">
        <f t="shared" ref="L589:L624" si="440">IF(B589&gt;$AJ$2,0,IF(B589=$AJ$2,1/$U$2,IF(K590=0,0,1/$U$2)))</f>
        <v>0</v>
      </c>
      <c r="M589" s="4">
        <f t="shared" si="428"/>
        <v>0</v>
      </c>
      <c r="N589">
        <f t="shared" si="429"/>
        <v>0</v>
      </c>
      <c r="O589" s="21">
        <f t="shared" si="430"/>
        <v>0</v>
      </c>
      <c r="P589">
        <f>IF(B589&gt;$AJ$2,0,HLOOKUP(C589,Assumptions!$A$12:$J$13,2,TRUE))</f>
        <v>0</v>
      </c>
      <c r="Q589">
        <f t="shared" si="431"/>
        <v>0</v>
      </c>
      <c r="R589">
        <f t="shared" ref="R589:R624" si="441">IF(B589&gt;$AJ$2,0,Q589+R588-S589-T589)</f>
        <v>0</v>
      </c>
      <c r="S589">
        <f t="shared" si="432"/>
        <v>0</v>
      </c>
      <c r="T589">
        <f t="shared" si="433"/>
        <v>0</v>
      </c>
      <c r="U589">
        <f t="shared" ref="U589:U624" si="442">IF(B589&gt;$AJ$2,0,U588*(1+$I$2/100)^D589)</f>
        <v>0</v>
      </c>
      <c r="V589">
        <f t="shared" ref="V589:V624" si="443">IF(B589&gt;$AJ$2,0,IF(E589&lt;=75,SUM($J$2:$R$2),0))</f>
        <v>0</v>
      </c>
      <c r="W589">
        <f t="shared" ref="W589:W624" si="444">IF(B589&gt;$AJ$2,0,($G$2+IF(B589&lt;13,$D$2,IF(B589&lt;25,$E$2,IF(B589&lt;37,$F$2,0))))/100)</f>
        <v>0</v>
      </c>
      <c r="X589">
        <f t="shared" si="434"/>
        <v>0</v>
      </c>
      <c r="Y589">
        <f t="shared" ref="Y589:Y624" si="445">IF($W$2=0,0,(U589-V589)*(1-W589)/$U$2*K589)</f>
        <v>0</v>
      </c>
      <c r="Z589">
        <f t="shared" ref="Z589:Z624" si="446">IF(B589&gt;$AJ$2,0,(Z588+Y589)*(1+$V$2/100)^(1/12))</f>
        <v>0</v>
      </c>
      <c r="AA589">
        <f t="shared" ref="AA589:AA624" si="447">IF(B589&gt;$AJ$2,0,MAX(0,IF(MONTH(A589)=1,AB588-AD588-Z588,0)))</f>
        <v>0</v>
      </c>
      <c r="AB589">
        <f t="shared" ref="AB589:AB624" si="448">IF(B589&gt;$AJ$2,0,(AB588+Y589)*(1+MAX(AC589,$V$2/100))^(1/12))</f>
        <v>0</v>
      </c>
      <c r="AC589" s="23">
        <f>IF(B589&gt;$AJ$2,0,HLOOKUP(YEAR(A589),Assumptions!$A$25:$AL$29,4,TRUE)/100)</f>
        <v>0</v>
      </c>
      <c r="AD589">
        <f t="shared" ref="AD589:AD624" si="449">IF(B589&gt;$AJ$2,0,AD588+AA589)*(1+$V$2/100)^(1/12)</f>
        <v>0</v>
      </c>
      <c r="AE589">
        <f t="shared" ref="AE589:AE624" si="450">IF(B589&gt;$AJ$2,0,IF(R589=0,0,(AF589*(R589-Q589)+Q589*Z589)/R589))</f>
        <v>0</v>
      </c>
      <c r="AF589">
        <f t="shared" ref="AF589:AF624" si="451">IF(B589&gt;$AJ$2,0,AE588*(1+$V$2/100)^(1/12))</f>
        <v>0</v>
      </c>
      <c r="AG589">
        <f t="shared" ref="AG589:AG624" si="452">IF(B589&gt;$AJ$2,0,IF(R589=0,0,(AG588*(R589-Q589)*(1+MAX(AC589,$V$2/100))^(1/12)+Q589*AB589)/R589))</f>
        <v>0</v>
      </c>
      <c r="AH589">
        <f t="shared" ref="AH589:AH624" si="453">IF(B589&gt;$AJ$2,0,IF(R589=0,0,(AI589*(R589-Q589)+Q589*AD589)/R589))</f>
        <v>0</v>
      </c>
      <c r="AI589">
        <f t="shared" ref="AI589:AI624" si="454">IF(B589&gt;$AJ$2,0,(AH588+AJ589)*(1+$V$2/100)^(1/12))</f>
        <v>0</v>
      </c>
      <c r="AJ589">
        <f t="shared" ref="AJ589:AJ624" si="455">IF(B589&gt;$AJ$2,0,MAX(0,IF(MONTH(A589)=1,AG588-AE588-AH588)))</f>
        <v>0</v>
      </c>
      <c r="AK589">
        <f t="shared" si="435"/>
        <v>0</v>
      </c>
      <c r="AL589">
        <f t="shared" ref="AL589:AL624" si="456">N589*(Z589+AD589+BC589)+T589*(AE589+AH589)</f>
        <v>0</v>
      </c>
      <c r="AM589">
        <f t="shared" si="438"/>
        <v>0</v>
      </c>
      <c r="AN589">
        <f>IF($S$2=0,0,(SUMPRODUCT($K$2:$R$2,Assumptions!$B$34:$I$34)/$U$2+$J$2/$U$2*Assumptions!$A$34*G589)*K589*O588)</f>
        <v>0</v>
      </c>
      <c r="AO589">
        <f t="shared" ref="AO589:AO624" si="457">($P$2+$R$2)/$U$2*K589*O588</f>
        <v>0</v>
      </c>
      <c r="AP589">
        <f t="shared" ref="AP589:AP624" si="458">IF(B589&lt;=12,(X589-AO589)*$AB$2+AO589*0.06,IF(B589&lt;=24,(X589-AO589)*$AC$2+AO589*0.06,IF(B589&lt;=36,(X589-AO589)*$AD$2+AO589*0.06,0)))</f>
        <v>0</v>
      </c>
      <c r="AQ589">
        <f>IF(B589&gt;$AJ$2,0,AQ588*(1+Assumptions!$B$43)^(1/12))</f>
        <v>0</v>
      </c>
      <c r="AR589" s="27">
        <f>IF(B589&gt;$AJ$2,0,(O588+R588)*Assumptions!$B$39/12*AQ588+AV589*Assumptions!$B$41/12)</f>
        <v>0</v>
      </c>
      <c r="AS589">
        <f t="shared" ref="AS589:AS624" si="459">IF(B589&gt;$AJ$2,0,Y589*K589*O588)</f>
        <v>0</v>
      </c>
      <c r="AT589" s="28">
        <f t="shared" ref="AT589:AT624" si="460">IF(B589&gt;$AJ$2,0,O589*(Z589+AD589+AA590+BC589)+R589*(AE589+AH589+AJ590))</f>
        <v>0</v>
      </c>
      <c r="AU589">
        <f t="shared" ref="AU589:AU624" si="461">IF(B589&gt;$AJ$2,0,IF(MONTH(A589)=12,0,AU588+AW589*((1+AX589)^(1/12)-1)-BB589*((1+$V$2/100)^(1/12)-1)))</f>
        <v>0</v>
      </c>
      <c r="AV589" s="28">
        <f t="shared" ref="AV589:AV624" si="462">IF(B589&gt;$AJ$2,0,AT588+AS589-AN589+AU588)</f>
        <v>0</v>
      </c>
      <c r="AW589" s="28">
        <f t="shared" ref="AW589:AW624" si="463">IF(B589&gt;$AJ$2,0,AT588+X589+AU588-AN589-AP589-AR589)</f>
        <v>0</v>
      </c>
      <c r="AX589" s="23">
        <f>HLOOKUP(YEAR(A589),Assumptions!$A$25:$AL$29,2,TRUE)/100</f>
        <v>1.1332999999999999E-2</v>
      </c>
      <c r="AY589" s="29">
        <f>1/(1+HLOOKUP(YEAR(A589),Assumptions!$A$18:$AL$20,3,TRUE))^(1/12)</f>
        <v>0.99906100631170314</v>
      </c>
      <c r="AZ589" s="26">
        <f t="shared" ref="AZ589:AZ624" si="464">(AZ590+BA590+AR590+AP590-X590)*AY590</f>
        <v>0</v>
      </c>
      <c r="BA589">
        <f t="shared" ref="BA589:BA624" si="465">AK589+AL589+AM589+AN589</f>
        <v>0</v>
      </c>
      <c r="BB589">
        <f t="shared" ref="BB589:BB624" si="466">IF(B589&gt;$AJ$2,0,AT588-BC588*O588+AS589-AN589)</f>
        <v>0</v>
      </c>
      <c r="BC589">
        <f t="shared" ref="BC589:BC624" si="467">IF($W$2=0,0,IF(B589&gt;$AJ$2,0,BC588+V589/$U$2*K589-$U$2/12*V589/$U$2))</f>
        <v>0</v>
      </c>
    </row>
    <row r="590" spans="1:55" x14ac:dyDescent="0.2">
      <c r="A590" s="3">
        <f t="shared" si="439"/>
        <v>60722</v>
      </c>
      <c r="B590">
        <f t="shared" si="436"/>
        <v>592</v>
      </c>
      <c r="C590">
        <f t="shared" si="423"/>
        <v>49.25</v>
      </c>
      <c r="D590">
        <f t="shared" si="424"/>
        <v>0</v>
      </c>
      <c r="E590">
        <f t="shared" si="437"/>
        <v>105</v>
      </c>
      <c r="F590">
        <f>IF(C590&gt;=$T$2,0,VLOOKUP($E590,'Mortality Table'!$A$3:$C$128,2+AF$2,FALSE))</f>
        <v>0</v>
      </c>
      <c r="G590">
        <f>F590*Assumptions!$B$1</f>
        <v>0</v>
      </c>
      <c r="H590">
        <f t="shared" si="425"/>
        <v>0</v>
      </c>
      <c r="I590">
        <f t="shared" si="426"/>
        <v>0</v>
      </c>
      <c r="J590">
        <f>IF(B590&gt;$AJ$2,0,HLOOKUP(C590,Assumptions!$A$6:$J$7,2,TRUE))</f>
        <v>0</v>
      </c>
      <c r="K590" s="4">
        <f t="shared" si="427"/>
        <v>0</v>
      </c>
      <c r="L590" s="4">
        <f t="shared" si="440"/>
        <v>0</v>
      </c>
      <c r="M590" s="4">
        <f t="shared" si="428"/>
        <v>0</v>
      </c>
      <c r="N590">
        <f t="shared" si="429"/>
        <v>0</v>
      </c>
      <c r="O590" s="21">
        <f t="shared" si="430"/>
        <v>0</v>
      </c>
      <c r="P590">
        <f>IF(B590&gt;$AJ$2,0,HLOOKUP(C590,Assumptions!$A$12:$J$13,2,TRUE))</f>
        <v>0</v>
      </c>
      <c r="Q590">
        <f t="shared" si="431"/>
        <v>0</v>
      </c>
      <c r="R590">
        <f t="shared" si="441"/>
        <v>0</v>
      </c>
      <c r="S590">
        <f t="shared" si="432"/>
        <v>0</v>
      </c>
      <c r="T590">
        <f t="shared" si="433"/>
        <v>0</v>
      </c>
      <c r="U590">
        <f t="shared" si="442"/>
        <v>0</v>
      </c>
      <c r="V590">
        <f t="shared" si="443"/>
        <v>0</v>
      </c>
      <c r="W590">
        <f t="shared" si="444"/>
        <v>0</v>
      </c>
      <c r="X590">
        <f t="shared" si="434"/>
        <v>0</v>
      </c>
      <c r="Y590">
        <f t="shared" si="445"/>
        <v>0</v>
      </c>
      <c r="Z590">
        <f t="shared" si="446"/>
        <v>0</v>
      </c>
      <c r="AA590">
        <f t="shared" si="447"/>
        <v>0</v>
      </c>
      <c r="AB590">
        <f t="shared" si="448"/>
        <v>0</v>
      </c>
      <c r="AC590" s="23">
        <f>IF(B590&gt;$AJ$2,0,HLOOKUP(YEAR(A590),Assumptions!$A$25:$AL$29,4,TRUE)/100)</f>
        <v>0</v>
      </c>
      <c r="AD590">
        <f t="shared" si="449"/>
        <v>0</v>
      </c>
      <c r="AE590">
        <f t="shared" si="450"/>
        <v>0</v>
      </c>
      <c r="AF590">
        <f t="shared" si="451"/>
        <v>0</v>
      </c>
      <c r="AG590">
        <f t="shared" si="452"/>
        <v>0</v>
      </c>
      <c r="AH590">
        <f t="shared" si="453"/>
        <v>0</v>
      </c>
      <c r="AI590">
        <f t="shared" si="454"/>
        <v>0</v>
      </c>
      <c r="AJ590">
        <f t="shared" si="455"/>
        <v>0</v>
      </c>
      <c r="AK590">
        <f t="shared" si="435"/>
        <v>0</v>
      </c>
      <c r="AL590">
        <f t="shared" si="456"/>
        <v>0</v>
      </c>
      <c r="AM590">
        <f t="shared" si="438"/>
        <v>0</v>
      </c>
      <c r="AN590">
        <f>IF($S$2=0,0,(SUMPRODUCT($K$2:$R$2,Assumptions!$B$34:$I$34)/$U$2+$J$2/$U$2*Assumptions!$A$34*G590)*K590*O589)</f>
        <v>0</v>
      </c>
      <c r="AO590">
        <f t="shared" si="457"/>
        <v>0</v>
      </c>
      <c r="AP590">
        <f t="shared" si="458"/>
        <v>0</v>
      </c>
      <c r="AQ590">
        <f>IF(B590&gt;$AJ$2,0,AQ589*(1+Assumptions!$B$43)^(1/12))</f>
        <v>0</v>
      </c>
      <c r="AR590" s="27">
        <f>IF(B590&gt;$AJ$2,0,(O589+R589)*Assumptions!$B$39/12*AQ589+AV590*Assumptions!$B$41/12)</f>
        <v>0</v>
      </c>
      <c r="AS590">
        <f t="shared" si="459"/>
        <v>0</v>
      </c>
      <c r="AT590" s="28">
        <f t="shared" si="460"/>
        <v>0</v>
      </c>
      <c r="AU590">
        <f t="shared" si="461"/>
        <v>0</v>
      </c>
      <c r="AV590" s="28">
        <f t="shared" si="462"/>
        <v>0</v>
      </c>
      <c r="AW590" s="28">
        <f t="shared" si="463"/>
        <v>0</v>
      </c>
      <c r="AX590" s="23">
        <f>HLOOKUP(YEAR(A590),Assumptions!$A$25:$AL$29,2,TRUE)/100</f>
        <v>1.1332999999999999E-2</v>
      </c>
      <c r="AY590" s="29">
        <f>1/(1+HLOOKUP(YEAR(A590),Assumptions!$A$18:$AL$20,3,TRUE))^(1/12)</f>
        <v>0.99906100631170314</v>
      </c>
      <c r="AZ590" s="26">
        <f t="shared" si="464"/>
        <v>0</v>
      </c>
      <c r="BA590">
        <f t="shared" si="465"/>
        <v>0</v>
      </c>
      <c r="BB590">
        <f t="shared" si="466"/>
        <v>0</v>
      </c>
      <c r="BC590">
        <f t="shared" si="467"/>
        <v>0</v>
      </c>
    </row>
    <row r="591" spans="1:55" x14ac:dyDescent="0.2">
      <c r="A591" s="3">
        <f t="shared" si="439"/>
        <v>60752</v>
      </c>
      <c r="B591">
        <f t="shared" si="436"/>
        <v>593</v>
      </c>
      <c r="C591">
        <f t="shared" si="423"/>
        <v>49.333333333333336</v>
      </c>
      <c r="D591">
        <f t="shared" si="424"/>
        <v>0</v>
      </c>
      <c r="E591">
        <f t="shared" si="437"/>
        <v>105</v>
      </c>
      <c r="F591">
        <f>IF(C591&gt;=$T$2,0,VLOOKUP($E591,'Mortality Table'!$A$3:$C$128,2+AF$2,FALSE))</f>
        <v>0</v>
      </c>
      <c r="G591">
        <f>F591*Assumptions!$B$1</f>
        <v>0</v>
      </c>
      <c r="H591">
        <f t="shared" si="425"/>
        <v>0</v>
      </c>
      <c r="I591">
        <f t="shared" si="426"/>
        <v>0</v>
      </c>
      <c r="J591">
        <f>IF(B591&gt;$AJ$2,0,HLOOKUP(C591,Assumptions!$A$6:$J$7,2,TRUE))</f>
        <v>0</v>
      </c>
      <c r="K591" s="4">
        <f t="shared" si="427"/>
        <v>0</v>
      </c>
      <c r="L591" s="4">
        <f t="shared" si="440"/>
        <v>0</v>
      </c>
      <c r="M591" s="4">
        <f t="shared" si="428"/>
        <v>0</v>
      </c>
      <c r="N591">
        <f t="shared" si="429"/>
        <v>0</v>
      </c>
      <c r="O591" s="21">
        <f t="shared" si="430"/>
        <v>0</v>
      </c>
      <c r="P591">
        <f>IF(B591&gt;$AJ$2,0,HLOOKUP(C591,Assumptions!$A$12:$J$13,2,TRUE))</f>
        <v>0</v>
      </c>
      <c r="Q591">
        <f t="shared" si="431"/>
        <v>0</v>
      </c>
      <c r="R591">
        <f t="shared" si="441"/>
        <v>0</v>
      </c>
      <c r="S591">
        <f t="shared" si="432"/>
        <v>0</v>
      </c>
      <c r="T591">
        <f t="shared" si="433"/>
        <v>0</v>
      </c>
      <c r="U591">
        <f t="shared" si="442"/>
        <v>0</v>
      </c>
      <c r="V591">
        <f t="shared" si="443"/>
        <v>0</v>
      </c>
      <c r="W591">
        <f t="shared" si="444"/>
        <v>0</v>
      </c>
      <c r="X591">
        <f t="shared" si="434"/>
        <v>0</v>
      </c>
      <c r="Y591">
        <f t="shared" si="445"/>
        <v>0</v>
      </c>
      <c r="Z591">
        <f t="shared" si="446"/>
        <v>0</v>
      </c>
      <c r="AA591">
        <f t="shared" si="447"/>
        <v>0</v>
      </c>
      <c r="AB591">
        <f t="shared" si="448"/>
        <v>0</v>
      </c>
      <c r="AC591" s="23">
        <f>IF(B591&gt;$AJ$2,0,HLOOKUP(YEAR(A591),Assumptions!$A$25:$AL$29,4,TRUE)/100)</f>
        <v>0</v>
      </c>
      <c r="AD591">
        <f t="shared" si="449"/>
        <v>0</v>
      </c>
      <c r="AE591">
        <f t="shared" si="450"/>
        <v>0</v>
      </c>
      <c r="AF591">
        <f t="shared" si="451"/>
        <v>0</v>
      </c>
      <c r="AG591">
        <f t="shared" si="452"/>
        <v>0</v>
      </c>
      <c r="AH591">
        <f t="shared" si="453"/>
        <v>0</v>
      </c>
      <c r="AI591">
        <f t="shared" si="454"/>
        <v>0</v>
      </c>
      <c r="AJ591">
        <f t="shared" si="455"/>
        <v>0</v>
      </c>
      <c r="AK591">
        <f t="shared" si="435"/>
        <v>0</v>
      </c>
      <c r="AL591">
        <f t="shared" si="456"/>
        <v>0</v>
      </c>
      <c r="AM591">
        <f t="shared" si="438"/>
        <v>0</v>
      </c>
      <c r="AN591">
        <f>IF($S$2=0,0,(SUMPRODUCT($K$2:$R$2,Assumptions!$B$34:$I$34)/$U$2+$J$2/$U$2*Assumptions!$A$34*G591)*K591*O590)</f>
        <v>0</v>
      </c>
      <c r="AO591">
        <f t="shared" si="457"/>
        <v>0</v>
      </c>
      <c r="AP591">
        <f t="shared" si="458"/>
        <v>0</v>
      </c>
      <c r="AQ591">
        <f>IF(B591&gt;$AJ$2,0,AQ590*(1+Assumptions!$B$43)^(1/12))</f>
        <v>0</v>
      </c>
      <c r="AR591" s="27">
        <f>IF(B591&gt;$AJ$2,0,(O590+R590)*Assumptions!$B$39/12*AQ590+AV591*Assumptions!$B$41/12)</f>
        <v>0</v>
      </c>
      <c r="AS591">
        <f t="shared" si="459"/>
        <v>0</v>
      </c>
      <c r="AT591" s="28">
        <f t="shared" si="460"/>
        <v>0</v>
      </c>
      <c r="AU591">
        <f t="shared" si="461"/>
        <v>0</v>
      </c>
      <c r="AV591" s="28">
        <f t="shared" si="462"/>
        <v>0</v>
      </c>
      <c r="AW591" s="28">
        <f t="shared" si="463"/>
        <v>0</v>
      </c>
      <c r="AX591" s="23">
        <f>HLOOKUP(YEAR(A591),Assumptions!$A$25:$AL$29,2,TRUE)/100</f>
        <v>1.1332999999999999E-2</v>
      </c>
      <c r="AY591" s="29">
        <f>1/(1+HLOOKUP(YEAR(A591),Assumptions!$A$18:$AL$20,3,TRUE))^(1/12)</f>
        <v>0.99906100631170314</v>
      </c>
      <c r="AZ591" s="26">
        <f t="shared" si="464"/>
        <v>0</v>
      </c>
      <c r="BA591">
        <f t="shared" si="465"/>
        <v>0</v>
      </c>
      <c r="BB591">
        <f t="shared" si="466"/>
        <v>0</v>
      </c>
      <c r="BC591">
        <f t="shared" si="467"/>
        <v>0</v>
      </c>
    </row>
    <row r="592" spans="1:55" x14ac:dyDescent="0.2">
      <c r="A592" s="3">
        <f t="shared" si="439"/>
        <v>60783</v>
      </c>
      <c r="B592">
        <f t="shared" si="436"/>
        <v>594</v>
      </c>
      <c r="C592">
        <f t="shared" si="423"/>
        <v>49.416666666666664</v>
      </c>
      <c r="D592">
        <f t="shared" si="424"/>
        <v>0</v>
      </c>
      <c r="E592">
        <f t="shared" si="437"/>
        <v>105</v>
      </c>
      <c r="F592">
        <f>IF(C592&gt;=$T$2,0,VLOOKUP($E592,'Mortality Table'!$A$3:$C$128,2+AF$2,FALSE))</f>
        <v>0</v>
      </c>
      <c r="G592">
        <f>F592*Assumptions!$B$1</f>
        <v>0</v>
      </c>
      <c r="H592">
        <f t="shared" si="425"/>
        <v>0</v>
      </c>
      <c r="I592">
        <f t="shared" si="426"/>
        <v>0</v>
      </c>
      <c r="J592">
        <f>IF(B592&gt;$AJ$2,0,HLOOKUP(C592,Assumptions!$A$6:$J$7,2,TRUE))</f>
        <v>0</v>
      </c>
      <c r="K592" s="4">
        <f t="shared" si="427"/>
        <v>0</v>
      </c>
      <c r="L592" s="4">
        <f t="shared" si="440"/>
        <v>0</v>
      </c>
      <c r="M592" s="4">
        <f t="shared" si="428"/>
        <v>0</v>
      </c>
      <c r="N592">
        <f t="shared" si="429"/>
        <v>0</v>
      </c>
      <c r="O592" s="21">
        <f t="shared" si="430"/>
        <v>0</v>
      </c>
      <c r="P592">
        <f>IF(B592&gt;$AJ$2,0,HLOOKUP(C592,Assumptions!$A$12:$J$13,2,TRUE))</f>
        <v>0</v>
      </c>
      <c r="Q592">
        <f t="shared" si="431"/>
        <v>0</v>
      </c>
      <c r="R592">
        <f t="shared" si="441"/>
        <v>0</v>
      </c>
      <c r="S592">
        <f t="shared" si="432"/>
        <v>0</v>
      </c>
      <c r="T592">
        <f t="shared" si="433"/>
        <v>0</v>
      </c>
      <c r="U592">
        <f t="shared" si="442"/>
        <v>0</v>
      </c>
      <c r="V592">
        <f t="shared" si="443"/>
        <v>0</v>
      </c>
      <c r="W592">
        <f t="shared" si="444"/>
        <v>0</v>
      </c>
      <c r="X592">
        <f t="shared" si="434"/>
        <v>0</v>
      </c>
      <c r="Y592">
        <f t="shared" si="445"/>
        <v>0</v>
      </c>
      <c r="Z592">
        <f t="shared" si="446"/>
        <v>0</v>
      </c>
      <c r="AA592">
        <f t="shared" si="447"/>
        <v>0</v>
      </c>
      <c r="AB592">
        <f t="shared" si="448"/>
        <v>0</v>
      </c>
      <c r="AC592" s="23">
        <f>IF(B592&gt;$AJ$2,0,HLOOKUP(YEAR(A592),Assumptions!$A$25:$AL$29,4,TRUE)/100)</f>
        <v>0</v>
      </c>
      <c r="AD592">
        <f t="shared" si="449"/>
        <v>0</v>
      </c>
      <c r="AE592">
        <f t="shared" si="450"/>
        <v>0</v>
      </c>
      <c r="AF592">
        <f t="shared" si="451"/>
        <v>0</v>
      </c>
      <c r="AG592">
        <f t="shared" si="452"/>
        <v>0</v>
      </c>
      <c r="AH592">
        <f t="shared" si="453"/>
        <v>0</v>
      </c>
      <c r="AI592">
        <f t="shared" si="454"/>
        <v>0</v>
      </c>
      <c r="AJ592">
        <f t="shared" si="455"/>
        <v>0</v>
      </c>
      <c r="AK592">
        <f t="shared" si="435"/>
        <v>0</v>
      </c>
      <c r="AL592">
        <f t="shared" si="456"/>
        <v>0</v>
      </c>
      <c r="AM592">
        <f t="shared" si="438"/>
        <v>0</v>
      </c>
      <c r="AN592">
        <f>IF($S$2=0,0,(SUMPRODUCT($K$2:$R$2,Assumptions!$B$34:$I$34)/$U$2+$J$2/$U$2*Assumptions!$A$34*G592)*K592*O591)</f>
        <v>0</v>
      </c>
      <c r="AO592">
        <f t="shared" si="457"/>
        <v>0</v>
      </c>
      <c r="AP592">
        <f t="shared" si="458"/>
        <v>0</v>
      </c>
      <c r="AQ592">
        <f>IF(B592&gt;$AJ$2,0,AQ591*(1+Assumptions!$B$43)^(1/12))</f>
        <v>0</v>
      </c>
      <c r="AR592" s="27">
        <f>IF(B592&gt;$AJ$2,0,(O591+R591)*Assumptions!$B$39/12*AQ591+AV592*Assumptions!$B$41/12)</f>
        <v>0</v>
      </c>
      <c r="AS592">
        <f t="shared" si="459"/>
        <v>0</v>
      </c>
      <c r="AT592" s="28">
        <f t="shared" si="460"/>
        <v>0</v>
      </c>
      <c r="AU592">
        <f t="shared" si="461"/>
        <v>0</v>
      </c>
      <c r="AV592" s="28">
        <f t="shared" si="462"/>
        <v>0</v>
      </c>
      <c r="AW592" s="28">
        <f t="shared" si="463"/>
        <v>0</v>
      </c>
      <c r="AX592" s="23">
        <f>HLOOKUP(YEAR(A592),Assumptions!$A$25:$AL$29,2,TRUE)/100</f>
        <v>1.1332999999999999E-2</v>
      </c>
      <c r="AY592" s="29">
        <f>1/(1+HLOOKUP(YEAR(A592),Assumptions!$A$18:$AL$20,3,TRUE))^(1/12)</f>
        <v>0.99906100631170314</v>
      </c>
      <c r="AZ592" s="26">
        <f t="shared" si="464"/>
        <v>0</v>
      </c>
      <c r="BA592">
        <f t="shared" si="465"/>
        <v>0</v>
      </c>
      <c r="BB592">
        <f t="shared" si="466"/>
        <v>0</v>
      </c>
      <c r="BC592">
        <f t="shared" si="467"/>
        <v>0</v>
      </c>
    </row>
    <row r="593" spans="1:55" x14ac:dyDescent="0.2">
      <c r="A593" s="3">
        <f t="shared" si="439"/>
        <v>60813</v>
      </c>
      <c r="B593">
        <f t="shared" si="436"/>
        <v>595</v>
      </c>
      <c r="C593">
        <f t="shared" si="423"/>
        <v>49.5</v>
      </c>
      <c r="D593">
        <f t="shared" si="424"/>
        <v>0</v>
      </c>
      <c r="E593">
        <f t="shared" si="437"/>
        <v>105</v>
      </c>
      <c r="F593">
        <f>IF(C593&gt;=$T$2,0,VLOOKUP($E593,'Mortality Table'!$A$3:$C$128,2+AF$2,FALSE))</f>
        <v>0</v>
      </c>
      <c r="G593">
        <f>F593*Assumptions!$B$1</f>
        <v>0</v>
      </c>
      <c r="H593">
        <f t="shared" si="425"/>
        <v>0</v>
      </c>
      <c r="I593">
        <f t="shared" si="426"/>
        <v>0</v>
      </c>
      <c r="J593">
        <f>IF(B593&gt;$AJ$2,0,HLOOKUP(C593,Assumptions!$A$6:$J$7,2,TRUE))</f>
        <v>0</v>
      </c>
      <c r="K593" s="4">
        <f t="shared" si="427"/>
        <v>0</v>
      </c>
      <c r="L593" s="4">
        <f t="shared" si="440"/>
        <v>0</v>
      </c>
      <c r="M593" s="4">
        <f t="shared" si="428"/>
        <v>0</v>
      </c>
      <c r="N593">
        <f t="shared" si="429"/>
        <v>0</v>
      </c>
      <c r="O593" s="21">
        <f t="shared" si="430"/>
        <v>0</v>
      </c>
      <c r="P593">
        <f>IF(B593&gt;$AJ$2,0,HLOOKUP(C593,Assumptions!$A$12:$J$13,2,TRUE))</f>
        <v>0</v>
      </c>
      <c r="Q593">
        <f t="shared" si="431"/>
        <v>0</v>
      </c>
      <c r="R593">
        <f t="shared" si="441"/>
        <v>0</v>
      </c>
      <c r="S593">
        <f t="shared" si="432"/>
        <v>0</v>
      </c>
      <c r="T593">
        <f t="shared" si="433"/>
        <v>0</v>
      </c>
      <c r="U593">
        <f t="shared" si="442"/>
        <v>0</v>
      </c>
      <c r="V593">
        <f t="shared" si="443"/>
        <v>0</v>
      </c>
      <c r="W593">
        <f t="shared" si="444"/>
        <v>0</v>
      </c>
      <c r="X593">
        <f t="shared" si="434"/>
        <v>0</v>
      </c>
      <c r="Y593">
        <f t="shared" si="445"/>
        <v>0</v>
      </c>
      <c r="Z593">
        <f t="shared" si="446"/>
        <v>0</v>
      </c>
      <c r="AA593">
        <f t="shared" si="447"/>
        <v>0</v>
      </c>
      <c r="AB593">
        <f t="shared" si="448"/>
        <v>0</v>
      </c>
      <c r="AC593" s="23">
        <f>IF(B593&gt;$AJ$2,0,HLOOKUP(YEAR(A593),Assumptions!$A$25:$AL$29,4,TRUE)/100)</f>
        <v>0</v>
      </c>
      <c r="AD593">
        <f t="shared" si="449"/>
        <v>0</v>
      </c>
      <c r="AE593">
        <f t="shared" si="450"/>
        <v>0</v>
      </c>
      <c r="AF593">
        <f t="shared" si="451"/>
        <v>0</v>
      </c>
      <c r="AG593">
        <f t="shared" si="452"/>
        <v>0</v>
      </c>
      <c r="AH593">
        <f t="shared" si="453"/>
        <v>0</v>
      </c>
      <c r="AI593">
        <f t="shared" si="454"/>
        <v>0</v>
      </c>
      <c r="AJ593">
        <f t="shared" si="455"/>
        <v>0</v>
      </c>
      <c r="AK593">
        <f t="shared" si="435"/>
        <v>0</v>
      </c>
      <c r="AL593">
        <f t="shared" si="456"/>
        <v>0</v>
      </c>
      <c r="AM593">
        <f t="shared" si="438"/>
        <v>0</v>
      </c>
      <c r="AN593">
        <f>IF($S$2=0,0,(SUMPRODUCT($K$2:$R$2,Assumptions!$B$34:$I$34)/$U$2+$J$2/$U$2*Assumptions!$A$34*G593)*K593*O592)</f>
        <v>0</v>
      </c>
      <c r="AO593">
        <f t="shared" si="457"/>
        <v>0</v>
      </c>
      <c r="AP593">
        <f t="shared" si="458"/>
        <v>0</v>
      </c>
      <c r="AQ593">
        <f>IF(B593&gt;$AJ$2,0,AQ592*(1+Assumptions!$B$43)^(1/12))</f>
        <v>0</v>
      </c>
      <c r="AR593" s="27">
        <f>IF(B593&gt;$AJ$2,0,(O592+R592)*Assumptions!$B$39/12*AQ592+AV593*Assumptions!$B$41/12)</f>
        <v>0</v>
      </c>
      <c r="AS593">
        <f t="shared" si="459"/>
        <v>0</v>
      </c>
      <c r="AT593" s="28">
        <f t="shared" si="460"/>
        <v>0</v>
      </c>
      <c r="AU593">
        <f t="shared" si="461"/>
        <v>0</v>
      </c>
      <c r="AV593" s="28">
        <f t="shared" si="462"/>
        <v>0</v>
      </c>
      <c r="AW593" s="28">
        <f t="shared" si="463"/>
        <v>0</v>
      </c>
      <c r="AX593" s="23">
        <f>HLOOKUP(YEAR(A593),Assumptions!$A$25:$AL$29,2,TRUE)/100</f>
        <v>1.1332999999999999E-2</v>
      </c>
      <c r="AY593" s="29">
        <f>1/(1+HLOOKUP(YEAR(A593),Assumptions!$A$18:$AL$20,3,TRUE))^(1/12)</f>
        <v>0.99906100631170314</v>
      </c>
      <c r="AZ593" s="26">
        <f t="shared" si="464"/>
        <v>0</v>
      </c>
      <c r="BA593">
        <f t="shared" si="465"/>
        <v>0</v>
      </c>
      <c r="BB593">
        <f t="shared" si="466"/>
        <v>0</v>
      </c>
      <c r="BC593">
        <f t="shared" si="467"/>
        <v>0</v>
      </c>
    </row>
    <row r="594" spans="1:55" x14ac:dyDescent="0.2">
      <c r="A594" s="3">
        <f t="shared" si="439"/>
        <v>60844</v>
      </c>
      <c r="B594">
        <f t="shared" si="436"/>
        <v>596</v>
      </c>
      <c r="C594">
        <f t="shared" si="423"/>
        <v>49.583333333333336</v>
      </c>
      <c r="D594">
        <f t="shared" si="424"/>
        <v>0</v>
      </c>
      <c r="E594">
        <f t="shared" si="437"/>
        <v>105</v>
      </c>
      <c r="F594">
        <f>IF(C594&gt;=$T$2,0,VLOOKUP($E594,'Mortality Table'!$A$3:$C$128,2+AF$2,FALSE))</f>
        <v>0</v>
      </c>
      <c r="G594">
        <f>F594*Assumptions!$B$1</f>
        <v>0</v>
      </c>
      <c r="H594">
        <f t="shared" si="425"/>
        <v>0</v>
      </c>
      <c r="I594">
        <f t="shared" si="426"/>
        <v>0</v>
      </c>
      <c r="J594">
        <f>IF(B594&gt;$AJ$2,0,HLOOKUP(C594,Assumptions!$A$6:$J$7,2,TRUE))</f>
        <v>0</v>
      </c>
      <c r="K594" s="4">
        <f t="shared" si="427"/>
        <v>0</v>
      </c>
      <c r="L594" s="4">
        <f t="shared" si="440"/>
        <v>0</v>
      </c>
      <c r="M594" s="4">
        <f t="shared" si="428"/>
        <v>0</v>
      </c>
      <c r="N594">
        <f t="shared" si="429"/>
        <v>0</v>
      </c>
      <c r="O594" s="21">
        <f t="shared" si="430"/>
        <v>0</v>
      </c>
      <c r="P594">
        <f>IF(B594&gt;$AJ$2,0,HLOOKUP(C594,Assumptions!$A$12:$J$13,2,TRUE))</f>
        <v>0</v>
      </c>
      <c r="Q594">
        <f t="shared" si="431"/>
        <v>0</v>
      </c>
      <c r="R594">
        <f t="shared" si="441"/>
        <v>0</v>
      </c>
      <c r="S594">
        <f t="shared" si="432"/>
        <v>0</v>
      </c>
      <c r="T594">
        <f t="shared" si="433"/>
        <v>0</v>
      </c>
      <c r="U594">
        <f t="shared" si="442"/>
        <v>0</v>
      </c>
      <c r="V594">
        <f t="shared" si="443"/>
        <v>0</v>
      </c>
      <c r="W594">
        <f t="shared" si="444"/>
        <v>0</v>
      </c>
      <c r="X594">
        <f t="shared" si="434"/>
        <v>0</v>
      </c>
      <c r="Y594">
        <f t="shared" si="445"/>
        <v>0</v>
      </c>
      <c r="Z594">
        <f t="shared" si="446"/>
        <v>0</v>
      </c>
      <c r="AA594">
        <f t="shared" si="447"/>
        <v>0</v>
      </c>
      <c r="AB594">
        <f t="shared" si="448"/>
        <v>0</v>
      </c>
      <c r="AC594" s="23">
        <f>IF(B594&gt;$AJ$2,0,HLOOKUP(YEAR(A594),Assumptions!$A$25:$AL$29,4,TRUE)/100)</f>
        <v>0</v>
      </c>
      <c r="AD594">
        <f t="shared" si="449"/>
        <v>0</v>
      </c>
      <c r="AE594">
        <f t="shared" si="450"/>
        <v>0</v>
      </c>
      <c r="AF594">
        <f t="shared" si="451"/>
        <v>0</v>
      </c>
      <c r="AG594">
        <f t="shared" si="452"/>
        <v>0</v>
      </c>
      <c r="AH594">
        <f t="shared" si="453"/>
        <v>0</v>
      </c>
      <c r="AI594">
        <f t="shared" si="454"/>
        <v>0</v>
      </c>
      <c r="AJ594">
        <f t="shared" si="455"/>
        <v>0</v>
      </c>
      <c r="AK594">
        <f t="shared" si="435"/>
        <v>0</v>
      </c>
      <c r="AL594">
        <f t="shared" si="456"/>
        <v>0</v>
      </c>
      <c r="AM594">
        <f t="shared" si="438"/>
        <v>0</v>
      </c>
      <c r="AN594">
        <f>IF($S$2=0,0,(SUMPRODUCT($K$2:$R$2,Assumptions!$B$34:$I$34)/$U$2+$J$2/$U$2*Assumptions!$A$34*G594)*K594*O593)</f>
        <v>0</v>
      </c>
      <c r="AO594">
        <f t="shared" si="457"/>
        <v>0</v>
      </c>
      <c r="AP594">
        <f t="shared" si="458"/>
        <v>0</v>
      </c>
      <c r="AQ594">
        <f>IF(B594&gt;$AJ$2,0,AQ593*(1+Assumptions!$B$43)^(1/12))</f>
        <v>0</v>
      </c>
      <c r="AR594" s="27">
        <f>IF(B594&gt;$AJ$2,0,(O593+R593)*Assumptions!$B$39/12*AQ593+AV594*Assumptions!$B$41/12)</f>
        <v>0</v>
      </c>
      <c r="AS594">
        <f t="shared" si="459"/>
        <v>0</v>
      </c>
      <c r="AT594" s="28">
        <f t="shared" si="460"/>
        <v>0</v>
      </c>
      <c r="AU594">
        <f t="shared" si="461"/>
        <v>0</v>
      </c>
      <c r="AV594" s="28">
        <f t="shared" si="462"/>
        <v>0</v>
      </c>
      <c r="AW594" s="28">
        <f t="shared" si="463"/>
        <v>0</v>
      </c>
      <c r="AX594" s="23">
        <f>HLOOKUP(YEAR(A594),Assumptions!$A$25:$AL$29,2,TRUE)/100</f>
        <v>1.1332999999999999E-2</v>
      </c>
      <c r="AY594" s="29">
        <f>1/(1+HLOOKUP(YEAR(A594),Assumptions!$A$18:$AL$20,3,TRUE))^(1/12)</f>
        <v>0.99906100631170314</v>
      </c>
      <c r="AZ594" s="26">
        <f t="shared" si="464"/>
        <v>0</v>
      </c>
      <c r="BA594">
        <f t="shared" si="465"/>
        <v>0</v>
      </c>
      <c r="BB594">
        <f t="shared" si="466"/>
        <v>0</v>
      </c>
      <c r="BC594">
        <f t="shared" si="467"/>
        <v>0</v>
      </c>
    </row>
    <row r="595" spans="1:55" x14ac:dyDescent="0.2">
      <c r="A595" s="3">
        <f t="shared" si="439"/>
        <v>60875</v>
      </c>
      <c r="B595">
        <f t="shared" si="436"/>
        <v>597</v>
      </c>
      <c r="C595">
        <f t="shared" si="423"/>
        <v>49.666666666666664</v>
      </c>
      <c r="D595">
        <f t="shared" si="424"/>
        <v>0</v>
      </c>
      <c r="E595">
        <f t="shared" si="437"/>
        <v>105</v>
      </c>
      <c r="F595">
        <f>IF(C595&gt;=$T$2,0,VLOOKUP($E595,'Mortality Table'!$A$3:$C$128,2+AF$2,FALSE))</f>
        <v>0</v>
      </c>
      <c r="G595">
        <f>F595*Assumptions!$B$1</f>
        <v>0</v>
      </c>
      <c r="H595">
        <f t="shared" si="425"/>
        <v>0</v>
      </c>
      <c r="I595">
        <f t="shared" si="426"/>
        <v>0</v>
      </c>
      <c r="J595">
        <f>IF(B595&gt;$AJ$2,0,HLOOKUP(C595,Assumptions!$A$6:$J$7,2,TRUE))</f>
        <v>0</v>
      </c>
      <c r="K595" s="4">
        <f t="shared" si="427"/>
        <v>0</v>
      </c>
      <c r="L595" s="4">
        <f t="shared" si="440"/>
        <v>0</v>
      </c>
      <c r="M595" s="4">
        <f t="shared" si="428"/>
        <v>0</v>
      </c>
      <c r="N595">
        <f t="shared" si="429"/>
        <v>0</v>
      </c>
      <c r="O595" s="21">
        <f t="shared" si="430"/>
        <v>0</v>
      </c>
      <c r="P595">
        <f>IF(B595&gt;$AJ$2,0,HLOOKUP(C595,Assumptions!$A$12:$J$13,2,TRUE))</f>
        <v>0</v>
      </c>
      <c r="Q595">
        <f t="shared" si="431"/>
        <v>0</v>
      </c>
      <c r="R595">
        <f t="shared" si="441"/>
        <v>0</v>
      </c>
      <c r="S595">
        <f t="shared" si="432"/>
        <v>0</v>
      </c>
      <c r="T595">
        <f t="shared" si="433"/>
        <v>0</v>
      </c>
      <c r="U595">
        <f t="shared" si="442"/>
        <v>0</v>
      </c>
      <c r="V595">
        <f t="shared" si="443"/>
        <v>0</v>
      </c>
      <c r="W595">
        <f t="shared" si="444"/>
        <v>0</v>
      </c>
      <c r="X595">
        <f t="shared" si="434"/>
        <v>0</v>
      </c>
      <c r="Y595">
        <f t="shared" si="445"/>
        <v>0</v>
      </c>
      <c r="Z595">
        <f t="shared" si="446"/>
        <v>0</v>
      </c>
      <c r="AA595">
        <f t="shared" si="447"/>
        <v>0</v>
      </c>
      <c r="AB595">
        <f t="shared" si="448"/>
        <v>0</v>
      </c>
      <c r="AC595" s="23">
        <f>IF(B595&gt;$AJ$2,0,HLOOKUP(YEAR(A595),Assumptions!$A$25:$AL$29,4,TRUE)/100)</f>
        <v>0</v>
      </c>
      <c r="AD595">
        <f t="shared" si="449"/>
        <v>0</v>
      </c>
      <c r="AE595">
        <f t="shared" si="450"/>
        <v>0</v>
      </c>
      <c r="AF595">
        <f t="shared" si="451"/>
        <v>0</v>
      </c>
      <c r="AG595">
        <f t="shared" si="452"/>
        <v>0</v>
      </c>
      <c r="AH595">
        <f t="shared" si="453"/>
        <v>0</v>
      </c>
      <c r="AI595">
        <f t="shared" si="454"/>
        <v>0</v>
      </c>
      <c r="AJ595">
        <f t="shared" si="455"/>
        <v>0</v>
      </c>
      <c r="AK595">
        <f t="shared" si="435"/>
        <v>0</v>
      </c>
      <c r="AL595">
        <f t="shared" si="456"/>
        <v>0</v>
      </c>
      <c r="AM595">
        <f t="shared" si="438"/>
        <v>0</v>
      </c>
      <c r="AN595">
        <f>IF($S$2=0,0,(SUMPRODUCT($K$2:$R$2,Assumptions!$B$34:$I$34)/$U$2+$J$2/$U$2*Assumptions!$A$34*G595)*K595*O594)</f>
        <v>0</v>
      </c>
      <c r="AO595">
        <f t="shared" si="457"/>
        <v>0</v>
      </c>
      <c r="AP595">
        <f t="shared" si="458"/>
        <v>0</v>
      </c>
      <c r="AQ595">
        <f>IF(B595&gt;$AJ$2,0,AQ594*(1+Assumptions!$B$43)^(1/12))</f>
        <v>0</v>
      </c>
      <c r="AR595" s="27">
        <f>IF(B595&gt;$AJ$2,0,(O594+R594)*Assumptions!$B$39/12*AQ594+AV595*Assumptions!$B$41/12)</f>
        <v>0</v>
      </c>
      <c r="AS595">
        <f t="shared" si="459"/>
        <v>0</v>
      </c>
      <c r="AT595" s="28">
        <f t="shared" si="460"/>
        <v>0</v>
      </c>
      <c r="AU595">
        <f t="shared" si="461"/>
        <v>0</v>
      </c>
      <c r="AV595" s="28">
        <f t="shared" si="462"/>
        <v>0</v>
      </c>
      <c r="AW595" s="28">
        <f t="shared" si="463"/>
        <v>0</v>
      </c>
      <c r="AX595" s="23">
        <f>HLOOKUP(YEAR(A595),Assumptions!$A$25:$AL$29,2,TRUE)/100</f>
        <v>1.1332999999999999E-2</v>
      </c>
      <c r="AY595" s="29">
        <f>1/(1+HLOOKUP(YEAR(A595),Assumptions!$A$18:$AL$20,3,TRUE))^(1/12)</f>
        <v>0.99906100631170314</v>
      </c>
      <c r="AZ595" s="26">
        <f t="shared" si="464"/>
        <v>0</v>
      </c>
      <c r="BA595">
        <f t="shared" si="465"/>
        <v>0</v>
      </c>
      <c r="BB595">
        <f t="shared" si="466"/>
        <v>0</v>
      </c>
      <c r="BC595">
        <f t="shared" si="467"/>
        <v>0</v>
      </c>
    </row>
    <row r="596" spans="1:55" x14ac:dyDescent="0.2">
      <c r="A596" s="3">
        <f t="shared" si="439"/>
        <v>60905</v>
      </c>
      <c r="B596">
        <f t="shared" si="436"/>
        <v>598</v>
      </c>
      <c r="C596">
        <f t="shared" si="423"/>
        <v>49.75</v>
      </c>
      <c r="D596">
        <f t="shared" si="424"/>
        <v>0</v>
      </c>
      <c r="E596">
        <f t="shared" si="437"/>
        <v>105</v>
      </c>
      <c r="F596">
        <f>IF(C596&gt;=$T$2,0,VLOOKUP($E596,'Mortality Table'!$A$3:$C$128,2+AF$2,FALSE))</f>
        <v>0</v>
      </c>
      <c r="G596">
        <f>F596*Assumptions!$B$1</f>
        <v>0</v>
      </c>
      <c r="H596">
        <f t="shared" si="425"/>
        <v>0</v>
      </c>
      <c r="I596">
        <f t="shared" si="426"/>
        <v>0</v>
      </c>
      <c r="J596">
        <f>IF(B596&gt;$AJ$2,0,HLOOKUP(C596,Assumptions!$A$6:$J$7,2,TRUE))</f>
        <v>0</v>
      </c>
      <c r="K596" s="4">
        <f t="shared" si="427"/>
        <v>0</v>
      </c>
      <c r="L596" s="4">
        <f t="shared" si="440"/>
        <v>0</v>
      </c>
      <c r="M596" s="4">
        <f t="shared" si="428"/>
        <v>0</v>
      </c>
      <c r="N596">
        <f t="shared" si="429"/>
        <v>0</v>
      </c>
      <c r="O596" s="21">
        <f t="shared" si="430"/>
        <v>0</v>
      </c>
      <c r="P596">
        <f>IF(B596&gt;$AJ$2,0,HLOOKUP(C596,Assumptions!$A$12:$J$13,2,TRUE))</f>
        <v>0</v>
      </c>
      <c r="Q596">
        <f t="shared" si="431"/>
        <v>0</v>
      </c>
      <c r="R596">
        <f t="shared" si="441"/>
        <v>0</v>
      </c>
      <c r="S596">
        <f t="shared" si="432"/>
        <v>0</v>
      </c>
      <c r="T596">
        <f t="shared" si="433"/>
        <v>0</v>
      </c>
      <c r="U596">
        <f t="shared" si="442"/>
        <v>0</v>
      </c>
      <c r="V596">
        <f t="shared" si="443"/>
        <v>0</v>
      </c>
      <c r="W596">
        <f t="shared" si="444"/>
        <v>0</v>
      </c>
      <c r="X596">
        <f t="shared" si="434"/>
        <v>0</v>
      </c>
      <c r="Y596">
        <f t="shared" si="445"/>
        <v>0</v>
      </c>
      <c r="Z596">
        <f t="shared" si="446"/>
        <v>0</v>
      </c>
      <c r="AA596">
        <f t="shared" si="447"/>
        <v>0</v>
      </c>
      <c r="AB596">
        <f t="shared" si="448"/>
        <v>0</v>
      </c>
      <c r="AC596" s="23">
        <f>IF(B596&gt;$AJ$2,0,HLOOKUP(YEAR(A596),Assumptions!$A$25:$AL$29,4,TRUE)/100)</f>
        <v>0</v>
      </c>
      <c r="AD596">
        <f t="shared" si="449"/>
        <v>0</v>
      </c>
      <c r="AE596">
        <f t="shared" si="450"/>
        <v>0</v>
      </c>
      <c r="AF596">
        <f t="shared" si="451"/>
        <v>0</v>
      </c>
      <c r="AG596">
        <f t="shared" si="452"/>
        <v>0</v>
      </c>
      <c r="AH596">
        <f t="shared" si="453"/>
        <v>0</v>
      </c>
      <c r="AI596">
        <f t="shared" si="454"/>
        <v>0</v>
      </c>
      <c r="AJ596">
        <f t="shared" si="455"/>
        <v>0</v>
      </c>
      <c r="AK596">
        <f t="shared" si="435"/>
        <v>0</v>
      </c>
      <c r="AL596">
        <f t="shared" si="456"/>
        <v>0</v>
      </c>
      <c r="AM596">
        <f t="shared" si="438"/>
        <v>0</v>
      </c>
      <c r="AN596">
        <f>IF($S$2=0,0,(SUMPRODUCT($K$2:$R$2,Assumptions!$B$34:$I$34)/$U$2+$J$2/$U$2*Assumptions!$A$34*G596)*K596*O595)</f>
        <v>0</v>
      </c>
      <c r="AO596">
        <f t="shared" si="457"/>
        <v>0</v>
      </c>
      <c r="AP596">
        <f t="shared" si="458"/>
        <v>0</v>
      </c>
      <c r="AQ596">
        <f>IF(B596&gt;$AJ$2,0,AQ595*(1+Assumptions!$B$43)^(1/12))</f>
        <v>0</v>
      </c>
      <c r="AR596" s="27">
        <f>IF(B596&gt;$AJ$2,0,(O595+R595)*Assumptions!$B$39/12*AQ595+AV596*Assumptions!$B$41/12)</f>
        <v>0</v>
      </c>
      <c r="AS596">
        <f t="shared" si="459"/>
        <v>0</v>
      </c>
      <c r="AT596" s="28">
        <f t="shared" si="460"/>
        <v>0</v>
      </c>
      <c r="AU596">
        <f t="shared" si="461"/>
        <v>0</v>
      </c>
      <c r="AV596" s="28">
        <f t="shared" si="462"/>
        <v>0</v>
      </c>
      <c r="AW596" s="28">
        <f t="shared" si="463"/>
        <v>0</v>
      </c>
      <c r="AX596" s="23">
        <f>HLOOKUP(YEAR(A596),Assumptions!$A$25:$AL$29,2,TRUE)/100</f>
        <v>1.1332999999999999E-2</v>
      </c>
      <c r="AY596" s="29">
        <f>1/(1+HLOOKUP(YEAR(A596),Assumptions!$A$18:$AL$20,3,TRUE))^(1/12)</f>
        <v>0.99906100631170314</v>
      </c>
      <c r="AZ596" s="26">
        <f t="shared" si="464"/>
        <v>0</v>
      </c>
      <c r="BA596">
        <f t="shared" si="465"/>
        <v>0</v>
      </c>
      <c r="BB596">
        <f t="shared" si="466"/>
        <v>0</v>
      </c>
      <c r="BC596">
        <f t="shared" si="467"/>
        <v>0</v>
      </c>
    </row>
    <row r="597" spans="1:55" x14ac:dyDescent="0.2">
      <c r="A597" s="3">
        <f t="shared" si="439"/>
        <v>60936</v>
      </c>
      <c r="B597">
        <f t="shared" si="436"/>
        <v>599</v>
      </c>
      <c r="C597">
        <f t="shared" si="423"/>
        <v>49.833333333333336</v>
      </c>
      <c r="D597">
        <f t="shared" si="424"/>
        <v>0</v>
      </c>
      <c r="E597">
        <f t="shared" si="437"/>
        <v>105</v>
      </c>
      <c r="F597">
        <f>IF(C597&gt;=$T$2,0,VLOOKUP($E597,'Mortality Table'!$A$3:$C$128,2+AF$2,FALSE))</f>
        <v>0</v>
      </c>
      <c r="G597">
        <f>F597*Assumptions!$B$1</f>
        <v>0</v>
      </c>
      <c r="H597">
        <f t="shared" si="425"/>
        <v>0</v>
      </c>
      <c r="I597">
        <f t="shared" si="426"/>
        <v>0</v>
      </c>
      <c r="J597">
        <f>IF(B597&gt;$AJ$2,0,HLOOKUP(C597,Assumptions!$A$6:$J$7,2,TRUE))</f>
        <v>0</v>
      </c>
      <c r="K597" s="4">
        <f t="shared" si="427"/>
        <v>0</v>
      </c>
      <c r="L597" s="4">
        <f t="shared" si="440"/>
        <v>0</v>
      </c>
      <c r="M597" s="4">
        <f t="shared" si="428"/>
        <v>0</v>
      </c>
      <c r="N597">
        <f t="shared" si="429"/>
        <v>0</v>
      </c>
      <c r="O597" s="21">
        <f t="shared" si="430"/>
        <v>0</v>
      </c>
      <c r="P597">
        <f>IF(B597&gt;$AJ$2,0,HLOOKUP(C597,Assumptions!$A$12:$J$13,2,TRUE))</f>
        <v>0</v>
      </c>
      <c r="Q597">
        <f t="shared" si="431"/>
        <v>0</v>
      </c>
      <c r="R597">
        <f t="shared" si="441"/>
        <v>0</v>
      </c>
      <c r="S597">
        <f t="shared" si="432"/>
        <v>0</v>
      </c>
      <c r="T597">
        <f t="shared" si="433"/>
        <v>0</v>
      </c>
      <c r="U597">
        <f t="shared" si="442"/>
        <v>0</v>
      </c>
      <c r="V597">
        <f t="shared" si="443"/>
        <v>0</v>
      </c>
      <c r="W597">
        <f t="shared" si="444"/>
        <v>0</v>
      </c>
      <c r="X597">
        <f t="shared" si="434"/>
        <v>0</v>
      </c>
      <c r="Y597">
        <f t="shared" si="445"/>
        <v>0</v>
      </c>
      <c r="Z597">
        <f t="shared" si="446"/>
        <v>0</v>
      </c>
      <c r="AA597">
        <f t="shared" si="447"/>
        <v>0</v>
      </c>
      <c r="AB597">
        <f t="shared" si="448"/>
        <v>0</v>
      </c>
      <c r="AC597" s="23">
        <f>IF(B597&gt;$AJ$2,0,HLOOKUP(YEAR(A597),Assumptions!$A$25:$AL$29,4,TRUE)/100)</f>
        <v>0</v>
      </c>
      <c r="AD597">
        <f t="shared" si="449"/>
        <v>0</v>
      </c>
      <c r="AE597">
        <f t="shared" si="450"/>
        <v>0</v>
      </c>
      <c r="AF597">
        <f t="shared" si="451"/>
        <v>0</v>
      </c>
      <c r="AG597">
        <f t="shared" si="452"/>
        <v>0</v>
      </c>
      <c r="AH597">
        <f t="shared" si="453"/>
        <v>0</v>
      </c>
      <c r="AI597">
        <f t="shared" si="454"/>
        <v>0</v>
      </c>
      <c r="AJ597">
        <f t="shared" si="455"/>
        <v>0</v>
      </c>
      <c r="AK597">
        <f t="shared" si="435"/>
        <v>0</v>
      </c>
      <c r="AL597">
        <f t="shared" si="456"/>
        <v>0</v>
      </c>
      <c r="AM597">
        <f t="shared" si="438"/>
        <v>0</v>
      </c>
      <c r="AN597">
        <f>IF($S$2=0,0,(SUMPRODUCT($K$2:$R$2,Assumptions!$B$34:$I$34)/$U$2+$J$2/$U$2*Assumptions!$A$34*G597)*K597*O596)</f>
        <v>0</v>
      </c>
      <c r="AO597">
        <f t="shared" si="457"/>
        <v>0</v>
      </c>
      <c r="AP597">
        <f t="shared" si="458"/>
        <v>0</v>
      </c>
      <c r="AQ597">
        <f>IF(B597&gt;$AJ$2,0,AQ596*(1+Assumptions!$B$43)^(1/12))</f>
        <v>0</v>
      </c>
      <c r="AR597" s="27">
        <f>IF(B597&gt;$AJ$2,0,(O596+R596)*Assumptions!$B$39/12*AQ596+AV597*Assumptions!$B$41/12)</f>
        <v>0</v>
      </c>
      <c r="AS597">
        <f t="shared" si="459"/>
        <v>0</v>
      </c>
      <c r="AT597" s="28">
        <f t="shared" si="460"/>
        <v>0</v>
      </c>
      <c r="AU597">
        <f t="shared" si="461"/>
        <v>0</v>
      </c>
      <c r="AV597" s="28">
        <f t="shared" si="462"/>
        <v>0</v>
      </c>
      <c r="AW597" s="28">
        <f t="shared" si="463"/>
        <v>0</v>
      </c>
      <c r="AX597" s="23">
        <f>HLOOKUP(YEAR(A597),Assumptions!$A$25:$AL$29,2,TRUE)/100</f>
        <v>1.1332999999999999E-2</v>
      </c>
      <c r="AY597" s="29">
        <f>1/(1+HLOOKUP(YEAR(A597),Assumptions!$A$18:$AL$20,3,TRUE))^(1/12)</f>
        <v>0.99906100631170314</v>
      </c>
      <c r="AZ597" s="26">
        <f t="shared" si="464"/>
        <v>0</v>
      </c>
      <c r="BA597">
        <f t="shared" si="465"/>
        <v>0</v>
      </c>
      <c r="BB597">
        <f t="shared" si="466"/>
        <v>0</v>
      </c>
      <c r="BC597">
        <f t="shared" si="467"/>
        <v>0</v>
      </c>
    </row>
    <row r="598" spans="1:55" x14ac:dyDescent="0.2">
      <c r="A598" s="3">
        <f t="shared" si="439"/>
        <v>60966</v>
      </c>
      <c r="B598">
        <f t="shared" si="436"/>
        <v>600</v>
      </c>
      <c r="C598">
        <f t="shared" si="423"/>
        <v>49.916666666666664</v>
      </c>
      <c r="D598">
        <f t="shared" si="424"/>
        <v>0</v>
      </c>
      <c r="E598">
        <f t="shared" si="437"/>
        <v>105</v>
      </c>
      <c r="F598">
        <f>IF(C598&gt;=$T$2,0,VLOOKUP($E598,'Mortality Table'!$A$3:$C$128,2+AF$2,FALSE))</f>
        <v>0</v>
      </c>
      <c r="G598">
        <f>F598*Assumptions!$B$1</f>
        <v>0</v>
      </c>
      <c r="H598">
        <f t="shared" si="425"/>
        <v>0</v>
      </c>
      <c r="I598">
        <f t="shared" si="426"/>
        <v>0</v>
      </c>
      <c r="J598">
        <f>IF(B598&gt;$AJ$2,0,HLOOKUP(C598,Assumptions!$A$6:$J$7,2,TRUE))</f>
        <v>0</v>
      </c>
      <c r="K598" s="4">
        <f t="shared" si="427"/>
        <v>0</v>
      </c>
      <c r="L598" s="4">
        <f t="shared" si="440"/>
        <v>0</v>
      </c>
      <c r="M598" s="4">
        <f t="shared" si="428"/>
        <v>0</v>
      </c>
      <c r="N598">
        <f t="shared" si="429"/>
        <v>0</v>
      </c>
      <c r="O598" s="21">
        <f t="shared" si="430"/>
        <v>0</v>
      </c>
      <c r="P598">
        <f>IF(B598&gt;$AJ$2,0,HLOOKUP(C598,Assumptions!$A$12:$J$13,2,TRUE))</f>
        <v>0</v>
      </c>
      <c r="Q598">
        <f t="shared" si="431"/>
        <v>0</v>
      </c>
      <c r="R598">
        <f t="shared" si="441"/>
        <v>0</v>
      </c>
      <c r="S598">
        <f t="shared" si="432"/>
        <v>0</v>
      </c>
      <c r="T598">
        <f t="shared" si="433"/>
        <v>0</v>
      </c>
      <c r="U598">
        <f t="shared" si="442"/>
        <v>0</v>
      </c>
      <c r="V598">
        <f t="shared" si="443"/>
        <v>0</v>
      </c>
      <c r="W598">
        <f t="shared" si="444"/>
        <v>0</v>
      </c>
      <c r="X598">
        <f t="shared" si="434"/>
        <v>0</v>
      </c>
      <c r="Y598">
        <f t="shared" si="445"/>
        <v>0</v>
      </c>
      <c r="Z598">
        <f t="shared" si="446"/>
        <v>0</v>
      </c>
      <c r="AA598">
        <f t="shared" si="447"/>
        <v>0</v>
      </c>
      <c r="AB598">
        <f t="shared" si="448"/>
        <v>0</v>
      </c>
      <c r="AC598" s="23">
        <f>IF(B598&gt;$AJ$2,0,HLOOKUP(YEAR(A598),Assumptions!$A$25:$AL$29,4,TRUE)/100)</f>
        <v>0</v>
      </c>
      <c r="AD598">
        <f t="shared" si="449"/>
        <v>0</v>
      </c>
      <c r="AE598">
        <f t="shared" si="450"/>
        <v>0</v>
      </c>
      <c r="AF598">
        <f t="shared" si="451"/>
        <v>0</v>
      </c>
      <c r="AG598">
        <f t="shared" si="452"/>
        <v>0</v>
      </c>
      <c r="AH598">
        <f t="shared" si="453"/>
        <v>0</v>
      </c>
      <c r="AI598">
        <f t="shared" si="454"/>
        <v>0</v>
      </c>
      <c r="AJ598">
        <f t="shared" si="455"/>
        <v>0</v>
      </c>
      <c r="AK598">
        <f t="shared" si="435"/>
        <v>0</v>
      </c>
      <c r="AL598">
        <f t="shared" si="456"/>
        <v>0</v>
      </c>
      <c r="AM598">
        <f t="shared" si="438"/>
        <v>0</v>
      </c>
      <c r="AN598">
        <f>IF($S$2=0,0,(SUMPRODUCT($K$2:$R$2,Assumptions!$B$34:$I$34)/$U$2+$J$2/$U$2*Assumptions!$A$34*G598)*K598*O597)</f>
        <v>0</v>
      </c>
      <c r="AO598">
        <f t="shared" si="457"/>
        <v>0</v>
      </c>
      <c r="AP598">
        <f t="shared" si="458"/>
        <v>0</v>
      </c>
      <c r="AQ598">
        <f>IF(B598&gt;$AJ$2,0,AQ597*(1+Assumptions!$B$43)^(1/12))</f>
        <v>0</v>
      </c>
      <c r="AR598" s="27">
        <f>IF(B598&gt;$AJ$2,0,(O597+R597)*Assumptions!$B$39/12*AQ597+AV598*Assumptions!$B$41/12)</f>
        <v>0</v>
      </c>
      <c r="AS598">
        <f t="shared" si="459"/>
        <v>0</v>
      </c>
      <c r="AT598" s="28">
        <f t="shared" si="460"/>
        <v>0</v>
      </c>
      <c r="AU598">
        <f t="shared" si="461"/>
        <v>0</v>
      </c>
      <c r="AV598" s="28">
        <f t="shared" si="462"/>
        <v>0</v>
      </c>
      <c r="AW598" s="28">
        <f t="shared" si="463"/>
        <v>0</v>
      </c>
      <c r="AX598" s="23">
        <f>HLOOKUP(YEAR(A598),Assumptions!$A$25:$AL$29,2,TRUE)/100</f>
        <v>1.1332999999999999E-2</v>
      </c>
      <c r="AY598" s="29">
        <f>1/(1+HLOOKUP(YEAR(A598),Assumptions!$A$18:$AL$20,3,TRUE))^(1/12)</f>
        <v>0.99906100631170314</v>
      </c>
      <c r="AZ598" s="26">
        <f t="shared" si="464"/>
        <v>0</v>
      </c>
      <c r="BA598">
        <f t="shared" si="465"/>
        <v>0</v>
      </c>
      <c r="BB598">
        <f t="shared" si="466"/>
        <v>0</v>
      </c>
      <c r="BC598">
        <f t="shared" si="467"/>
        <v>0</v>
      </c>
    </row>
    <row r="599" spans="1:55" x14ac:dyDescent="0.2">
      <c r="A599" s="3">
        <f t="shared" si="439"/>
        <v>60997</v>
      </c>
      <c r="B599">
        <f t="shared" si="436"/>
        <v>601</v>
      </c>
      <c r="C599">
        <f t="shared" si="423"/>
        <v>50</v>
      </c>
      <c r="D599">
        <f t="shared" si="424"/>
        <v>1</v>
      </c>
      <c r="E599">
        <f t="shared" si="437"/>
        <v>106</v>
      </c>
      <c r="F599">
        <f>IF(C599&gt;=$T$2,0,VLOOKUP($E599,'Mortality Table'!$A$3:$C$128,2+AF$2,FALSE))</f>
        <v>0</v>
      </c>
      <c r="G599">
        <f>F599*Assumptions!$B$1</f>
        <v>0</v>
      </c>
      <c r="H599">
        <f t="shared" si="425"/>
        <v>0</v>
      </c>
      <c r="I599">
        <f t="shared" si="426"/>
        <v>0</v>
      </c>
      <c r="J599">
        <f>IF(B599&gt;$AJ$2,0,HLOOKUP(C599,Assumptions!$A$6:$J$7,2,TRUE))</f>
        <v>0</v>
      </c>
      <c r="K599" s="4">
        <f t="shared" si="427"/>
        <v>0</v>
      </c>
      <c r="L599" s="4">
        <f t="shared" si="440"/>
        <v>0</v>
      </c>
      <c r="M599" s="4">
        <f t="shared" si="428"/>
        <v>0</v>
      </c>
      <c r="N599">
        <f t="shared" si="429"/>
        <v>0</v>
      </c>
      <c r="O599" s="21">
        <f t="shared" si="430"/>
        <v>0</v>
      </c>
      <c r="P599">
        <f>IF(B599&gt;$AJ$2,0,HLOOKUP(C599,Assumptions!$A$12:$J$13,2,TRUE))</f>
        <v>0</v>
      </c>
      <c r="Q599">
        <f t="shared" si="431"/>
        <v>0</v>
      </c>
      <c r="R599">
        <f t="shared" si="441"/>
        <v>0</v>
      </c>
      <c r="S599">
        <f t="shared" si="432"/>
        <v>0</v>
      </c>
      <c r="T599">
        <f t="shared" si="433"/>
        <v>0</v>
      </c>
      <c r="U599">
        <f t="shared" si="442"/>
        <v>0</v>
      </c>
      <c r="V599">
        <f t="shared" si="443"/>
        <v>0</v>
      </c>
      <c r="W599">
        <f t="shared" si="444"/>
        <v>0</v>
      </c>
      <c r="X599">
        <f t="shared" si="434"/>
        <v>0</v>
      </c>
      <c r="Y599">
        <f t="shared" si="445"/>
        <v>0</v>
      </c>
      <c r="Z599">
        <f t="shared" si="446"/>
        <v>0</v>
      </c>
      <c r="AA599">
        <f t="shared" si="447"/>
        <v>0</v>
      </c>
      <c r="AB599">
        <f t="shared" si="448"/>
        <v>0</v>
      </c>
      <c r="AC599" s="23">
        <f>IF(B599&gt;$AJ$2,0,HLOOKUP(YEAR(A599),Assumptions!$A$25:$AL$29,4,TRUE)/100)</f>
        <v>0</v>
      </c>
      <c r="AD599">
        <f t="shared" si="449"/>
        <v>0</v>
      </c>
      <c r="AE599">
        <f t="shared" si="450"/>
        <v>0</v>
      </c>
      <c r="AF599">
        <f t="shared" si="451"/>
        <v>0</v>
      </c>
      <c r="AG599">
        <f t="shared" si="452"/>
        <v>0</v>
      </c>
      <c r="AH599">
        <f t="shared" si="453"/>
        <v>0</v>
      </c>
      <c r="AI599">
        <f t="shared" si="454"/>
        <v>0</v>
      </c>
      <c r="AJ599">
        <f t="shared" si="455"/>
        <v>0</v>
      </c>
      <c r="AK599">
        <f t="shared" si="435"/>
        <v>0</v>
      </c>
      <c r="AL599">
        <f t="shared" si="456"/>
        <v>0</v>
      </c>
      <c r="AM599">
        <f t="shared" si="438"/>
        <v>0</v>
      </c>
      <c r="AN599">
        <f>IF($S$2=0,0,(SUMPRODUCT($K$2:$R$2,Assumptions!$B$34:$I$34)/$U$2+$J$2/$U$2*Assumptions!$A$34*G599)*K599*O598)</f>
        <v>0</v>
      </c>
      <c r="AO599">
        <f t="shared" si="457"/>
        <v>0</v>
      </c>
      <c r="AP599">
        <f t="shared" si="458"/>
        <v>0</v>
      </c>
      <c r="AQ599">
        <f>IF(B599&gt;$AJ$2,0,AQ598*(1+Assumptions!$B$43)^(1/12))</f>
        <v>0</v>
      </c>
      <c r="AR599" s="27">
        <f>IF(B599&gt;$AJ$2,0,(O598+R598)*Assumptions!$B$39/12*AQ598+AV599*Assumptions!$B$41/12)</f>
        <v>0</v>
      </c>
      <c r="AS599">
        <f t="shared" si="459"/>
        <v>0</v>
      </c>
      <c r="AT599" s="28">
        <f t="shared" si="460"/>
        <v>0</v>
      </c>
      <c r="AU599">
        <f t="shared" si="461"/>
        <v>0</v>
      </c>
      <c r="AV599" s="28">
        <f t="shared" si="462"/>
        <v>0</v>
      </c>
      <c r="AW599" s="28">
        <f t="shared" si="463"/>
        <v>0</v>
      </c>
      <c r="AX599" s="23">
        <f>HLOOKUP(YEAR(A599),Assumptions!$A$25:$AL$29,2,TRUE)/100</f>
        <v>1.1332999999999999E-2</v>
      </c>
      <c r="AY599" s="29">
        <f>1/(1+HLOOKUP(YEAR(A599),Assumptions!$A$18:$AL$20,3,TRUE))^(1/12)</f>
        <v>0.99906100631170314</v>
      </c>
      <c r="AZ599" s="26">
        <f t="shared" si="464"/>
        <v>0</v>
      </c>
      <c r="BA599">
        <f t="shared" si="465"/>
        <v>0</v>
      </c>
      <c r="BB599">
        <f t="shared" si="466"/>
        <v>0</v>
      </c>
      <c r="BC599">
        <f t="shared" si="467"/>
        <v>0</v>
      </c>
    </row>
    <row r="600" spans="1:55" x14ac:dyDescent="0.2">
      <c r="A600" s="3">
        <f t="shared" si="439"/>
        <v>61028</v>
      </c>
      <c r="B600">
        <f t="shared" si="436"/>
        <v>602</v>
      </c>
      <c r="C600">
        <f t="shared" si="423"/>
        <v>50.083333333333336</v>
      </c>
      <c r="D600">
        <f t="shared" si="424"/>
        <v>0</v>
      </c>
      <c r="E600">
        <f t="shared" si="437"/>
        <v>106</v>
      </c>
      <c r="F600">
        <f>IF(C600&gt;=$T$2,0,VLOOKUP($E600,'Mortality Table'!$A$3:$C$128,2+AF$2,FALSE))</f>
        <v>0</v>
      </c>
      <c r="G600">
        <f>F600*Assumptions!$B$1</f>
        <v>0</v>
      </c>
      <c r="H600">
        <f t="shared" si="425"/>
        <v>0</v>
      </c>
      <c r="I600">
        <f t="shared" si="426"/>
        <v>0</v>
      </c>
      <c r="J600">
        <f>IF(B600&gt;$AJ$2,0,HLOOKUP(C600,Assumptions!$A$6:$J$7,2,TRUE))</f>
        <v>0</v>
      </c>
      <c r="K600" s="4">
        <f t="shared" si="427"/>
        <v>0</v>
      </c>
      <c r="L600" s="4">
        <f t="shared" si="440"/>
        <v>0</v>
      </c>
      <c r="M600" s="4">
        <f t="shared" si="428"/>
        <v>0</v>
      </c>
      <c r="N600">
        <f t="shared" si="429"/>
        <v>0</v>
      </c>
      <c r="O600" s="21">
        <f t="shared" si="430"/>
        <v>0</v>
      </c>
      <c r="P600">
        <f>IF(B600&gt;$AJ$2,0,HLOOKUP(C600,Assumptions!$A$12:$J$13,2,TRUE))</f>
        <v>0</v>
      </c>
      <c r="Q600">
        <f t="shared" si="431"/>
        <v>0</v>
      </c>
      <c r="R600">
        <f t="shared" si="441"/>
        <v>0</v>
      </c>
      <c r="S600">
        <f t="shared" si="432"/>
        <v>0</v>
      </c>
      <c r="T600">
        <f t="shared" si="433"/>
        <v>0</v>
      </c>
      <c r="U600">
        <f t="shared" si="442"/>
        <v>0</v>
      </c>
      <c r="V600">
        <f t="shared" si="443"/>
        <v>0</v>
      </c>
      <c r="W600">
        <f t="shared" si="444"/>
        <v>0</v>
      </c>
      <c r="X600">
        <f t="shared" si="434"/>
        <v>0</v>
      </c>
      <c r="Y600">
        <f t="shared" si="445"/>
        <v>0</v>
      </c>
      <c r="Z600">
        <f t="shared" si="446"/>
        <v>0</v>
      </c>
      <c r="AA600">
        <f t="shared" si="447"/>
        <v>0</v>
      </c>
      <c r="AB600">
        <f t="shared" si="448"/>
        <v>0</v>
      </c>
      <c r="AC600" s="23">
        <f>IF(B600&gt;$AJ$2,0,HLOOKUP(YEAR(A600),Assumptions!$A$25:$AL$29,4,TRUE)/100)</f>
        <v>0</v>
      </c>
      <c r="AD600">
        <f t="shared" si="449"/>
        <v>0</v>
      </c>
      <c r="AE600">
        <f t="shared" si="450"/>
        <v>0</v>
      </c>
      <c r="AF600">
        <f t="shared" si="451"/>
        <v>0</v>
      </c>
      <c r="AG600">
        <f t="shared" si="452"/>
        <v>0</v>
      </c>
      <c r="AH600">
        <f t="shared" si="453"/>
        <v>0</v>
      </c>
      <c r="AI600">
        <f t="shared" si="454"/>
        <v>0</v>
      </c>
      <c r="AJ600">
        <f t="shared" si="455"/>
        <v>0</v>
      </c>
      <c r="AK600">
        <f t="shared" si="435"/>
        <v>0</v>
      </c>
      <c r="AL600">
        <f t="shared" si="456"/>
        <v>0</v>
      </c>
      <c r="AM600">
        <f t="shared" si="438"/>
        <v>0</v>
      </c>
      <c r="AN600">
        <f>IF($S$2=0,0,(SUMPRODUCT($K$2:$R$2,Assumptions!$B$34:$I$34)/$U$2+$J$2/$U$2*Assumptions!$A$34*G600)*K600*O599)</f>
        <v>0</v>
      </c>
      <c r="AO600">
        <f t="shared" si="457"/>
        <v>0</v>
      </c>
      <c r="AP600">
        <f t="shared" si="458"/>
        <v>0</v>
      </c>
      <c r="AQ600">
        <f>IF(B600&gt;$AJ$2,0,AQ599*(1+Assumptions!$B$43)^(1/12))</f>
        <v>0</v>
      </c>
      <c r="AR600" s="27">
        <f>IF(B600&gt;$AJ$2,0,(O599+R599)*Assumptions!$B$39/12*AQ599+AV600*Assumptions!$B$41/12)</f>
        <v>0</v>
      </c>
      <c r="AS600">
        <f t="shared" si="459"/>
        <v>0</v>
      </c>
      <c r="AT600" s="28">
        <f t="shared" si="460"/>
        <v>0</v>
      </c>
      <c r="AU600">
        <f t="shared" si="461"/>
        <v>0</v>
      </c>
      <c r="AV600" s="28">
        <f t="shared" si="462"/>
        <v>0</v>
      </c>
      <c r="AW600" s="28">
        <f t="shared" si="463"/>
        <v>0</v>
      </c>
      <c r="AX600" s="23">
        <f>HLOOKUP(YEAR(A600),Assumptions!$A$25:$AL$29,2,TRUE)/100</f>
        <v>1.1332999999999999E-2</v>
      </c>
      <c r="AY600" s="29">
        <f>1/(1+HLOOKUP(YEAR(A600),Assumptions!$A$18:$AL$20,3,TRUE))^(1/12)</f>
        <v>0.99906100631170314</v>
      </c>
      <c r="AZ600" s="26">
        <f t="shared" si="464"/>
        <v>0</v>
      </c>
      <c r="BA600">
        <f t="shared" si="465"/>
        <v>0</v>
      </c>
      <c r="BB600">
        <f t="shared" si="466"/>
        <v>0</v>
      </c>
      <c r="BC600">
        <f t="shared" si="467"/>
        <v>0</v>
      </c>
    </row>
    <row r="601" spans="1:55" x14ac:dyDescent="0.2">
      <c r="A601" s="3">
        <f t="shared" si="439"/>
        <v>61056</v>
      </c>
      <c r="B601">
        <f t="shared" si="436"/>
        <v>603</v>
      </c>
      <c r="C601">
        <f t="shared" si="423"/>
        <v>50.166666666666664</v>
      </c>
      <c r="D601">
        <f t="shared" si="424"/>
        <v>0</v>
      </c>
      <c r="E601">
        <f t="shared" si="437"/>
        <v>106</v>
      </c>
      <c r="F601">
        <f>IF(C601&gt;=$T$2,0,VLOOKUP($E601,'Mortality Table'!$A$3:$C$128,2+AF$2,FALSE))</f>
        <v>0</v>
      </c>
      <c r="G601">
        <f>F601*Assumptions!$B$1</f>
        <v>0</v>
      </c>
      <c r="H601">
        <f t="shared" si="425"/>
        <v>0</v>
      </c>
      <c r="I601">
        <f t="shared" si="426"/>
        <v>0</v>
      </c>
      <c r="J601">
        <f>IF(B601&gt;$AJ$2,0,HLOOKUP(C601,Assumptions!$A$6:$J$7,2,TRUE))</f>
        <v>0</v>
      </c>
      <c r="K601" s="4">
        <f t="shared" si="427"/>
        <v>0</v>
      </c>
      <c r="L601" s="4">
        <f t="shared" si="440"/>
        <v>0</v>
      </c>
      <c r="M601" s="4">
        <f t="shared" si="428"/>
        <v>0</v>
      </c>
      <c r="N601">
        <f t="shared" si="429"/>
        <v>0</v>
      </c>
      <c r="O601" s="21">
        <f t="shared" si="430"/>
        <v>0</v>
      </c>
      <c r="P601">
        <f>IF(B601&gt;$AJ$2,0,HLOOKUP(C601,Assumptions!$A$12:$J$13,2,TRUE))</f>
        <v>0</v>
      </c>
      <c r="Q601">
        <f t="shared" si="431"/>
        <v>0</v>
      </c>
      <c r="R601">
        <f t="shared" si="441"/>
        <v>0</v>
      </c>
      <c r="S601">
        <f t="shared" si="432"/>
        <v>0</v>
      </c>
      <c r="T601">
        <f t="shared" si="433"/>
        <v>0</v>
      </c>
      <c r="U601">
        <f t="shared" si="442"/>
        <v>0</v>
      </c>
      <c r="V601">
        <f t="shared" si="443"/>
        <v>0</v>
      </c>
      <c r="W601">
        <f t="shared" si="444"/>
        <v>0</v>
      </c>
      <c r="X601">
        <f t="shared" si="434"/>
        <v>0</v>
      </c>
      <c r="Y601">
        <f t="shared" si="445"/>
        <v>0</v>
      </c>
      <c r="Z601">
        <f t="shared" si="446"/>
        <v>0</v>
      </c>
      <c r="AA601">
        <f t="shared" si="447"/>
        <v>0</v>
      </c>
      <c r="AB601">
        <f t="shared" si="448"/>
        <v>0</v>
      </c>
      <c r="AC601" s="23">
        <f>IF(B601&gt;$AJ$2,0,HLOOKUP(YEAR(A601),Assumptions!$A$25:$AL$29,4,TRUE)/100)</f>
        <v>0</v>
      </c>
      <c r="AD601">
        <f t="shared" si="449"/>
        <v>0</v>
      </c>
      <c r="AE601">
        <f t="shared" si="450"/>
        <v>0</v>
      </c>
      <c r="AF601">
        <f t="shared" si="451"/>
        <v>0</v>
      </c>
      <c r="AG601">
        <f t="shared" si="452"/>
        <v>0</v>
      </c>
      <c r="AH601">
        <f t="shared" si="453"/>
        <v>0</v>
      </c>
      <c r="AI601">
        <f t="shared" si="454"/>
        <v>0</v>
      </c>
      <c r="AJ601">
        <f t="shared" si="455"/>
        <v>0</v>
      </c>
      <c r="AK601">
        <f t="shared" si="435"/>
        <v>0</v>
      </c>
      <c r="AL601">
        <f t="shared" si="456"/>
        <v>0</v>
      </c>
      <c r="AM601">
        <f t="shared" si="438"/>
        <v>0</v>
      </c>
      <c r="AN601">
        <f>IF($S$2=0,0,(SUMPRODUCT($K$2:$R$2,Assumptions!$B$34:$I$34)/$U$2+$J$2/$U$2*Assumptions!$A$34*G601)*K601*O600)</f>
        <v>0</v>
      </c>
      <c r="AO601">
        <f t="shared" si="457"/>
        <v>0</v>
      </c>
      <c r="AP601">
        <f t="shared" si="458"/>
        <v>0</v>
      </c>
      <c r="AQ601">
        <f>IF(B601&gt;$AJ$2,0,AQ600*(1+Assumptions!$B$43)^(1/12))</f>
        <v>0</v>
      </c>
      <c r="AR601" s="27">
        <f>IF(B601&gt;$AJ$2,0,(O600+R600)*Assumptions!$B$39/12*AQ600+AV601*Assumptions!$B$41/12)</f>
        <v>0</v>
      </c>
      <c r="AS601">
        <f t="shared" si="459"/>
        <v>0</v>
      </c>
      <c r="AT601" s="28">
        <f t="shared" si="460"/>
        <v>0</v>
      </c>
      <c r="AU601">
        <f t="shared" si="461"/>
        <v>0</v>
      </c>
      <c r="AV601" s="28">
        <f t="shared" si="462"/>
        <v>0</v>
      </c>
      <c r="AW601" s="28">
        <f t="shared" si="463"/>
        <v>0</v>
      </c>
      <c r="AX601" s="23">
        <f>HLOOKUP(YEAR(A601),Assumptions!$A$25:$AL$29,2,TRUE)/100</f>
        <v>1.1332999999999999E-2</v>
      </c>
      <c r="AY601" s="29">
        <f>1/(1+HLOOKUP(YEAR(A601),Assumptions!$A$18:$AL$20,3,TRUE))^(1/12)</f>
        <v>0.99906100631170314</v>
      </c>
      <c r="AZ601" s="26">
        <f t="shared" si="464"/>
        <v>0</v>
      </c>
      <c r="BA601">
        <f t="shared" si="465"/>
        <v>0</v>
      </c>
      <c r="BB601">
        <f t="shared" si="466"/>
        <v>0</v>
      </c>
      <c r="BC601">
        <f t="shared" si="467"/>
        <v>0</v>
      </c>
    </row>
    <row r="602" spans="1:55" x14ac:dyDescent="0.2">
      <c r="A602" s="3">
        <f t="shared" si="439"/>
        <v>61087</v>
      </c>
      <c r="B602">
        <f t="shared" si="436"/>
        <v>604</v>
      </c>
      <c r="C602">
        <f t="shared" si="423"/>
        <v>50.25</v>
      </c>
      <c r="D602">
        <f t="shared" si="424"/>
        <v>0</v>
      </c>
      <c r="E602">
        <f t="shared" si="437"/>
        <v>106</v>
      </c>
      <c r="F602">
        <f>IF(C602&gt;=$T$2,0,VLOOKUP($E602,'Mortality Table'!$A$3:$C$128,2+AF$2,FALSE))</f>
        <v>0</v>
      </c>
      <c r="G602">
        <f>F602*Assumptions!$B$1</f>
        <v>0</v>
      </c>
      <c r="H602">
        <f t="shared" si="425"/>
        <v>0</v>
      </c>
      <c r="I602">
        <f t="shared" si="426"/>
        <v>0</v>
      </c>
      <c r="J602">
        <f>IF(B602&gt;$AJ$2,0,HLOOKUP(C602,Assumptions!$A$6:$J$7,2,TRUE))</f>
        <v>0</v>
      </c>
      <c r="K602" s="4">
        <f t="shared" si="427"/>
        <v>0</v>
      </c>
      <c r="L602" s="4">
        <f t="shared" si="440"/>
        <v>0</v>
      </c>
      <c r="M602" s="4">
        <f t="shared" si="428"/>
        <v>0</v>
      </c>
      <c r="N602">
        <f t="shared" si="429"/>
        <v>0</v>
      </c>
      <c r="O602" s="21">
        <f t="shared" si="430"/>
        <v>0</v>
      </c>
      <c r="P602">
        <f>IF(B602&gt;$AJ$2,0,HLOOKUP(C602,Assumptions!$A$12:$J$13,2,TRUE))</f>
        <v>0</v>
      </c>
      <c r="Q602">
        <f t="shared" si="431"/>
        <v>0</v>
      </c>
      <c r="R602">
        <f t="shared" si="441"/>
        <v>0</v>
      </c>
      <c r="S602">
        <f t="shared" si="432"/>
        <v>0</v>
      </c>
      <c r="T602">
        <f t="shared" si="433"/>
        <v>0</v>
      </c>
      <c r="U602">
        <f t="shared" si="442"/>
        <v>0</v>
      </c>
      <c r="V602">
        <f t="shared" si="443"/>
        <v>0</v>
      </c>
      <c r="W602">
        <f t="shared" si="444"/>
        <v>0</v>
      </c>
      <c r="X602">
        <f t="shared" si="434"/>
        <v>0</v>
      </c>
      <c r="Y602">
        <f t="shared" si="445"/>
        <v>0</v>
      </c>
      <c r="Z602">
        <f t="shared" si="446"/>
        <v>0</v>
      </c>
      <c r="AA602">
        <f t="shared" si="447"/>
        <v>0</v>
      </c>
      <c r="AB602">
        <f t="shared" si="448"/>
        <v>0</v>
      </c>
      <c r="AC602" s="23">
        <f>IF(B602&gt;$AJ$2,0,HLOOKUP(YEAR(A602),Assumptions!$A$25:$AL$29,4,TRUE)/100)</f>
        <v>0</v>
      </c>
      <c r="AD602">
        <f t="shared" si="449"/>
        <v>0</v>
      </c>
      <c r="AE602">
        <f t="shared" si="450"/>
        <v>0</v>
      </c>
      <c r="AF602">
        <f t="shared" si="451"/>
        <v>0</v>
      </c>
      <c r="AG602">
        <f t="shared" si="452"/>
        <v>0</v>
      </c>
      <c r="AH602">
        <f t="shared" si="453"/>
        <v>0</v>
      </c>
      <c r="AI602">
        <f t="shared" si="454"/>
        <v>0</v>
      </c>
      <c r="AJ602">
        <f t="shared" si="455"/>
        <v>0</v>
      </c>
      <c r="AK602">
        <f t="shared" si="435"/>
        <v>0</v>
      </c>
      <c r="AL602">
        <f t="shared" si="456"/>
        <v>0</v>
      </c>
      <c r="AM602">
        <f t="shared" si="438"/>
        <v>0</v>
      </c>
      <c r="AN602">
        <f>IF($S$2=0,0,(SUMPRODUCT($K$2:$R$2,Assumptions!$B$34:$I$34)/$U$2+$J$2/$U$2*Assumptions!$A$34*G602)*K602*O601)</f>
        <v>0</v>
      </c>
      <c r="AO602">
        <f t="shared" si="457"/>
        <v>0</v>
      </c>
      <c r="AP602">
        <f t="shared" si="458"/>
        <v>0</v>
      </c>
      <c r="AQ602">
        <f>IF(B602&gt;$AJ$2,0,AQ601*(1+Assumptions!$B$43)^(1/12))</f>
        <v>0</v>
      </c>
      <c r="AR602" s="27">
        <f>IF(B602&gt;$AJ$2,0,(O601+R601)*Assumptions!$B$39/12*AQ601+AV602*Assumptions!$B$41/12)</f>
        <v>0</v>
      </c>
      <c r="AS602">
        <f t="shared" si="459"/>
        <v>0</v>
      </c>
      <c r="AT602" s="28">
        <f t="shared" si="460"/>
        <v>0</v>
      </c>
      <c r="AU602">
        <f t="shared" si="461"/>
        <v>0</v>
      </c>
      <c r="AV602" s="28">
        <f t="shared" si="462"/>
        <v>0</v>
      </c>
      <c r="AW602" s="28">
        <f t="shared" si="463"/>
        <v>0</v>
      </c>
      <c r="AX602" s="23">
        <f>HLOOKUP(YEAR(A602),Assumptions!$A$25:$AL$29,2,TRUE)/100</f>
        <v>1.1332999999999999E-2</v>
      </c>
      <c r="AY602" s="29">
        <f>1/(1+HLOOKUP(YEAR(A602),Assumptions!$A$18:$AL$20,3,TRUE))^(1/12)</f>
        <v>0.99906100631170314</v>
      </c>
      <c r="AZ602" s="26">
        <f t="shared" si="464"/>
        <v>0</v>
      </c>
      <c r="BA602">
        <f t="shared" si="465"/>
        <v>0</v>
      </c>
      <c r="BB602">
        <f t="shared" si="466"/>
        <v>0</v>
      </c>
      <c r="BC602">
        <f t="shared" si="467"/>
        <v>0</v>
      </c>
    </row>
    <row r="603" spans="1:55" x14ac:dyDescent="0.2">
      <c r="A603" s="3">
        <f t="shared" si="439"/>
        <v>61117</v>
      </c>
      <c r="B603">
        <f t="shared" si="436"/>
        <v>605</v>
      </c>
      <c r="C603">
        <f t="shared" si="423"/>
        <v>50.333333333333336</v>
      </c>
      <c r="D603">
        <f t="shared" si="424"/>
        <v>0</v>
      </c>
      <c r="E603">
        <f t="shared" si="437"/>
        <v>106</v>
      </c>
      <c r="F603">
        <f>IF(C603&gt;=$T$2,0,VLOOKUP($E603,'Mortality Table'!$A$3:$C$128,2+AF$2,FALSE))</f>
        <v>0</v>
      </c>
      <c r="G603">
        <f>F603*Assumptions!$B$1</f>
        <v>0</v>
      </c>
      <c r="H603">
        <f t="shared" si="425"/>
        <v>0</v>
      </c>
      <c r="I603">
        <f t="shared" si="426"/>
        <v>0</v>
      </c>
      <c r="J603">
        <f>IF(B603&gt;$AJ$2,0,HLOOKUP(C603,Assumptions!$A$6:$J$7,2,TRUE))</f>
        <v>0</v>
      </c>
      <c r="K603" s="4">
        <f t="shared" si="427"/>
        <v>0</v>
      </c>
      <c r="L603" s="4">
        <f t="shared" si="440"/>
        <v>0</v>
      </c>
      <c r="M603" s="4">
        <f t="shared" si="428"/>
        <v>0</v>
      </c>
      <c r="N603">
        <f t="shared" si="429"/>
        <v>0</v>
      </c>
      <c r="O603" s="21">
        <f t="shared" si="430"/>
        <v>0</v>
      </c>
      <c r="P603">
        <f>IF(B603&gt;$AJ$2,0,HLOOKUP(C603,Assumptions!$A$12:$J$13,2,TRUE))</f>
        <v>0</v>
      </c>
      <c r="Q603">
        <f t="shared" si="431"/>
        <v>0</v>
      </c>
      <c r="R603">
        <f t="shared" si="441"/>
        <v>0</v>
      </c>
      <c r="S603">
        <f t="shared" si="432"/>
        <v>0</v>
      </c>
      <c r="T603">
        <f t="shared" si="433"/>
        <v>0</v>
      </c>
      <c r="U603">
        <f t="shared" si="442"/>
        <v>0</v>
      </c>
      <c r="V603">
        <f t="shared" si="443"/>
        <v>0</v>
      </c>
      <c r="W603">
        <f t="shared" si="444"/>
        <v>0</v>
      </c>
      <c r="X603">
        <f t="shared" si="434"/>
        <v>0</v>
      </c>
      <c r="Y603">
        <f t="shared" si="445"/>
        <v>0</v>
      </c>
      <c r="Z603">
        <f t="shared" si="446"/>
        <v>0</v>
      </c>
      <c r="AA603">
        <f t="shared" si="447"/>
        <v>0</v>
      </c>
      <c r="AB603">
        <f t="shared" si="448"/>
        <v>0</v>
      </c>
      <c r="AC603" s="23">
        <f>IF(B603&gt;$AJ$2,0,HLOOKUP(YEAR(A603),Assumptions!$A$25:$AL$29,4,TRUE)/100)</f>
        <v>0</v>
      </c>
      <c r="AD603">
        <f t="shared" si="449"/>
        <v>0</v>
      </c>
      <c r="AE603">
        <f t="shared" si="450"/>
        <v>0</v>
      </c>
      <c r="AF603">
        <f t="shared" si="451"/>
        <v>0</v>
      </c>
      <c r="AG603">
        <f t="shared" si="452"/>
        <v>0</v>
      </c>
      <c r="AH603">
        <f t="shared" si="453"/>
        <v>0</v>
      </c>
      <c r="AI603">
        <f t="shared" si="454"/>
        <v>0</v>
      </c>
      <c r="AJ603">
        <f t="shared" si="455"/>
        <v>0</v>
      </c>
      <c r="AK603">
        <f t="shared" si="435"/>
        <v>0</v>
      </c>
      <c r="AL603">
        <f t="shared" si="456"/>
        <v>0</v>
      </c>
      <c r="AM603">
        <f t="shared" si="438"/>
        <v>0</v>
      </c>
      <c r="AN603">
        <f>IF($S$2=0,0,(SUMPRODUCT($K$2:$R$2,Assumptions!$B$34:$I$34)/$U$2+$J$2/$U$2*Assumptions!$A$34*G603)*K603*O602)</f>
        <v>0</v>
      </c>
      <c r="AO603">
        <f t="shared" si="457"/>
        <v>0</v>
      </c>
      <c r="AP603">
        <f t="shared" si="458"/>
        <v>0</v>
      </c>
      <c r="AQ603">
        <f>IF(B603&gt;$AJ$2,0,AQ602*(1+Assumptions!$B$43)^(1/12))</f>
        <v>0</v>
      </c>
      <c r="AR603" s="27">
        <f>IF(B603&gt;$AJ$2,0,(O602+R602)*Assumptions!$B$39/12*AQ602+AV603*Assumptions!$B$41/12)</f>
        <v>0</v>
      </c>
      <c r="AS603">
        <f t="shared" si="459"/>
        <v>0</v>
      </c>
      <c r="AT603" s="28">
        <f t="shared" si="460"/>
        <v>0</v>
      </c>
      <c r="AU603">
        <f t="shared" si="461"/>
        <v>0</v>
      </c>
      <c r="AV603" s="28">
        <f t="shared" si="462"/>
        <v>0</v>
      </c>
      <c r="AW603" s="28">
        <f t="shared" si="463"/>
        <v>0</v>
      </c>
      <c r="AX603" s="23">
        <f>HLOOKUP(YEAR(A603),Assumptions!$A$25:$AL$29,2,TRUE)/100</f>
        <v>1.1332999999999999E-2</v>
      </c>
      <c r="AY603" s="29">
        <f>1/(1+HLOOKUP(YEAR(A603),Assumptions!$A$18:$AL$20,3,TRUE))^(1/12)</f>
        <v>0.99906100631170314</v>
      </c>
      <c r="AZ603" s="26">
        <f t="shared" si="464"/>
        <v>0</v>
      </c>
      <c r="BA603">
        <f t="shared" si="465"/>
        <v>0</v>
      </c>
      <c r="BB603">
        <f t="shared" si="466"/>
        <v>0</v>
      </c>
      <c r="BC603">
        <f t="shared" si="467"/>
        <v>0</v>
      </c>
    </row>
    <row r="604" spans="1:55" x14ac:dyDescent="0.2">
      <c r="A604" s="3">
        <f t="shared" si="439"/>
        <v>61148</v>
      </c>
      <c r="B604">
        <f t="shared" si="436"/>
        <v>606</v>
      </c>
      <c r="C604">
        <f t="shared" si="423"/>
        <v>50.416666666666664</v>
      </c>
      <c r="D604">
        <f t="shared" si="424"/>
        <v>0</v>
      </c>
      <c r="E604">
        <f t="shared" si="437"/>
        <v>106</v>
      </c>
      <c r="F604">
        <f>IF(C604&gt;=$T$2,0,VLOOKUP($E604,'Mortality Table'!$A$3:$C$128,2+AF$2,FALSE))</f>
        <v>0</v>
      </c>
      <c r="G604">
        <f>F604*Assumptions!$B$1</f>
        <v>0</v>
      </c>
      <c r="H604">
        <f t="shared" si="425"/>
        <v>0</v>
      </c>
      <c r="I604">
        <f t="shared" si="426"/>
        <v>0</v>
      </c>
      <c r="J604">
        <f>IF(B604&gt;$AJ$2,0,HLOOKUP(C604,Assumptions!$A$6:$J$7,2,TRUE))</f>
        <v>0</v>
      </c>
      <c r="K604" s="4">
        <f t="shared" si="427"/>
        <v>0</v>
      </c>
      <c r="L604" s="4">
        <f t="shared" si="440"/>
        <v>0</v>
      </c>
      <c r="M604" s="4">
        <f t="shared" si="428"/>
        <v>0</v>
      </c>
      <c r="N604">
        <f t="shared" si="429"/>
        <v>0</v>
      </c>
      <c r="O604" s="21">
        <f t="shared" si="430"/>
        <v>0</v>
      </c>
      <c r="P604">
        <f>IF(B604&gt;$AJ$2,0,HLOOKUP(C604,Assumptions!$A$12:$J$13,2,TRUE))</f>
        <v>0</v>
      </c>
      <c r="Q604">
        <f t="shared" si="431"/>
        <v>0</v>
      </c>
      <c r="R604">
        <f t="shared" si="441"/>
        <v>0</v>
      </c>
      <c r="S604">
        <f t="shared" si="432"/>
        <v>0</v>
      </c>
      <c r="T604">
        <f t="shared" si="433"/>
        <v>0</v>
      </c>
      <c r="U604">
        <f t="shared" si="442"/>
        <v>0</v>
      </c>
      <c r="V604">
        <f t="shared" si="443"/>
        <v>0</v>
      </c>
      <c r="W604">
        <f t="shared" si="444"/>
        <v>0</v>
      </c>
      <c r="X604">
        <f t="shared" si="434"/>
        <v>0</v>
      </c>
      <c r="Y604">
        <f t="shared" si="445"/>
        <v>0</v>
      </c>
      <c r="Z604">
        <f t="shared" si="446"/>
        <v>0</v>
      </c>
      <c r="AA604">
        <f t="shared" si="447"/>
        <v>0</v>
      </c>
      <c r="AB604">
        <f t="shared" si="448"/>
        <v>0</v>
      </c>
      <c r="AC604" s="23">
        <f>IF(B604&gt;$AJ$2,0,HLOOKUP(YEAR(A604),Assumptions!$A$25:$AL$29,4,TRUE)/100)</f>
        <v>0</v>
      </c>
      <c r="AD604">
        <f t="shared" si="449"/>
        <v>0</v>
      </c>
      <c r="AE604">
        <f t="shared" si="450"/>
        <v>0</v>
      </c>
      <c r="AF604">
        <f t="shared" si="451"/>
        <v>0</v>
      </c>
      <c r="AG604">
        <f t="shared" si="452"/>
        <v>0</v>
      </c>
      <c r="AH604">
        <f t="shared" si="453"/>
        <v>0</v>
      </c>
      <c r="AI604">
        <f t="shared" si="454"/>
        <v>0</v>
      </c>
      <c r="AJ604">
        <f t="shared" si="455"/>
        <v>0</v>
      </c>
      <c r="AK604">
        <f t="shared" si="435"/>
        <v>0</v>
      </c>
      <c r="AL604">
        <f t="shared" si="456"/>
        <v>0</v>
      </c>
      <c r="AM604">
        <f t="shared" si="438"/>
        <v>0</v>
      </c>
      <c r="AN604">
        <f>IF($S$2=0,0,(SUMPRODUCT($K$2:$R$2,Assumptions!$B$34:$I$34)/$U$2+$J$2/$U$2*Assumptions!$A$34*G604)*K604*O603)</f>
        <v>0</v>
      </c>
      <c r="AO604">
        <f t="shared" si="457"/>
        <v>0</v>
      </c>
      <c r="AP604">
        <f t="shared" si="458"/>
        <v>0</v>
      </c>
      <c r="AQ604">
        <f>IF(B604&gt;$AJ$2,0,AQ603*(1+Assumptions!$B$43)^(1/12))</f>
        <v>0</v>
      </c>
      <c r="AR604" s="27">
        <f>IF(B604&gt;$AJ$2,0,(O603+R603)*Assumptions!$B$39/12*AQ603+AV604*Assumptions!$B$41/12)</f>
        <v>0</v>
      </c>
      <c r="AS604">
        <f t="shared" si="459"/>
        <v>0</v>
      </c>
      <c r="AT604" s="28">
        <f t="shared" si="460"/>
        <v>0</v>
      </c>
      <c r="AU604">
        <f t="shared" si="461"/>
        <v>0</v>
      </c>
      <c r="AV604" s="28">
        <f t="shared" si="462"/>
        <v>0</v>
      </c>
      <c r="AW604" s="28">
        <f t="shared" si="463"/>
        <v>0</v>
      </c>
      <c r="AX604" s="23">
        <f>HLOOKUP(YEAR(A604),Assumptions!$A$25:$AL$29,2,TRUE)/100</f>
        <v>1.1332999999999999E-2</v>
      </c>
      <c r="AY604" s="29">
        <f>1/(1+HLOOKUP(YEAR(A604),Assumptions!$A$18:$AL$20,3,TRUE))^(1/12)</f>
        <v>0.99906100631170314</v>
      </c>
      <c r="AZ604" s="26">
        <f t="shared" si="464"/>
        <v>0</v>
      </c>
      <c r="BA604">
        <f t="shared" si="465"/>
        <v>0</v>
      </c>
      <c r="BB604">
        <f t="shared" si="466"/>
        <v>0</v>
      </c>
      <c r="BC604">
        <f t="shared" si="467"/>
        <v>0</v>
      </c>
    </row>
    <row r="605" spans="1:55" x14ac:dyDescent="0.2">
      <c r="A605" s="3">
        <f t="shared" si="439"/>
        <v>61178</v>
      </c>
      <c r="B605">
        <f t="shared" si="436"/>
        <v>607</v>
      </c>
      <c r="C605">
        <f t="shared" si="423"/>
        <v>50.5</v>
      </c>
      <c r="D605">
        <f t="shared" si="424"/>
        <v>0</v>
      </c>
      <c r="E605">
        <f t="shared" si="437"/>
        <v>106</v>
      </c>
      <c r="F605">
        <f>IF(C605&gt;=$T$2,0,VLOOKUP($E605,'Mortality Table'!$A$3:$C$128,2+AF$2,FALSE))</f>
        <v>0</v>
      </c>
      <c r="G605">
        <f>F605*Assumptions!$B$1</f>
        <v>0</v>
      </c>
      <c r="H605">
        <f t="shared" si="425"/>
        <v>0</v>
      </c>
      <c r="I605">
        <f t="shared" si="426"/>
        <v>0</v>
      </c>
      <c r="J605">
        <f>IF(B605&gt;$AJ$2,0,HLOOKUP(C605,Assumptions!$A$6:$J$7,2,TRUE))</f>
        <v>0</v>
      </c>
      <c r="K605" s="4">
        <f t="shared" si="427"/>
        <v>0</v>
      </c>
      <c r="L605" s="4">
        <f t="shared" si="440"/>
        <v>0</v>
      </c>
      <c r="M605" s="4">
        <f t="shared" si="428"/>
        <v>0</v>
      </c>
      <c r="N605">
        <f t="shared" si="429"/>
        <v>0</v>
      </c>
      <c r="O605" s="21">
        <f t="shared" si="430"/>
        <v>0</v>
      </c>
      <c r="P605">
        <f>IF(B605&gt;$AJ$2,0,HLOOKUP(C605,Assumptions!$A$12:$J$13,2,TRUE))</f>
        <v>0</v>
      </c>
      <c r="Q605">
        <f t="shared" si="431"/>
        <v>0</v>
      </c>
      <c r="R605">
        <f t="shared" si="441"/>
        <v>0</v>
      </c>
      <c r="S605">
        <f t="shared" si="432"/>
        <v>0</v>
      </c>
      <c r="T605">
        <f t="shared" si="433"/>
        <v>0</v>
      </c>
      <c r="U605">
        <f t="shared" si="442"/>
        <v>0</v>
      </c>
      <c r="V605">
        <f t="shared" si="443"/>
        <v>0</v>
      </c>
      <c r="W605">
        <f t="shared" si="444"/>
        <v>0</v>
      </c>
      <c r="X605">
        <f t="shared" si="434"/>
        <v>0</v>
      </c>
      <c r="Y605">
        <f t="shared" si="445"/>
        <v>0</v>
      </c>
      <c r="Z605">
        <f t="shared" si="446"/>
        <v>0</v>
      </c>
      <c r="AA605">
        <f t="shared" si="447"/>
        <v>0</v>
      </c>
      <c r="AB605">
        <f t="shared" si="448"/>
        <v>0</v>
      </c>
      <c r="AC605" s="23">
        <f>IF(B605&gt;$AJ$2,0,HLOOKUP(YEAR(A605),Assumptions!$A$25:$AL$29,4,TRUE)/100)</f>
        <v>0</v>
      </c>
      <c r="AD605">
        <f t="shared" si="449"/>
        <v>0</v>
      </c>
      <c r="AE605">
        <f t="shared" si="450"/>
        <v>0</v>
      </c>
      <c r="AF605">
        <f t="shared" si="451"/>
        <v>0</v>
      </c>
      <c r="AG605">
        <f t="shared" si="452"/>
        <v>0</v>
      </c>
      <c r="AH605">
        <f t="shared" si="453"/>
        <v>0</v>
      </c>
      <c r="AI605">
        <f t="shared" si="454"/>
        <v>0</v>
      </c>
      <c r="AJ605">
        <f t="shared" si="455"/>
        <v>0</v>
      </c>
      <c r="AK605">
        <f t="shared" si="435"/>
        <v>0</v>
      </c>
      <c r="AL605">
        <f t="shared" si="456"/>
        <v>0</v>
      </c>
      <c r="AM605">
        <f t="shared" si="438"/>
        <v>0</v>
      </c>
      <c r="AN605">
        <f>IF($S$2=0,0,(SUMPRODUCT($K$2:$R$2,Assumptions!$B$34:$I$34)/$U$2+$J$2/$U$2*Assumptions!$A$34*G605)*K605*O604)</f>
        <v>0</v>
      </c>
      <c r="AO605">
        <f t="shared" si="457"/>
        <v>0</v>
      </c>
      <c r="AP605">
        <f t="shared" si="458"/>
        <v>0</v>
      </c>
      <c r="AQ605">
        <f>IF(B605&gt;$AJ$2,0,AQ604*(1+Assumptions!$B$43)^(1/12))</f>
        <v>0</v>
      </c>
      <c r="AR605" s="27">
        <f>IF(B605&gt;$AJ$2,0,(O604+R604)*Assumptions!$B$39/12*AQ604+AV605*Assumptions!$B$41/12)</f>
        <v>0</v>
      </c>
      <c r="AS605">
        <f t="shared" si="459"/>
        <v>0</v>
      </c>
      <c r="AT605" s="28">
        <f t="shared" si="460"/>
        <v>0</v>
      </c>
      <c r="AU605">
        <f t="shared" si="461"/>
        <v>0</v>
      </c>
      <c r="AV605" s="28">
        <f t="shared" si="462"/>
        <v>0</v>
      </c>
      <c r="AW605" s="28">
        <f t="shared" si="463"/>
        <v>0</v>
      </c>
      <c r="AX605" s="23">
        <f>HLOOKUP(YEAR(A605),Assumptions!$A$25:$AL$29,2,TRUE)/100</f>
        <v>1.1332999999999999E-2</v>
      </c>
      <c r="AY605" s="29">
        <f>1/(1+HLOOKUP(YEAR(A605),Assumptions!$A$18:$AL$20,3,TRUE))^(1/12)</f>
        <v>0.99906100631170314</v>
      </c>
      <c r="AZ605" s="26">
        <f t="shared" si="464"/>
        <v>0</v>
      </c>
      <c r="BA605">
        <f t="shared" si="465"/>
        <v>0</v>
      </c>
      <c r="BB605">
        <f t="shared" si="466"/>
        <v>0</v>
      </c>
      <c r="BC605">
        <f t="shared" si="467"/>
        <v>0</v>
      </c>
    </row>
    <row r="606" spans="1:55" x14ac:dyDescent="0.2">
      <c r="A606" s="3">
        <f t="shared" si="439"/>
        <v>61209</v>
      </c>
      <c r="B606">
        <f t="shared" si="436"/>
        <v>608</v>
      </c>
      <c r="C606">
        <f t="shared" si="423"/>
        <v>50.583333333333336</v>
      </c>
      <c r="D606">
        <f t="shared" si="424"/>
        <v>0</v>
      </c>
      <c r="E606">
        <f t="shared" si="437"/>
        <v>106</v>
      </c>
      <c r="F606">
        <f>IF(C606&gt;=$T$2,0,VLOOKUP($E606,'Mortality Table'!$A$3:$C$128,2+AF$2,FALSE))</f>
        <v>0</v>
      </c>
      <c r="G606">
        <f>F606*Assumptions!$B$1</f>
        <v>0</v>
      </c>
      <c r="H606">
        <f t="shared" si="425"/>
        <v>0</v>
      </c>
      <c r="I606">
        <f t="shared" si="426"/>
        <v>0</v>
      </c>
      <c r="J606">
        <f>IF(B606&gt;$AJ$2,0,HLOOKUP(C606,Assumptions!$A$6:$J$7,2,TRUE))</f>
        <v>0</v>
      </c>
      <c r="K606" s="4">
        <f t="shared" si="427"/>
        <v>0</v>
      </c>
      <c r="L606" s="4">
        <f t="shared" si="440"/>
        <v>0</v>
      </c>
      <c r="M606" s="4">
        <f t="shared" si="428"/>
        <v>0</v>
      </c>
      <c r="N606">
        <f t="shared" si="429"/>
        <v>0</v>
      </c>
      <c r="O606" s="21">
        <f t="shared" si="430"/>
        <v>0</v>
      </c>
      <c r="P606">
        <f>IF(B606&gt;$AJ$2,0,HLOOKUP(C606,Assumptions!$A$12:$J$13,2,TRUE))</f>
        <v>0</v>
      </c>
      <c r="Q606">
        <f t="shared" si="431"/>
        <v>0</v>
      </c>
      <c r="R606">
        <f t="shared" si="441"/>
        <v>0</v>
      </c>
      <c r="S606">
        <f t="shared" si="432"/>
        <v>0</v>
      </c>
      <c r="T606">
        <f t="shared" si="433"/>
        <v>0</v>
      </c>
      <c r="U606">
        <f t="shared" si="442"/>
        <v>0</v>
      </c>
      <c r="V606">
        <f t="shared" si="443"/>
        <v>0</v>
      </c>
      <c r="W606">
        <f t="shared" si="444"/>
        <v>0</v>
      </c>
      <c r="X606">
        <f t="shared" si="434"/>
        <v>0</v>
      </c>
      <c r="Y606">
        <f t="shared" si="445"/>
        <v>0</v>
      </c>
      <c r="Z606">
        <f t="shared" si="446"/>
        <v>0</v>
      </c>
      <c r="AA606">
        <f t="shared" si="447"/>
        <v>0</v>
      </c>
      <c r="AB606">
        <f t="shared" si="448"/>
        <v>0</v>
      </c>
      <c r="AC606" s="23">
        <f>IF(B606&gt;$AJ$2,0,HLOOKUP(YEAR(A606),Assumptions!$A$25:$AL$29,4,TRUE)/100)</f>
        <v>0</v>
      </c>
      <c r="AD606">
        <f t="shared" si="449"/>
        <v>0</v>
      </c>
      <c r="AE606">
        <f t="shared" si="450"/>
        <v>0</v>
      </c>
      <c r="AF606">
        <f t="shared" si="451"/>
        <v>0</v>
      </c>
      <c r="AG606">
        <f t="shared" si="452"/>
        <v>0</v>
      </c>
      <c r="AH606">
        <f t="shared" si="453"/>
        <v>0</v>
      </c>
      <c r="AI606">
        <f t="shared" si="454"/>
        <v>0</v>
      </c>
      <c r="AJ606">
        <f t="shared" si="455"/>
        <v>0</v>
      </c>
      <c r="AK606">
        <f t="shared" si="435"/>
        <v>0</v>
      </c>
      <c r="AL606">
        <f t="shared" si="456"/>
        <v>0</v>
      </c>
      <c r="AM606">
        <f t="shared" si="438"/>
        <v>0</v>
      </c>
      <c r="AN606">
        <f>IF($S$2=0,0,(SUMPRODUCT($K$2:$R$2,Assumptions!$B$34:$I$34)/$U$2+$J$2/$U$2*Assumptions!$A$34*G606)*K606*O605)</f>
        <v>0</v>
      </c>
      <c r="AO606">
        <f t="shared" si="457"/>
        <v>0</v>
      </c>
      <c r="AP606">
        <f t="shared" si="458"/>
        <v>0</v>
      </c>
      <c r="AQ606">
        <f>IF(B606&gt;$AJ$2,0,AQ605*(1+Assumptions!$B$43)^(1/12))</f>
        <v>0</v>
      </c>
      <c r="AR606" s="27">
        <f>IF(B606&gt;$AJ$2,0,(O605+R605)*Assumptions!$B$39/12*AQ605+AV606*Assumptions!$B$41/12)</f>
        <v>0</v>
      </c>
      <c r="AS606">
        <f t="shared" si="459"/>
        <v>0</v>
      </c>
      <c r="AT606" s="28">
        <f t="shared" si="460"/>
        <v>0</v>
      </c>
      <c r="AU606">
        <f t="shared" si="461"/>
        <v>0</v>
      </c>
      <c r="AV606" s="28">
        <f t="shared" si="462"/>
        <v>0</v>
      </c>
      <c r="AW606" s="28">
        <f t="shared" si="463"/>
        <v>0</v>
      </c>
      <c r="AX606" s="23">
        <f>HLOOKUP(YEAR(A606),Assumptions!$A$25:$AL$29,2,TRUE)/100</f>
        <v>1.1332999999999999E-2</v>
      </c>
      <c r="AY606" s="29">
        <f>1/(1+HLOOKUP(YEAR(A606),Assumptions!$A$18:$AL$20,3,TRUE))^(1/12)</f>
        <v>0.99906100631170314</v>
      </c>
      <c r="AZ606" s="26">
        <f t="shared" si="464"/>
        <v>0</v>
      </c>
      <c r="BA606">
        <f t="shared" si="465"/>
        <v>0</v>
      </c>
      <c r="BB606">
        <f t="shared" si="466"/>
        <v>0</v>
      </c>
      <c r="BC606">
        <f t="shared" si="467"/>
        <v>0</v>
      </c>
    </row>
    <row r="607" spans="1:55" x14ac:dyDescent="0.2">
      <c r="A607" s="3">
        <f t="shared" si="439"/>
        <v>61240</v>
      </c>
      <c r="B607">
        <f t="shared" si="436"/>
        <v>609</v>
      </c>
      <c r="C607">
        <f t="shared" si="423"/>
        <v>50.666666666666664</v>
      </c>
      <c r="D607">
        <f t="shared" si="424"/>
        <v>0</v>
      </c>
      <c r="E607">
        <f t="shared" si="437"/>
        <v>106</v>
      </c>
      <c r="F607">
        <f>IF(C607&gt;=$T$2,0,VLOOKUP($E607,'Mortality Table'!$A$3:$C$128,2+AF$2,FALSE))</f>
        <v>0</v>
      </c>
      <c r="G607">
        <f>F607*Assumptions!$B$1</f>
        <v>0</v>
      </c>
      <c r="H607">
        <f t="shared" si="425"/>
        <v>0</v>
      </c>
      <c r="I607">
        <f t="shared" si="426"/>
        <v>0</v>
      </c>
      <c r="J607">
        <f>IF(B607&gt;$AJ$2,0,HLOOKUP(C607,Assumptions!$A$6:$J$7,2,TRUE))</f>
        <v>0</v>
      </c>
      <c r="K607" s="4">
        <f t="shared" si="427"/>
        <v>0</v>
      </c>
      <c r="L607" s="4">
        <f t="shared" si="440"/>
        <v>0</v>
      </c>
      <c r="M607" s="4">
        <f t="shared" si="428"/>
        <v>0</v>
      </c>
      <c r="N607">
        <f t="shared" si="429"/>
        <v>0</v>
      </c>
      <c r="O607" s="21">
        <f t="shared" si="430"/>
        <v>0</v>
      </c>
      <c r="P607">
        <f>IF(B607&gt;$AJ$2,0,HLOOKUP(C607,Assumptions!$A$12:$J$13,2,TRUE))</f>
        <v>0</v>
      </c>
      <c r="Q607">
        <f t="shared" si="431"/>
        <v>0</v>
      </c>
      <c r="R607">
        <f t="shared" si="441"/>
        <v>0</v>
      </c>
      <c r="S607">
        <f t="shared" si="432"/>
        <v>0</v>
      </c>
      <c r="T607">
        <f t="shared" si="433"/>
        <v>0</v>
      </c>
      <c r="U607">
        <f t="shared" si="442"/>
        <v>0</v>
      </c>
      <c r="V607">
        <f t="shared" si="443"/>
        <v>0</v>
      </c>
      <c r="W607">
        <f t="shared" si="444"/>
        <v>0</v>
      </c>
      <c r="X607">
        <f t="shared" si="434"/>
        <v>0</v>
      </c>
      <c r="Y607">
        <f t="shared" si="445"/>
        <v>0</v>
      </c>
      <c r="Z607">
        <f t="shared" si="446"/>
        <v>0</v>
      </c>
      <c r="AA607">
        <f t="shared" si="447"/>
        <v>0</v>
      </c>
      <c r="AB607">
        <f t="shared" si="448"/>
        <v>0</v>
      </c>
      <c r="AC607" s="23">
        <f>IF(B607&gt;$AJ$2,0,HLOOKUP(YEAR(A607),Assumptions!$A$25:$AL$29,4,TRUE)/100)</f>
        <v>0</v>
      </c>
      <c r="AD607">
        <f t="shared" si="449"/>
        <v>0</v>
      </c>
      <c r="AE607">
        <f t="shared" si="450"/>
        <v>0</v>
      </c>
      <c r="AF607">
        <f t="shared" si="451"/>
        <v>0</v>
      </c>
      <c r="AG607">
        <f t="shared" si="452"/>
        <v>0</v>
      </c>
      <c r="AH607">
        <f t="shared" si="453"/>
        <v>0</v>
      </c>
      <c r="AI607">
        <f t="shared" si="454"/>
        <v>0</v>
      </c>
      <c r="AJ607">
        <f t="shared" si="455"/>
        <v>0</v>
      </c>
      <c r="AK607">
        <f t="shared" si="435"/>
        <v>0</v>
      </c>
      <c r="AL607">
        <f t="shared" si="456"/>
        <v>0</v>
      </c>
      <c r="AM607">
        <f t="shared" si="438"/>
        <v>0</v>
      </c>
      <c r="AN607">
        <f>IF($S$2=0,0,(SUMPRODUCT($K$2:$R$2,Assumptions!$B$34:$I$34)/$U$2+$J$2/$U$2*Assumptions!$A$34*G607)*K607*O606)</f>
        <v>0</v>
      </c>
      <c r="AO607">
        <f t="shared" si="457"/>
        <v>0</v>
      </c>
      <c r="AP607">
        <f t="shared" si="458"/>
        <v>0</v>
      </c>
      <c r="AQ607">
        <f>IF(B607&gt;$AJ$2,0,AQ606*(1+Assumptions!$B$43)^(1/12))</f>
        <v>0</v>
      </c>
      <c r="AR607" s="27">
        <f>IF(B607&gt;$AJ$2,0,(O606+R606)*Assumptions!$B$39/12*AQ606+AV607*Assumptions!$B$41/12)</f>
        <v>0</v>
      </c>
      <c r="AS607">
        <f t="shared" si="459"/>
        <v>0</v>
      </c>
      <c r="AT607" s="28">
        <f t="shared" si="460"/>
        <v>0</v>
      </c>
      <c r="AU607">
        <f t="shared" si="461"/>
        <v>0</v>
      </c>
      <c r="AV607" s="28">
        <f t="shared" si="462"/>
        <v>0</v>
      </c>
      <c r="AW607" s="28">
        <f t="shared" si="463"/>
        <v>0</v>
      </c>
      <c r="AX607" s="23">
        <f>HLOOKUP(YEAR(A607),Assumptions!$A$25:$AL$29,2,TRUE)/100</f>
        <v>1.1332999999999999E-2</v>
      </c>
      <c r="AY607" s="29">
        <f>1/(1+HLOOKUP(YEAR(A607),Assumptions!$A$18:$AL$20,3,TRUE))^(1/12)</f>
        <v>0.99906100631170314</v>
      </c>
      <c r="AZ607" s="26">
        <f t="shared" si="464"/>
        <v>0</v>
      </c>
      <c r="BA607">
        <f t="shared" si="465"/>
        <v>0</v>
      </c>
      <c r="BB607">
        <f t="shared" si="466"/>
        <v>0</v>
      </c>
      <c r="BC607">
        <f t="shared" si="467"/>
        <v>0</v>
      </c>
    </row>
    <row r="608" spans="1:55" x14ac:dyDescent="0.2">
      <c r="A608" s="3">
        <f t="shared" si="439"/>
        <v>61270</v>
      </c>
      <c r="B608">
        <f t="shared" si="436"/>
        <v>610</v>
      </c>
      <c r="C608">
        <f t="shared" si="423"/>
        <v>50.75</v>
      </c>
      <c r="D608">
        <f t="shared" si="424"/>
        <v>0</v>
      </c>
      <c r="E608">
        <f t="shared" si="437"/>
        <v>106</v>
      </c>
      <c r="F608">
        <f>IF(C608&gt;=$T$2,0,VLOOKUP($E608,'Mortality Table'!$A$3:$C$128,2+AF$2,FALSE))</f>
        <v>0</v>
      </c>
      <c r="G608">
        <f>F608*Assumptions!$B$1</f>
        <v>0</v>
      </c>
      <c r="H608">
        <f t="shared" si="425"/>
        <v>0</v>
      </c>
      <c r="I608">
        <f t="shared" si="426"/>
        <v>0</v>
      </c>
      <c r="J608">
        <f>IF(B608&gt;$AJ$2,0,HLOOKUP(C608,Assumptions!$A$6:$J$7,2,TRUE))</f>
        <v>0</v>
      </c>
      <c r="K608" s="4">
        <f t="shared" si="427"/>
        <v>0</v>
      </c>
      <c r="L608" s="4">
        <f t="shared" si="440"/>
        <v>0</v>
      </c>
      <c r="M608" s="4">
        <f t="shared" si="428"/>
        <v>0</v>
      </c>
      <c r="N608">
        <f t="shared" si="429"/>
        <v>0</v>
      </c>
      <c r="O608" s="21">
        <f t="shared" si="430"/>
        <v>0</v>
      </c>
      <c r="P608">
        <f>IF(B608&gt;$AJ$2,0,HLOOKUP(C608,Assumptions!$A$12:$J$13,2,TRUE))</f>
        <v>0</v>
      </c>
      <c r="Q608">
        <f t="shared" si="431"/>
        <v>0</v>
      </c>
      <c r="R608">
        <f t="shared" si="441"/>
        <v>0</v>
      </c>
      <c r="S608">
        <f t="shared" si="432"/>
        <v>0</v>
      </c>
      <c r="T608">
        <f t="shared" si="433"/>
        <v>0</v>
      </c>
      <c r="U608">
        <f t="shared" si="442"/>
        <v>0</v>
      </c>
      <c r="V608">
        <f t="shared" si="443"/>
        <v>0</v>
      </c>
      <c r="W608">
        <f t="shared" si="444"/>
        <v>0</v>
      </c>
      <c r="X608">
        <f t="shared" si="434"/>
        <v>0</v>
      </c>
      <c r="Y608">
        <f t="shared" si="445"/>
        <v>0</v>
      </c>
      <c r="Z608">
        <f t="shared" si="446"/>
        <v>0</v>
      </c>
      <c r="AA608">
        <f t="shared" si="447"/>
        <v>0</v>
      </c>
      <c r="AB608">
        <f t="shared" si="448"/>
        <v>0</v>
      </c>
      <c r="AC608" s="23">
        <f>IF(B608&gt;$AJ$2,0,HLOOKUP(YEAR(A608),Assumptions!$A$25:$AL$29,4,TRUE)/100)</f>
        <v>0</v>
      </c>
      <c r="AD608">
        <f t="shared" si="449"/>
        <v>0</v>
      </c>
      <c r="AE608">
        <f t="shared" si="450"/>
        <v>0</v>
      </c>
      <c r="AF608">
        <f t="shared" si="451"/>
        <v>0</v>
      </c>
      <c r="AG608">
        <f t="shared" si="452"/>
        <v>0</v>
      </c>
      <c r="AH608">
        <f t="shared" si="453"/>
        <v>0</v>
      </c>
      <c r="AI608">
        <f t="shared" si="454"/>
        <v>0</v>
      </c>
      <c r="AJ608">
        <f t="shared" si="455"/>
        <v>0</v>
      </c>
      <c r="AK608">
        <f t="shared" si="435"/>
        <v>0</v>
      </c>
      <c r="AL608">
        <f t="shared" si="456"/>
        <v>0</v>
      </c>
      <c r="AM608">
        <f t="shared" si="438"/>
        <v>0</v>
      </c>
      <c r="AN608">
        <f>IF($S$2=0,0,(SUMPRODUCT($K$2:$R$2,Assumptions!$B$34:$I$34)/$U$2+$J$2/$U$2*Assumptions!$A$34*G608)*K608*O607)</f>
        <v>0</v>
      </c>
      <c r="AO608">
        <f t="shared" si="457"/>
        <v>0</v>
      </c>
      <c r="AP608">
        <f t="shared" si="458"/>
        <v>0</v>
      </c>
      <c r="AQ608">
        <f>IF(B608&gt;$AJ$2,0,AQ607*(1+Assumptions!$B$43)^(1/12))</f>
        <v>0</v>
      </c>
      <c r="AR608" s="27">
        <f>IF(B608&gt;$AJ$2,0,(O607+R607)*Assumptions!$B$39/12*AQ607+AV608*Assumptions!$B$41/12)</f>
        <v>0</v>
      </c>
      <c r="AS608">
        <f t="shared" si="459"/>
        <v>0</v>
      </c>
      <c r="AT608" s="28">
        <f t="shared" si="460"/>
        <v>0</v>
      </c>
      <c r="AU608">
        <f t="shared" si="461"/>
        <v>0</v>
      </c>
      <c r="AV608" s="28">
        <f t="shared" si="462"/>
        <v>0</v>
      </c>
      <c r="AW608" s="28">
        <f t="shared" si="463"/>
        <v>0</v>
      </c>
      <c r="AX608" s="23">
        <f>HLOOKUP(YEAR(A608),Assumptions!$A$25:$AL$29,2,TRUE)/100</f>
        <v>1.1332999999999999E-2</v>
      </c>
      <c r="AY608" s="29">
        <f>1/(1+HLOOKUP(YEAR(A608),Assumptions!$A$18:$AL$20,3,TRUE))^(1/12)</f>
        <v>0.99906100631170314</v>
      </c>
      <c r="AZ608" s="26">
        <f t="shared" si="464"/>
        <v>0</v>
      </c>
      <c r="BA608">
        <f t="shared" si="465"/>
        <v>0</v>
      </c>
      <c r="BB608">
        <f t="shared" si="466"/>
        <v>0</v>
      </c>
      <c r="BC608">
        <f t="shared" si="467"/>
        <v>0</v>
      </c>
    </row>
    <row r="609" spans="1:55" x14ac:dyDescent="0.2">
      <c r="A609" s="3">
        <f t="shared" si="439"/>
        <v>61301</v>
      </c>
      <c r="B609">
        <f t="shared" si="436"/>
        <v>611</v>
      </c>
      <c r="C609">
        <f t="shared" si="423"/>
        <v>50.833333333333336</v>
      </c>
      <c r="D609">
        <f t="shared" si="424"/>
        <v>0</v>
      </c>
      <c r="E609">
        <f t="shared" si="437"/>
        <v>106</v>
      </c>
      <c r="F609">
        <f>IF(C609&gt;=$T$2,0,VLOOKUP($E609,'Mortality Table'!$A$3:$C$128,2+AF$2,FALSE))</f>
        <v>0</v>
      </c>
      <c r="G609">
        <f>F609*Assumptions!$B$1</f>
        <v>0</v>
      </c>
      <c r="H609">
        <f t="shared" si="425"/>
        <v>0</v>
      </c>
      <c r="I609">
        <f t="shared" si="426"/>
        <v>0</v>
      </c>
      <c r="J609">
        <f>IF(B609&gt;$AJ$2,0,HLOOKUP(C609,Assumptions!$A$6:$J$7,2,TRUE))</f>
        <v>0</v>
      </c>
      <c r="K609" s="4">
        <f t="shared" si="427"/>
        <v>0</v>
      </c>
      <c r="L609" s="4">
        <f t="shared" si="440"/>
        <v>0</v>
      </c>
      <c r="M609" s="4">
        <f t="shared" si="428"/>
        <v>0</v>
      </c>
      <c r="N609">
        <f t="shared" si="429"/>
        <v>0</v>
      </c>
      <c r="O609" s="21">
        <f t="shared" si="430"/>
        <v>0</v>
      </c>
      <c r="P609">
        <f>IF(B609&gt;$AJ$2,0,HLOOKUP(C609,Assumptions!$A$12:$J$13,2,TRUE))</f>
        <v>0</v>
      </c>
      <c r="Q609">
        <f t="shared" si="431"/>
        <v>0</v>
      </c>
      <c r="R609">
        <f t="shared" si="441"/>
        <v>0</v>
      </c>
      <c r="S609">
        <f t="shared" si="432"/>
        <v>0</v>
      </c>
      <c r="T609">
        <f t="shared" si="433"/>
        <v>0</v>
      </c>
      <c r="U609">
        <f t="shared" si="442"/>
        <v>0</v>
      </c>
      <c r="V609">
        <f t="shared" si="443"/>
        <v>0</v>
      </c>
      <c r="W609">
        <f t="shared" si="444"/>
        <v>0</v>
      </c>
      <c r="X609">
        <f t="shared" si="434"/>
        <v>0</v>
      </c>
      <c r="Y609">
        <f t="shared" si="445"/>
        <v>0</v>
      </c>
      <c r="Z609">
        <f t="shared" si="446"/>
        <v>0</v>
      </c>
      <c r="AA609">
        <f t="shared" si="447"/>
        <v>0</v>
      </c>
      <c r="AB609">
        <f t="shared" si="448"/>
        <v>0</v>
      </c>
      <c r="AC609" s="23">
        <f>IF(B609&gt;$AJ$2,0,HLOOKUP(YEAR(A609),Assumptions!$A$25:$AL$29,4,TRUE)/100)</f>
        <v>0</v>
      </c>
      <c r="AD609">
        <f t="shared" si="449"/>
        <v>0</v>
      </c>
      <c r="AE609">
        <f t="shared" si="450"/>
        <v>0</v>
      </c>
      <c r="AF609">
        <f t="shared" si="451"/>
        <v>0</v>
      </c>
      <c r="AG609">
        <f t="shared" si="452"/>
        <v>0</v>
      </c>
      <c r="AH609">
        <f t="shared" si="453"/>
        <v>0</v>
      </c>
      <c r="AI609">
        <f t="shared" si="454"/>
        <v>0</v>
      </c>
      <c r="AJ609">
        <f t="shared" si="455"/>
        <v>0</v>
      </c>
      <c r="AK609">
        <f t="shared" si="435"/>
        <v>0</v>
      </c>
      <c r="AL609">
        <f t="shared" si="456"/>
        <v>0</v>
      </c>
      <c r="AM609">
        <f t="shared" si="438"/>
        <v>0</v>
      </c>
      <c r="AN609">
        <f>IF($S$2=0,0,(SUMPRODUCT($K$2:$R$2,Assumptions!$B$34:$I$34)/$U$2+$J$2/$U$2*Assumptions!$A$34*G609)*K609*O608)</f>
        <v>0</v>
      </c>
      <c r="AO609">
        <f t="shared" si="457"/>
        <v>0</v>
      </c>
      <c r="AP609">
        <f t="shared" si="458"/>
        <v>0</v>
      </c>
      <c r="AQ609">
        <f>IF(B609&gt;$AJ$2,0,AQ608*(1+Assumptions!$B$43)^(1/12))</f>
        <v>0</v>
      </c>
      <c r="AR609" s="27">
        <f>IF(B609&gt;$AJ$2,0,(O608+R608)*Assumptions!$B$39/12*AQ608+AV609*Assumptions!$B$41/12)</f>
        <v>0</v>
      </c>
      <c r="AS609">
        <f t="shared" si="459"/>
        <v>0</v>
      </c>
      <c r="AT609" s="28">
        <f t="shared" si="460"/>
        <v>0</v>
      </c>
      <c r="AU609">
        <f t="shared" si="461"/>
        <v>0</v>
      </c>
      <c r="AV609" s="28">
        <f t="shared" si="462"/>
        <v>0</v>
      </c>
      <c r="AW609" s="28">
        <f t="shared" si="463"/>
        <v>0</v>
      </c>
      <c r="AX609" s="23">
        <f>HLOOKUP(YEAR(A609),Assumptions!$A$25:$AL$29,2,TRUE)/100</f>
        <v>1.1332999999999999E-2</v>
      </c>
      <c r="AY609" s="29">
        <f>1/(1+HLOOKUP(YEAR(A609),Assumptions!$A$18:$AL$20,3,TRUE))^(1/12)</f>
        <v>0.99906100631170314</v>
      </c>
      <c r="AZ609" s="26">
        <f t="shared" si="464"/>
        <v>0</v>
      </c>
      <c r="BA609">
        <f t="shared" si="465"/>
        <v>0</v>
      </c>
      <c r="BB609">
        <f t="shared" si="466"/>
        <v>0</v>
      </c>
      <c r="BC609">
        <f t="shared" si="467"/>
        <v>0</v>
      </c>
    </row>
    <row r="610" spans="1:55" x14ac:dyDescent="0.2">
      <c r="A610" s="3">
        <f t="shared" si="439"/>
        <v>61331</v>
      </c>
      <c r="B610">
        <f t="shared" si="436"/>
        <v>612</v>
      </c>
      <c r="C610">
        <f t="shared" si="423"/>
        <v>50.916666666666664</v>
      </c>
      <c r="D610">
        <f t="shared" si="424"/>
        <v>0</v>
      </c>
      <c r="E610">
        <f t="shared" si="437"/>
        <v>106</v>
      </c>
      <c r="F610">
        <f>IF(C610&gt;=$T$2,0,VLOOKUP($E610,'Mortality Table'!$A$3:$C$128,2+AF$2,FALSE))</f>
        <v>0</v>
      </c>
      <c r="G610">
        <f>F610*Assumptions!$B$1</f>
        <v>0</v>
      </c>
      <c r="H610">
        <f t="shared" si="425"/>
        <v>0</v>
      </c>
      <c r="I610">
        <f t="shared" si="426"/>
        <v>0</v>
      </c>
      <c r="J610">
        <f>IF(B610&gt;$AJ$2,0,HLOOKUP(C610,Assumptions!$A$6:$J$7,2,TRUE))</f>
        <v>0</v>
      </c>
      <c r="K610" s="4">
        <f t="shared" si="427"/>
        <v>0</v>
      </c>
      <c r="L610" s="4">
        <f t="shared" si="440"/>
        <v>0</v>
      </c>
      <c r="M610" s="4">
        <f t="shared" si="428"/>
        <v>0</v>
      </c>
      <c r="N610">
        <f t="shared" si="429"/>
        <v>0</v>
      </c>
      <c r="O610" s="21">
        <f t="shared" si="430"/>
        <v>0</v>
      </c>
      <c r="P610">
        <f>IF(B610&gt;$AJ$2,0,HLOOKUP(C610,Assumptions!$A$12:$J$13,2,TRUE))</f>
        <v>0</v>
      </c>
      <c r="Q610">
        <f t="shared" si="431"/>
        <v>0</v>
      </c>
      <c r="R610">
        <f t="shared" si="441"/>
        <v>0</v>
      </c>
      <c r="S610">
        <f t="shared" si="432"/>
        <v>0</v>
      </c>
      <c r="T610">
        <f t="shared" si="433"/>
        <v>0</v>
      </c>
      <c r="U610">
        <f t="shared" si="442"/>
        <v>0</v>
      </c>
      <c r="V610">
        <f t="shared" si="443"/>
        <v>0</v>
      </c>
      <c r="W610">
        <f t="shared" si="444"/>
        <v>0</v>
      </c>
      <c r="X610">
        <f t="shared" si="434"/>
        <v>0</v>
      </c>
      <c r="Y610">
        <f t="shared" si="445"/>
        <v>0</v>
      </c>
      <c r="Z610">
        <f t="shared" si="446"/>
        <v>0</v>
      </c>
      <c r="AA610">
        <f t="shared" si="447"/>
        <v>0</v>
      </c>
      <c r="AB610">
        <f t="shared" si="448"/>
        <v>0</v>
      </c>
      <c r="AC610" s="23">
        <f>IF(B610&gt;$AJ$2,0,HLOOKUP(YEAR(A610),Assumptions!$A$25:$AL$29,4,TRUE)/100)</f>
        <v>0</v>
      </c>
      <c r="AD610">
        <f t="shared" si="449"/>
        <v>0</v>
      </c>
      <c r="AE610">
        <f t="shared" si="450"/>
        <v>0</v>
      </c>
      <c r="AF610">
        <f t="shared" si="451"/>
        <v>0</v>
      </c>
      <c r="AG610">
        <f t="shared" si="452"/>
        <v>0</v>
      </c>
      <c r="AH610">
        <f t="shared" si="453"/>
        <v>0</v>
      </c>
      <c r="AI610">
        <f t="shared" si="454"/>
        <v>0</v>
      </c>
      <c r="AJ610">
        <f t="shared" si="455"/>
        <v>0</v>
      </c>
      <c r="AK610">
        <f t="shared" si="435"/>
        <v>0</v>
      </c>
      <c r="AL610">
        <f t="shared" si="456"/>
        <v>0</v>
      </c>
      <c r="AM610">
        <f t="shared" si="438"/>
        <v>0</v>
      </c>
      <c r="AN610">
        <f>IF($S$2=0,0,(SUMPRODUCT($K$2:$R$2,Assumptions!$B$34:$I$34)/$U$2+$J$2/$U$2*Assumptions!$A$34*G610)*K610*O609)</f>
        <v>0</v>
      </c>
      <c r="AO610">
        <f t="shared" si="457"/>
        <v>0</v>
      </c>
      <c r="AP610">
        <f t="shared" si="458"/>
        <v>0</v>
      </c>
      <c r="AQ610">
        <f>IF(B610&gt;$AJ$2,0,AQ609*(1+Assumptions!$B$43)^(1/12))</f>
        <v>0</v>
      </c>
      <c r="AR610" s="27">
        <f>IF(B610&gt;$AJ$2,0,(O609+R609)*Assumptions!$B$39/12*AQ609+AV610*Assumptions!$B$41/12)</f>
        <v>0</v>
      </c>
      <c r="AS610">
        <f t="shared" si="459"/>
        <v>0</v>
      </c>
      <c r="AT610" s="28">
        <f t="shared" si="460"/>
        <v>0</v>
      </c>
      <c r="AU610">
        <f t="shared" si="461"/>
        <v>0</v>
      </c>
      <c r="AV610" s="28">
        <f t="shared" si="462"/>
        <v>0</v>
      </c>
      <c r="AW610" s="28">
        <f t="shared" si="463"/>
        <v>0</v>
      </c>
      <c r="AX610" s="23">
        <f>HLOOKUP(YEAR(A610),Assumptions!$A$25:$AL$29,2,TRUE)/100</f>
        <v>1.1332999999999999E-2</v>
      </c>
      <c r="AY610" s="29">
        <f>1/(1+HLOOKUP(YEAR(A610),Assumptions!$A$18:$AL$20,3,TRUE))^(1/12)</f>
        <v>0.99906100631170314</v>
      </c>
      <c r="AZ610" s="26">
        <f t="shared" si="464"/>
        <v>0</v>
      </c>
      <c r="BA610">
        <f t="shared" si="465"/>
        <v>0</v>
      </c>
      <c r="BB610">
        <f t="shared" si="466"/>
        <v>0</v>
      </c>
      <c r="BC610">
        <f t="shared" si="467"/>
        <v>0</v>
      </c>
    </row>
    <row r="611" spans="1:55" x14ac:dyDescent="0.2">
      <c r="A611" s="3">
        <f t="shared" si="439"/>
        <v>61362</v>
      </c>
      <c r="B611">
        <f t="shared" si="436"/>
        <v>613</v>
      </c>
      <c r="C611">
        <f t="shared" si="423"/>
        <v>51</v>
      </c>
      <c r="D611">
        <f t="shared" si="424"/>
        <v>1</v>
      </c>
      <c r="E611">
        <f t="shared" si="437"/>
        <v>107</v>
      </c>
      <c r="F611">
        <f>IF(C611&gt;=$T$2,0,VLOOKUP($E611,'Mortality Table'!$A$3:$C$128,2+AF$2,FALSE))</f>
        <v>0</v>
      </c>
      <c r="G611">
        <f>F611*Assumptions!$B$1</f>
        <v>0</v>
      </c>
      <c r="H611">
        <f t="shared" si="425"/>
        <v>0</v>
      </c>
      <c r="I611">
        <f t="shared" si="426"/>
        <v>0</v>
      </c>
      <c r="J611">
        <f>IF(B611&gt;$AJ$2,0,HLOOKUP(C611,Assumptions!$A$6:$J$7,2,TRUE))</f>
        <v>0</v>
      </c>
      <c r="K611" s="4">
        <f t="shared" si="427"/>
        <v>0</v>
      </c>
      <c r="L611" s="4">
        <f t="shared" si="440"/>
        <v>0</v>
      </c>
      <c r="M611" s="4">
        <f t="shared" si="428"/>
        <v>0</v>
      </c>
      <c r="N611">
        <f t="shared" si="429"/>
        <v>0</v>
      </c>
      <c r="O611" s="21">
        <f t="shared" si="430"/>
        <v>0</v>
      </c>
      <c r="P611">
        <f>IF(B611&gt;$AJ$2,0,HLOOKUP(C611,Assumptions!$A$12:$J$13,2,TRUE))</f>
        <v>0</v>
      </c>
      <c r="Q611">
        <f t="shared" si="431"/>
        <v>0</v>
      </c>
      <c r="R611">
        <f t="shared" si="441"/>
        <v>0</v>
      </c>
      <c r="S611">
        <f t="shared" si="432"/>
        <v>0</v>
      </c>
      <c r="T611">
        <f t="shared" si="433"/>
        <v>0</v>
      </c>
      <c r="U611">
        <f t="shared" si="442"/>
        <v>0</v>
      </c>
      <c r="V611">
        <f t="shared" si="443"/>
        <v>0</v>
      </c>
      <c r="W611">
        <f t="shared" si="444"/>
        <v>0</v>
      </c>
      <c r="X611">
        <f t="shared" si="434"/>
        <v>0</v>
      </c>
      <c r="Y611">
        <f t="shared" si="445"/>
        <v>0</v>
      </c>
      <c r="Z611">
        <f t="shared" si="446"/>
        <v>0</v>
      </c>
      <c r="AA611">
        <f t="shared" si="447"/>
        <v>0</v>
      </c>
      <c r="AB611">
        <f t="shared" si="448"/>
        <v>0</v>
      </c>
      <c r="AC611" s="23">
        <f>IF(B611&gt;$AJ$2,0,HLOOKUP(YEAR(A611),Assumptions!$A$25:$AL$29,4,TRUE)/100)</f>
        <v>0</v>
      </c>
      <c r="AD611">
        <f t="shared" si="449"/>
        <v>0</v>
      </c>
      <c r="AE611">
        <f t="shared" si="450"/>
        <v>0</v>
      </c>
      <c r="AF611">
        <f t="shared" si="451"/>
        <v>0</v>
      </c>
      <c r="AG611">
        <f t="shared" si="452"/>
        <v>0</v>
      </c>
      <c r="AH611">
        <f t="shared" si="453"/>
        <v>0</v>
      </c>
      <c r="AI611">
        <f t="shared" si="454"/>
        <v>0</v>
      </c>
      <c r="AJ611">
        <f t="shared" si="455"/>
        <v>0</v>
      </c>
      <c r="AK611">
        <f t="shared" si="435"/>
        <v>0</v>
      </c>
      <c r="AL611">
        <f t="shared" si="456"/>
        <v>0</v>
      </c>
      <c r="AM611">
        <f t="shared" si="438"/>
        <v>0</v>
      </c>
      <c r="AN611">
        <f>IF($S$2=0,0,(SUMPRODUCT($K$2:$R$2,Assumptions!$B$34:$I$34)/$U$2+$J$2/$U$2*Assumptions!$A$34*G611)*K611*O610)</f>
        <v>0</v>
      </c>
      <c r="AO611">
        <f t="shared" si="457"/>
        <v>0</v>
      </c>
      <c r="AP611">
        <f t="shared" si="458"/>
        <v>0</v>
      </c>
      <c r="AQ611">
        <f>IF(B611&gt;$AJ$2,0,AQ610*(1+Assumptions!$B$43)^(1/12))</f>
        <v>0</v>
      </c>
      <c r="AR611" s="27">
        <f>IF(B611&gt;$AJ$2,0,(O610+R610)*Assumptions!$B$39/12*AQ610+AV611*Assumptions!$B$41/12)</f>
        <v>0</v>
      </c>
      <c r="AS611">
        <f t="shared" si="459"/>
        <v>0</v>
      </c>
      <c r="AT611" s="28">
        <f t="shared" si="460"/>
        <v>0</v>
      </c>
      <c r="AU611">
        <f t="shared" si="461"/>
        <v>0</v>
      </c>
      <c r="AV611" s="28">
        <f t="shared" si="462"/>
        <v>0</v>
      </c>
      <c r="AW611" s="28">
        <f t="shared" si="463"/>
        <v>0</v>
      </c>
      <c r="AX611" s="23">
        <f>HLOOKUP(YEAR(A611),Assumptions!$A$25:$AL$29,2,TRUE)/100</f>
        <v>1.1332999999999999E-2</v>
      </c>
      <c r="AY611" s="29">
        <f>1/(1+HLOOKUP(YEAR(A611),Assumptions!$A$18:$AL$20,3,TRUE))^(1/12)</f>
        <v>0.99906100631170314</v>
      </c>
      <c r="AZ611" s="26">
        <f t="shared" si="464"/>
        <v>0</v>
      </c>
      <c r="BA611">
        <f t="shared" si="465"/>
        <v>0</v>
      </c>
      <c r="BB611">
        <f t="shared" si="466"/>
        <v>0</v>
      </c>
      <c r="BC611">
        <f t="shared" si="467"/>
        <v>0</v>
      </c>
    </row>
    <row r="612" spans="1:55" x14ac:dyDescent="0.2">
      <c r="A612" s="3">
        <f t="shared" si="439"/>
        <v>61393</v>
      </c>
      <c r="B612">
        <f t="shared" si="436"/>
        <v>614</v>
      </c>
      <c r="C612">
        <f t="shared" si="423"/>
        <v>51.083333333333336</v>
      </c>
      <c r="D612">
        <f t="shared" si="424"/>
        <v>0</v>
      </c>
      <c r="E612">
        <f t="shared" si="437"/>
        <v>107</v>
      </c>
      <c r="F612">
        <f>IF(C612&gt;=$T$2,0,VLOOKUP($E612,'Mortality Table'!$A$3:$C$128,2+AF$2,FALSE))</f>
        <v>0</v>
      </c>
      <c r="G612">
        <f>F612*Assumptions!$B$1</f>
        <v>0</v>
      </c>
      <c r="H612">
        <f t="shared" si="425"/>
        <v>0</v>
      </c>
      <c r="I612">
        <f t="shared" si="426"/>
        <v>0</v>
      </c>
      <c r="J612">
        <f>IF(B612&gt;$AJ$2,0,HLOOKUP(C612,Assumptions!$A$6:$J$7,2,TRUE))</f>
        <v>0</v>
      </c>
      <c r="K612" s="4">
        <f t="shared" si="427"/>
        <v>0</v>
      </c>
      <c r="L612" s="4">
        <f t="shared" si="440"/>
        <v>0</v>
      </c>
      <c r="M612" s="4">
        <f t="shared" si="428"/>
        <v>0</v>
      </c>
      <c r="N612">
        <f t="shared" si="429"/>
        <v>0</v>
      </c>
      <c r="O612" s="21">
        <f t="shared" si="430"/>
        <v>0</v>
      </c>
      <c r="P612">
        <f>IF(B612&gt;$AJ$2,0,HLOOKUP(C612,Assumptions!$A$12:$J$13,2,TRUE))</f>
        <v>0</v>
      </c>
      <c r="Q612">
        <f t="shared" si="431"/>
        <v>0</v>
      </c>
      <c r="R612">
        <f t="shared" si="441"/>
        <v>0</v>
      </c>
      <c r="S612">
        <f t="shared" si="432"/>
        <v>0</v>
      </c>
      <c r="T612">
        <f t="shared" si="433"/>
        <v>0</v>
      </c>
      <c r="U612">
        <f t="shared" si="442"/>
        <v>0</v>
      </c>
      <c r="V612">
        <f t="shared" si="443"/>
        <v>0</v>
      </c>
      <c r="W612">
        <f t="shared" si="444"/>
        <v>0</v>
      </c>
      <c r="X612">
        <f t="shared" si="434"/>
        <v>0</v>
      </c>
      <c r="Y612">
        <f t="shared" si="445"/>
        <v>0</v>
      </c>
      <c r="Z612">
        <f t="shared" si="446"/>
        <v>0</v>
      </c>
      <c r="AA612">
        <f t="shared" si="447"/>
        <v>0</v>
      </c>
      <c r="AB612">
        <f t="shared" si="448"/>
        <v>0</v>
      </c>
      <c r="AC612" s="23">
        <f>IF(B612&gt;$AJ$2,0,HLOOKUP(YEAR(A612),Assumptions!$A$25:$AL$29,4,TRUE)/100)</f>
        <v>0</v>
      </c>
      <c r="AD612">
        <f t="shared" si="449"/>
        <v>0</v>
      </c>
      <c r="AE612">
        <f t="shared" si="450"/>
        <v>0</v>
      </c>
      <c r="AF612">
        <f t="shared" si="451"/>
        <v>0</v>
      </c>
      <c r="AG612">
        <f t="shared" si="452"/>
        <v>0</v>
      </c>
      <c r="AH612">
        <f t="shared" si="453"/>
        <v>0</v>
      </c>
      <c r="AI612">
        <f t="shared" si="454"/>
        <v>0</v>
      </c>
      <c r="AJ612">
        <f t="shared" si="455"/>
        <v>0</v>
      </c>
      <c r="AK612">
        <f t="shared" si="435"/>
        <v>0</v>
      </c>
      <c r="AL612">
        <f t="shared" si="456"/>
        <v>0</v>
      </c>
      <c r="AM612">
        <f t="shared" si="438"/>
        <v>0</v>
      </c>
      <c r="AN612">
        <f>IF($S$2=0,0,(SUMPRODUCT($K$2:$R$2,Assumptions!$B$34:$I$34)/$U$2+$J$2/$U$2*Assumptions!$A$34*G612)*K612*O611)</f>
        <v>0</v>
      </c>
      <c r="AO612">
        <f t="shared" si="457"/>
        <v>0</v>
      </c>
      <c r="AP612">
        <f t="shared" si="458"/>
        <v>0</v>
      </c>
      <c r="AQ612">
        <f>IF(B612&gt;$AJ$2,0,AQ611*(1+Assumptions!$B$43)^(1/12))</f>
        <v>0</v>
      </c>
      <c r="AR612" s="27">
        <f>IF(B612&gt;$AJ$2,0,(O611+R611)*Assumptions!$B$39/12*AQ611+AV612*Assumptions!$B$41/12)</f>
        <v>0</v>
      </c>
      <c r="AS612">
        <f t="shared" si="459"/>
        <v>0</v>
      </c>
      <c r="AT612" s="28">
        <f t="shared" si="460"/>
        <v>0</v>
      </c>
      <c r="AU612">
        <f t="shared" si="461"/>
        <v>0</v>
      </c>
      <c r="AV612" s="28">
        <f t="shared" si="462"/>
        <v>0</v>
      </c>
      <c r="AW612" s="28">
        <f t="shared" si="463"/>
        <v>0</v>
      </c>
      <c r="AX612" s="23">
        <f>HLOOKUP(YEAR(A612),Assumptions!$A$25:$AL$29,2,TRUE)/100</f>
        <v>1.1332999999999999E-2</v>
      </c>
      <c r="AY612" s="29">
        <f>1/(1+HLOOKUP(YEAR(A612),Assumptions!$A$18:$AL$20,3,TRUE))^(1/12)</f>
        <v>0.99906100631170314</v>
      </c>
      <c r="AZ612" s="26">
        <f t="shared" si="464"/>
        <v>0</v>
      </c>
      <c r="BA612">
        <f t="shared" si="465"/>
        <v>0</v>
      </c>
      <c r="BB612">
        <f t="shared" si="466"/>
        <v>0</v>
      </c>
      <c r="BC612">
        <f t="shared" si="467"/>
        <v>0</v>
      </c>
    </row>
    <row r="613" spans="1:55" x14ac:dyDescent="0.2">
      <c r="A613" s="3">
        <f t="shared" si="439"/>
        <v>61422</v>
      </c>
      <c r="B613">
        <f t="shared" si="436"/>
        <v>615</v>
      </c>
      <c r="C613">
        <f t="shared" ref="C613:C624" si="468">(B613+11)/12-1</f>
        <v>51.166666666666664</v>
      </c>
      <c r="D613">
        <f t="shared" ref="D613:D624" si="469">IF(C613-INT(C613)=0,1,0)</f>
        <v>0</v>
      </c>
      <c r="E613">
        <f t="shared" si="437"/>
        <v>107</v>
      </c>
      <c r="F613">
        <f>IF(C613&gt;=$T$2,0,VLOOKUP($E613,'Mortality Table'!$A$3:$C$128,2+AF$2,FALSE))</f>
        <v>0</v>
      </c>
      <c r="G613">
        <f>F613*Assumptions!$B$1</f>
        <v>0</v>
      </c>
      <c r="H613">
        <f t="shared" ref="H613:H624" si="470">(1-(1-G613)^(1/12))</f>
        <v>0</v>
      </c>
      <c r="I613">
        <f t="shared" ref="I613:I624" si="471">H613*O612*(1-M613/2)</f>
        <v>0</v>
      </c>
      <c r="J613">
        <f>IF(B613&gt;$AJ$2,0,HLOOKUP(C613,Assumptions!$A$6:$J$7,2,TRUE))</f>
        <v>0</v>
      </c>
      <c r="K613" s="4">
        <f t="shared" ref="K613:K624" si="472">IF(B613&gt;$AJ$2,0,IF(($U$2*(B613+11))/12-INT(($U$2*(B613+11))/12)=0,1,0))</f>
        <v>0</v>
      </c>
      <c r="L613" s="4">
        <f t="shared" si="440"/>
        <v>0</v>
      </c>
      <c r="M613" s="4">
        <f t="shared" ref="M613:M624" si="473">(1-(1-J613)^L613)</f>
        <v>0</v>
      </c>
      <c r="N613">
        <f t="shared" ref="N613:N624" si="474">M613*O612*(1-H613/2)</f>
        <v>0</v>
      </c>
      <c r="O613" s="21">
        <f t="shared" ref="O613:O624" si="475">IF(B613&gt;$AJ$2,0,O612-I613-N613-Q613)</f>
        <v>0</v>
      </c>
      <c r="P613">
        <f>IF(B613&gt;$AJ$2,0,HLOOKUP(C613,Assumptions!$A$12:$J$13,2,TRUE))</f>
        <v>0</v>
      </c>
      <c r="Q613">
        <f t="shared" ref="Q613:Q624" si="476">(1-(1-P613)^L613)*(O612-I613-N613)</f>
        <v>0</v>
      </c>
      <c r="R613">
        <f t="shared" si="441"/>
        <v>0</v>
      </c>
      <c r="S613">
        <f t="shared" ref="S613:S624" si="477">H613*R612*(1-M613/2)</f>
        <v>0</v>
      </c>
      <c r="T613">
        <f t="shared" ref="T613:T624" si="478">M613*R612*(1-H613/2)</f>
        <v>0</v>
      </c>
      <c r="U613">
        <f t="shared" si="442"/>
        <v>0</v>
      </c>
      <c r="V613">
        <f t="shared" si="443"/>
        <v>0</v>
      </c>
      <c r="W613">
        <f t="shared" si="444"/>
        <v>0</v>
      </c>
      <c r="X613">
        <f t="shared" ref="X613:X624" si="479">U613/$U$2*K613*O612</f>
        <v>0</v>
      </c>
      <c r="Y613">
        <f t="shared" si="445"/>
        <v>0</v>
      </c>
      <c r="Z613">
        <f t="shared" si="446"/>
        <v>0</v>
      </c>
      <c r="AA613">
        <f t="shared" si="447"/>
        <v>0</v>
      </c>
      <c r="AB613">
        <f t="shared" si="448"/>
        <v>0</v>
      </c>
      <c r="AC613" s="23">
        <f>IF(B613&gt;$AJ$2,0,HLOOKUP(YEAR(A613),Assumptions!$A$25:$AL$29,4,TRUE)/100)</f>
        <v>0</v>
      </c>
      <c r="AD613">
        <f t="shared" si="449"/>
        <v>0</v>
      </c>
      <c r="AE613">
        <f t="shared" si="450"/>
        <v>0</v>
      </c>
      <c r="AF613">
        <f t="shared" si="451"/>
        <v>0</v>
      </c>
      <c r="AG613">
        <f t="shared" si="452"/>
        <v>0</v>
      </c>
      <c r="AH613">
        <f t="shared" si="453"/>
        <v>0</v>
      </c>
      <c r="AI613">
        <f t="shared" si="454"/>
        <v>0</v>
      </c>
      <c r="AJ613">
        <f t="shared" si="455"/>
        <v>0</v>
      </c>
      <c r="AK613">
        <f t="shared" ref="AK613:AK624" si="480">I613*(Z613+AD613)+S613*(AF613+AI613)</f>
        <v>0</v>
      </c>
      <c r="AL613">
        <f t="shared" si="456"/>
        <v>0</v>
      </c>
      <c r="AM613">
        <f t="shared" si="438"/>
        <v>0</v>
      </c>
      <c r="AN613">
        <f>IF($S$2=0,0,(SUMPRODUCT($K$2:$R$2,Assumptions!$B$34:$I$34)/$U$2+$J$2/$U$2*Assumptions!$A$34*G613)*K613*O612)</f>
        <v>0</v>
      </c>
      <c r="AO613">
        <f t="shared" si="457"/>
        <v>0</v>
      </c>
      <c r="AP613">
        <f t="shared" si="458"/>
        <v>0</v>
      </c>
      <c r="AQ613">
        <f>IF(B613&gt;$AJ$2,0,AQ612*(1+Assumptions!$B$43)^(1/12))</f>
        <v>0</v>
      </c>
      <c r="AR613" s="27">
        <f>IF(B613&gt;$AJ$2,0,(O612+R612)*Assumptions!$B$39/12*AQ612+AV613*Assumptions!$B$41/12)</f>
        <v>0</v>
      </c>
      <c r="AS613">
        <f t="shared" si="459"/>
        <v>0</v>
      </c>
      <c r="AT613" s="28">
        <f t="shared" si="460"/>
        <v>0</v>
      </c>
      <c r="AU613">
        <f t="shared" si="461"/>
        <v>0</v>
      </c>
      <c r="AV613" s="28">
        <f t="shared" si="462"/>
        <v>0</v>
      </c>
      <c r="AW613" s="28">
        <f t="shared" si="463"/>
        <v>0</v>
      </c>
      <c r="AX613" s="23">
        <f>HLOOKUP(YEAR(A613),Assumptions!$A$25:$AL$29,2,TRUE)/100</f>
        <v>1.1332999999999999E-2</v>
      </c>
      <c r="AY613" s="29">
        <f>1/(1+HLOOKUP(YEAR(A613),Assumptions!$A$18:$AL$20,3,TRUE))^(1/12)</f>
        <v>0.99906100631170314</v>
      </c>
      <c r="AZ613" s="26">
        <f t="shared" si="464"/>
        <v>0</v>
      </c>
      <c r="BA613">
        <f t="shared" si="465"/>
        <v>0</v>
      </c>
      <c r="BB613">
        <f t="shared" si="466"/>
        <v>0</v>
      </c>
      <c r="BC613">
        <f t="shared" si="467"/>
        <v>0</v>
      </c>
    </row>
    <row r="614" spans="1:55" x14ac:dyDescent="0.2">
      <c r="A614" s="3">
        <f t="shared" si="439"/>
        <v>61453</v>
      </c>
      <c r="B614">
        <f t="shared" si="436"/>
        <v>616</v>
      </c>
      <c r="C614">
        <f t="shared" si="468"/>
        <v>51.25</v>
      </c>
      <c r="D614">
        <f t="shared" si="469"/>
        <v>0</v>
      </c>
      <c r="E614">
        <f t="shared" si="437"/>
        <v>107</v>
      </c>
      <c r="F614">
        <f>IF(C614&gt;=$T$2,0,VLOOKUP($E614,'Mortality Table'!$A$3:$C$128,2+AF$2,FALSE))</f>
        <v>0</v>
      </c>
      <c r="G614">
        <f>F614*Assumptions!$B$1</f>
        <v>0</v>
      </c>
      <c r="H614">
        <f t="shared" si="470"/>
        <v>0</v>
      </c>
      <c r="I614">
        <f t="shared" si="471"/>
        <v>0</v>
      </c>
      <c r="J614">
        <f>IF(B614&gt;$AJ$2,0,HLOOKUP(C614,Assumptions!$A$6:$J$7,2,TRUE))</f>
        <v>0</v>
      </c>
      <c r="K614" s="4">
        <f t="shared" si="472"/>
        <v>0</v>
      </c>
      <c r="L614" s="4">
        <f t="shared" si="440"/>
        <v>0</v>
      </c>
      <c r="M614" s="4">
        <f t="shared" si="473"/>
        <v>0</v>
      </c>
      <c r="N614">
        <f t="shared" si="474"/>
        <v>0</v>
      </c>
      <c r="O614" s="21">
        <f t="shared" si="475"/>
        <v>0</v>
      </c>
      <c r="P614">
        <f>IF(B614&gt;$AJ$2,0,HLOOKUP(C614,Assumptions!$A$12:$J$13,2,TRUE))</f>
        <v>0</v>
      </c>
      <c r="Q614">
        <f t="shared" si="476"/>
        <v>0</v>
      </c>
      <c r="R614">
        <f t="shared" si="441"/>
        <v>0</v>
      </c>
      <c r="S614">
        <f t="shared" si="477"/>
        <v>0</v>
      </c>
      <c r="T614">
        <f t="shared" si="478"/>
        <v>0</v>
      </c>
      <c r="U614">
        <f t="shared" si="442"/>
        <v>0</v>
      </c>
      <c r="V614">
        <f t="shared" si="443"/>
        <v>0</v>
      </c>
      <c r="W614">
        <f t="shared" si="444"/>
        <v>0</v>
      </c>
      <c r="X614">
        <f t="shared" si="479"/>
        <v>0</v>
      </c>
      <c r="Y614">
        <f t="shared" si="445"/>
        <v>0</v>
      </c>
      <c r="Z614">
        <f t="shared" si="446"/>
        <v>0</v>
      </c>
      <c r="AA614">
        <f t="shared" si="447"/>
        <v>0</v>
      </c>
      <c r="AB614">
        <f t="shared" si="448"/>
        <v>0</v>
      </c>
      <c r="AC614" s="23">
        <f>IF(B614&gt;$AJ$2,0,HLOOKUP(YEAR(A614),Assumptions!$A$25:$AL$29,4,TRUE)/100)</f>
        <v>0</v>
      </c>
      <c r="AD614">
        <f t="shared" si="449"/>
        <v>0</v>
      </c>
      <c r="AE614">
        <f t="shared" si="450"/>
        <v>0</v>
      </c>
      <c r="AF614">
        <f t="shared" si="451"/>
        <v>0</v>
      </c>
      <c r="AG614">
        <f t="shared" si="452"/>
        <v>0</v>
      </c>
      <c r="AH614">
        <f t="shared" si="453"/>
        <v>0</v>
      </c>
      <c r="AI614">
        <f t="shared" si="454"/>
        <v>0</v>
      </c>
      <c r="AJ614">
        <f t="shared" si="455"/>
        <v>0</v>
      </c>
      <c r="AK614">
        <f t="shared" si="480"/>
        <v>0</v>
      </c>
      <c r="AL614">
        <f t="shared" si="456"/>
        <v>0</v>
      </c>
      <c r="AM614">
        <f t="shared" si="438"/>
        <v>0</v>
      </c>
      <c r="AN614">
        <f>IF($S$2=0,0,(SUMPRODUCT($K$2:$R$2,Assumptions!$B$34:$I$34)/$U$2+$J$2/$U$2*Assumptions!$A$34*G614)*K614*O613)</f>
        <v>0</v>
      </c>
      <c r="AO614">
        <f t="shared" si="457"/>
        <v>0</v>
      </c>
      <c r="AP614">
        <f t="shared" si="458"/>
        <v>0</v>
      </c>
      <c r="AQ614">
        <f>IF(B614&gt;$AJ$2,0,AQ613*(1+Assumptions!$B$43)^(1/12))</f>
        <v>0</v>
      </c>
      <c r="AR614" s="27">
        <f>IF(B614&gt;$AJ$2,0,(O613+R613)*Assumptions!$B$39/12*AQ613+AV614*Assumptions!$B$41/12)</f>
        <v>0</v>
      </c>
      <c r="AS614">
        <f t="shared" si="459"/>
        <v>0</v>
      </c>
      <c r="AT614" s="28">
        <f t="shared" si="460"/>
        <v>0</v>
      </c>
      <c r="AU614">
        <f t="shared" si="461"/>
        <v>0</v>
      </c>
      <c r="AV614" s="28">
        <f t="shared" si="462"/>
        <v>0</v>
      </c>
      <c r="AW614" s="28">
        <f t="shared" si="463"/>
        <v>0</v>
      </c>
      <c r="AX614" s="23">
        <f>HLOOKUP(YEAR(A614),Assumptions!$A$25:$AL$29,2,TRUE)/100</f>
        <v>1.1332999999999999E-2</v>
      </c>
      <c r="AY614" s="29">
        <f>1/(1+HLOOKUP(YEAR(A614),Assumptions!$A$18:$AL$20,3,TRUE))^(1/12)</f>
        <v>0.99906100631170314</v>
      </c>
      <c r="AZ614" s="26">
        <f t="shared" si="464"/>
        <v>0</v>
      </c>
      <c r="BA614">
        <f t="shared" si="465"/>
        <v>0</v>
      </c>
      <c r="BB614">
        <f t="shared" si="466"/>
        <v>0</v>
      </c>
      <c r="BC614">
        <f t="shared" si="467"/>
        <v>0</v>
      </c>
    </row>
    <row r="615" spans="1:55" x14ac:dyDescent="0.2">
      <c r="A615" s="3">
        <f t="shared" si="439"/>
        <v>61483</v>
      </c>
      <c r="B615">
        <f t="shared" si="436"/>
        <v>617</v>
      </c>
      <c r="C615">
        <f t="shared" si="468"/>
        <v>51.333333333333336</v>
      </c>
      <c r="D615">
        <f t="shared" si="469"/>
        <v>0</v>
      </c>
      <c r="E615">
        <f t="shared" si="437"/>
        <v>107</v>
      </c>
      <c r="F615">
        <f>IF(C615&gt;=$T$2,0,VLOOKUP($E615,'Mortality Table'!$A$3:$C$128,2+AF$2,FALSE))</f>
        <v>0</v>
      </c>
      <c r="G615">
        <f>F615*Assumptions!$B$1</f>
        <v>0</v>
      </c>
      <c r="H615">
        <f t="shared" si="470"/>
        <v>0</v>
      </c>
      <c r="I615">
        <f t="shared" si="471"/>
        <v>0</v>
      </c>
      <c r="J615">
        <f>IF(B615&gt;$AJ$2,0,HLOOKUP(C615,Assumptions!$A$6:$J$7,2,TRUE))</f>
        <v>0</v>
      </c>
      <c r="K615" s="4">
        <f t="shared" si="472"/>
        <v>0</v>
      </c>
      <c r="L615" s="4">
        <f t="shared" si="440"/>
        <v>0</v>
      </c>
      <c r="M615" s="4">
        <f t="shared" si="473"/>
        <v>0</v>
      </c>
      <c r="N615">
        <f t="shared" si="474"/>
        <v>0</v>
      </c>
      <c r="O615" s="21">
        <f t="shared" si="475"/>
        <v>0</v>
      </c>
      <c r="P615">
        <f>IF(B615&gt;$AJ$2,0,HLOOKUP(C615,Assumptions!$A$12:$J$13,2,TRUE))</f>
        <v>0</v>
      </c>
      <c r="Q615">
        <f t="shared" si="476"/>
        <v>0</v>
      </c>
      <c r="R615">
        <f t="shared" si="441"/>
        <v>0</v>
      </c>
      <c r="S615">
        <f t="shared" si="477"/>
        <v>0</v>
      </c>
      <c r="T615">
        <f t="shared" si="478"/>
        <v>0</v>
      </c>
      <c r="U615">
        <f t="shared" si="442"/>
        <v>0</v>
      </c>
      <c r="V615">
        <f t="shared" si="443"/>
        <v>0</v>
      </c>
      <c r="W615">
        <f t="shared" si="444"/>
        <v>0</v>
      </c>
      <c r="X615">
        <f t="shared" si="479"/>
        <v>0</v>
      </c>
      <c r="Y615">
        <f t="shared" si="445"/>
        <v>0</v>
      </c>
      <c r="Z615">
        <f t="shared" si="446"/>
        <v>0</v>
      </c>
      <c r="AA615">
        <f t="shared" si="447"/>
        <v>0</v>
      </c>
      <c r="AB615">
        <f t="shared" si="448"/>
        <v>0</v>
      </c>
      <c r="AC615" s="23">
        <f>IF(B615&gt;$AJ$2,0,HLOOKUP(YEAR(A615),Assumptions!$A$25:$AL$29,4,TRUE)/100)</f>
        <v>0</v>
      </c>
      <c r="AD615">
        <f t="shared" si="449"/>
        <v>0</v>
      </c>
      <c r="AE615">
        <f t="shared" si="450"/>
        <v>0</v>
      </c>
      <c r="AF615">
        <f t="shared" si="451"/>
        <v>0</v>
      </c>
      <c r="AG615">
        <f t="shared" si="452"/>
        <v>0</v>
      </c>
      <c r="AH615">
        <f t="shared" si="453"/>
        <v>0</v>
      </c>
      <c r="AI615">
        <f t="shared" si="454"/>
        <v>0</v>
      </c>
      <c r="AJ615">
        <f t="shared" si="455"/>
        <v>0</v>
      </c>
      <c r="AK615">
        <f t="shared" si="480"/>
        <v>0</v>
      </c>
      <c r="AL615">
        <f t="shared" si="456"/>
        <v>0</v>
      </c>
      <c r="AM615">
        <f t="shared" si="438"/>
        <v>0</v>
      </c>
      <c r="AN615">
        <f>IF($S$2=0,0,(SUMPRODUCT($K$2:$R$2,Assumptions!$B$34:$I$34)/$U$2+$J$2/$U$2*Assumptions!$A$34*G615)*K615*O614)</f>
        <v>0</v>
      </c>
      <c r="AO615">
        <f t="shared" si="457"/>
        <v>0</v>
      </c>
      <c r="AP615">
        <f t="shared" si="458"/>
        <v>0</v>
      </c>
      <c r="AQ615">
        <f>IF(B615&gt;$AJ$2,0,AQ614*(1+Assumptions!$B$43)^(1/12))</f>
        <v>0</v>
      </c>
      <c r="AR615" s="27">
        <f>IF(B615&gt;$AJ$2,0,(O614+R614)*Assumptions!$B$39/12*AQ614+AV615*Assumptions!$B$41/12)</f>
        <v>0</v>
      </c>
      <c r="AS615">
        <f t="shared" si="459"/>
        <v>0</v>
      </c>
      <c r="AT615" s="28">
        <f t="shared" si="460"/>
        <v>0</v>
      </c>
      <c r="AU615">
        <f t="shared" si="461"/>
        <v>0</v>
      </c>
      <c r="AV615" s="28">
        <f t="shared" si="462"/>
        <v>0</v>
      </c>
      <c r="AW615" s="28">
        <f t="shared" si="463"/>
        <v>0</v>
      </c>
      <c r="AX615" s="23">
        <f>HLOOKUP(YEAR(A615),Assumptions!$A$25:$AL$29,2,TRUE)/100</f>
        <v>1.1332999999999999E-2</v>
      </c>
      <c r="AY615" s="29">
        <f>1/(1+HLOOKUP(YEAR(A615),Assumptions!$A$18:$AL$20,3,TRUE))^(1/12)</f>
        <v>0.99906100631170314</v>
      </c>
      <c r="AZ615" s="26">
        <f t="shared" si="464"/>
        <v>0</v>
      </c>
      <c r="BA615">
        <f t="shared" si="465"/>
        <v>0</v>
      </c>
      <c r="BB615">
        <f t="shared" si="466"/>
        <v>0</v>
      </c>
      <c r="BC615">
        <f t="shared" si="467"/>
        <v>0</v>
      </c>
    </row>
    <row r="616" spans="1:55" x14ac:dyDescent="0.2">
      <c r="A616" s="3">
        <f t="shared" si="439"/>
        <v>61514</v>
      </c>
      <c r="B616">
        <f t="shared" si="436"/>
        <v>618</v>
      </c>
      <c r="C616">
        <f t="shared" si="468"/>
        <v>51.416666666666664</v>
      </c>
      <c r="D616">
        <f t="shared" si="469"/>
        <v>0</v>
      </c>
      <c r="E616">
        <f t="shared" si="437"/>
        <v>107</v>
      </c>
      <c r="F616">
        <f>IF(C616&gt;=$T$2,0,VLOOKUP($E616,'Mortality Table'!$A$3:$C$128,2+AF$2,FALSE))</f>
        <v>0</v>
      </c>
      <c r="G616">
        <f>F616*Assumptions!$B$1</f>
        <v>0</v>
      </c>
      <c r="H616">
        <f t="shared" si="470"/>
        <v>0</v>
      </c>
      <c r="I616">
        <f t="shared" si="471"/>
        <v>0</v>
      </c>
      <c r="J616">
        <f>IF(B616&gt;$AJ$2,0,HLOOKUP(C616,Assumptions!$A$6:$J$7,2,TRUE))</f>
        <v>0</v>
      </c>
      <c r="K616" s="4">
        <f t="shared" si="472"/>
        <v>0</v>
      </c>
      <c r="L616" s="4">
        <f t="shared" si="440"/>
        <v>0</v>
      </c>
      <c r="M616" s="4">
        <f t="shared" si="473"/>
        <v>0</v>
      </c>
      <c r="N616">
        <f t="shared" si="474"/>
        <v>0</v>
      </c>
      <c r="O616" s="21">
        <f t="shared" si="475"/>
        <v>0</v>
      </c>
      <c r="P616">
        <f>IF(B616&gt;$AJ$2,0,HLOOKUP(C616,Assumptions!$A$12:$J$13,2,TRUE))</f>
        <v>0</v>
      </c>
      <c r="Q616">
        <f t="shared" si="476"/>
        <v>0</v>
      </c>
      <c r="R616">
        <f t="shared" si="441"/>
        <v>0</v>
      </c>
      <c r="S616">
        <f t="shared" si="477"/>
        <v>0</v>
      </c>
      <c r="T616">
        <f t="shared" si="478"/>
        <v>0</v>
      </c>
      <c r="U616">
        <f t="shared" si="442"/>
        <v>0</v>
      </c>
      <c r="V616">
        <f t="shared" si="443"/>
        <v>0</v>
      </c>
      <c r="W616">
        <f t="shared" si="444"/>
        <v>0</v>
      </c>
      <c r="X616">
        <f t="shared" si="479"/>
        <v>0</v>
      </c>
      <c r="Y616">
        <f t="shared" si="445"/>
        <v>0</v>
      </c>
      <c r="Z616">
        <f t="shared" si="446"/>
        <v>0</v>
      </c>
      <c r="AA616">
        <f t="shared" si="447"/>
        <v>0</v>
      </c>
      <c r="AB616">
        <f t="shared" si="448"/>
        <v>0</v>
      </c>
      <c r="AC616" s="23">
        <f>IF(B616&gt;$AJ$2,0,HLOOKUP(YEAR(A616),Assumptions!$A$25:$AL$29,4,TRUE)/100)</f>
        <v>0</v>
      </c>
      <c r="AD616">
        <f t="shared" si="449"/>
        <v>0</v>
      </c>
      <c r="AE616">
        <f t="shared" si="450"/>
        <v>0</v>
      </c>
      <c r="AF616">
        <f t="shared" si="451"/>
        <v>0</v>
      </c>
      <c r="AG616">
        <f t="shared" si="452"/>
        <v>0</v>
      </c>
      <c r="AH616">
        <f t="shared" si="453"/>
        <v>0</v>
      </c>
      <c r="AI616">
        <f t="shared" si="454"/>
        <v>0</v>
      </c>
      <c r="AJ616">
        <f t="shared" si="455"/>
        <v>0</v>
      </c>
      <c r="AK616">
        <f t="shared" si="480"/>
        <v>0</v>
      </c>
      <c r="AL616">
        <f t="shared" si="456"/>
        <v>0</v>
      </c>
      <c r="AM616">
        <f t="shared" si="438"/>
        <v>0</v>
      </c>
      <c r="AN616">
        <f>IF($S$2=0,0,(SUMPRODUCT($K$2:$R$2,Assumptions!$B$34:$I$34)/$U$2+$J$2/$U$2*Assumptions!$A$34*G616)*K616*O615)</f>
        <v>0</v>
      </c>
      <c r="AO616">
        <f t="shared" si="457"/>
        <v>0</v>
      </c>
      <c r="AP616">
        <f t="shared" si="458"/>
        <v>0</v>
      </c>
      <c r="AQ616">
        <f>IF(B616&gt;$AJ$2,0,AQ615*(1+Assumptions!$B$43)^(1/12))</f>
        <v>0</v>
      </c>
      <c r="AR616" s="27">
        <f>IF(B616&gt;$AJ$2,0,(O615+R615)*Assumptions!$B$39/12*AQ615+AV616*Assumptions!$B$41/12)</f>
        <v>0</v>
      </c>
      <c r="AS616">
        <f t="shared" si="459"/>
        <v>0</v>
      </c>
      <c r="AT616" s="28">
        <f t="shared" si="460"/>
        <v>0</v>
      </c>
      <c r="AU616">
        <f t="shared" si="461"/>
        <v>0</v>
      </c>
      <c r="AV616" s="28">
        <f t="shared" si="462"/>
        <v>0</v>
      </c>
      <c r="AW616" s="28">
        <f t="shared" si="463"/>
        <v>0</v>
      </c>
      <c r="AX616" s="23">
        <f>HLOOKUP(YEAR(A616),Assumptions!$A$25:$AL$29,2,TRUE)/100</f>
        <v>1.1332999999999999E-2</v>
      </c>
      <c r="AY616" s="29">
        <f>1/(1+HLOOKUP(YEAR(A616),Assumptions!$A$18:$AL$20,3,TRUE))^(1/12)</f>
        <v>0.99906100631170314</v>
      </c>
      <c r="AZ616" s="26">
        <f t="shared" si="464"/>
        <v>0</v>
      </c>
      <c r="BA616">
        <f t="shared" si="465"/>
        <v>0</v>
      </c>
      <c r="BB616">
        <f t="shared" si="466"/>
        <v>0</v>
      </c>
      <c r="BC616">
        <f t="shared" si="467"/>
        <v>0</v>
      </c>
    </row>
    <row r="617" spans="1:55" x14ac:dyDescent="0.2">
      <c r="A617" s="3">
        <f t="shared" si="439"/>
        <v>61544</v>
      </c>
      <c r="B617">
        <f t="shared" si="436"/>
        <v>619</v>
      </c>
      <c r="C617">
        <f t="shared" si="468"/>
        <v>51.5</v>
      </c>
      <c r="D617">
        <f t="shared" si="469"/>
        <v>0</v>
      </c>
      <c r="E617">
        <f t="shared" si="437"/>
        <v>107</v>
      </c>
      <c r="F617">
        <f>IF(C617&gt;=$T$2,0,VLOOKUP($E617,'Mortality Table'!$A$3:$C$128,2+AF$2,FALSE))</f>
        <v>0</v>
      </c>
      <c r="G617">
        <f>F617*Assumptions!$B$1</f>
        <v>0</v>
      </c>
      <c r="H617">
        <f t="shared" si="470"/>
        <v>0</v>
      </c>
      <c r="I617">
        <f t="shared" si="471"/>
        <v>0</v>
      </c>
      <c r="J617">
        <f>IF(B617&gt;$AJ$2,0,HLOOKUP(C617,Assumptions!$A$6:$J$7,2,TRUE))</f>
        <v>0</v>
      </c>
      <c r="K617" s="4">
        <f t="shared" si="472"/>
        <v>0</v>
      </c>
      <c r="L617" s="4">
        <f t="shared" si="440"/>
        <v>0</v>
      </c>
      <c r="M617" s="4">
        <f t="shared" si="473"/>
        <v>0</v>
      </c>
      <c r="N617">
        <f t="shared" si="474"/>
        <v>0</v>
      </c>
      <c r="O617" s="21">
        <f t="shared" si="475"/>
        <v>0</v>
      </c>
      <c r="P617">
        <f>IF(B617&gt;$AJ$2,0,HLOOKUP(C617,Assumptions!$A$12:$J$13,2,TRUE))</f>
        <v>0</v>
      </c>
      <c r="Q617">
        <f t="shared" si="476"/>
        <v>0</v>
      </c>
      <c r="R617">
        <f t="shared" si="441"/>
        <v>0</v>
      </c>
      <c r="S617">
        <f t="shared" si="477"/>
        <v>0</v>
      </c>
      <c r="T617">
        <f t="shared" si="478"/>
        <v>0</v>
      </c>
      <c r="U617">
        <f t="shared" si="442"/>
        <v>0</v>
      </c>
      <c r="V617">
        <f t="shared" si="443"/>
        <v>0</v>
      </c>
      <c r="W617">
        <f t="shared" si="444"/>
        <v>0</v>
      </c>
      <c r="X617">
        <f t="shared" si="479"/>
        <v>0</v>
      </c>
      <c r="Y617">
        <f t="shared" si="445"/>
        <v>0</v>
      </c>
      <c r="Z617">
        <f t="shared" si="446"/>
        <v>0</v>
      </c>
      <c r="AA617">
        <f t="shared" si="447"/>
        <v>0</v>
      </c>
      <c r="AB617">
        <f t="shared" si="448"/>
        <v>0</v>
      </c>
      <c r="AC617" s="23">
        <f>IF(B617&gt;$AJ$2,0,HLOOKUP(YEAR(A617),Assumptions!$A$25:$AL$29,4,TRUE)/100)</f>
        <v>0</v>
      </c>
      <c r="AD617">
        <f t="shared" si="449"/>
        <v>0</v>
      </c>
      <c r="AE617">
        <f t="shared" si="450"/>
        <v>0</v>
      </c>
      <c r="AF617">
        <f t="shared" si="451"/>
        <v>0</v>
      </c>
      <c r="AG617">
        <f t="shared" si="452"/>
        <v>0</v>
      </c>
      <c r="AH617">
        <f t="shared" si="453"/>
        <v>0</v>
      </c>
      <c r="AI617">
        <f t="shared" si="454"/>
        <v>0</v>
      </c>
      <c r="AJ617">
        <f t="shared" si="455"/>
        <v>0</v>
      </c>
      <c r="AK617">
        <f t="shared" si="480"/>
        <v>0</v>
      </c>
      <c r="AL617">
        <f t="shared" si="456"/>
        <v>0</v>
      </c>
      <c r="AM617">
        <f t="shared" si="438"/>
        <v>0</v>
      </c>
      <c r="AN617">
        <f>IF($S$2=0,0,(SUMPRODUCT($K$2:$R$2,Assumptions!$B$34:$I$34)/$U$2+$J$2/$U$2*Assumptions!$A$34*G617)*K617*O616)</f>
        <v>0</v>
      </c>
      <c r="AO617">
        <f t="shared" si="457"/>
        <v>0</v>
      </c>
      <c r="AP617">
        <f t="shared" si="458"/>
        <v>0</v>
      </c>
      <c r="AQ617">
        <f>IF(B617&gt;$AJ$2,0,AQ616*(1+Assumptions!$B$43)^(1/12))</f>
        <v>0</v>
      </c>
      <c r="AR617" s="27">
        <f>IF(B617&gt;$AJ$2,0,(O616+R616)*Assumptions!$B$39/12*AQ616+AV617*Assumptions!$B$41/12)</f>
        <v>0</v>
      </c>
      <c r="AS617">
        <f t="shared" si="459"/>
        <v>0</v>
      </c>
      <c r="AT617" s="28">
        <f t="shared" si="460"/>
        <v>0</v>
      </c>
      <c r="AU617">
        <f t="shared" si="461"/>
        <v>0</v>
      </c>
      <c r="AV617" s="28">
        <f t="shared" si="462"/>
        <v>0</v>
      </c>
      <c r="AW617" s="28">
        <f t="shared" si="463"/>
        <v>0</v>
      </c>
      <c r="AX617" s="23">
        <f>HLOOKUP(YEAR(A617),Assumptions!$A$25:$AL$29,2,TRUE)/100</f>
        <v>1.1332999999999999E-2</v>
      </c>
      <c r="AY617" s="29">
        <f>1/(1+HLOOKUP(YEAR(A617),Assumptions!$A$18:$AL$20,3,TRUE))^(1/12)</f>
        <v>0.99906100631170314</v>
      </c>
      <c r="AZ617" s="26">
        <f t="shared" si="464"/>
        <v>0</v>
      </c>
      <c r="BA617">
        <f t="shared" si="465"/>
        <v>0</v>
      </c>
      <c r="BB617">
        <f t="shared" si="466"/>
        <v>0</v>
      </c>
      <c r="BC617">
        <f t="shared" si="467"/>
        <v>0</v>
      </c>
    </row>
    <row r="618" spans="1:55" x14ac:dyDescent="0.2">
      <c r="A618" s="3">
        <f t="shared" si="439"/>
        <v>61575</v>
      </c>
      <c r="B618">
        <f t="shared" si="436"/>
        <v>620</v>
      </c>
      <c r="C618">
        <f t="shared" si="468"/>
        <v>51.583333333333336</v>
      </c>
      <c r="D618">
        <f t="shared" si="469"/>
        <v>0</v>
      </c>
      <c r="E618">
        <f t="shared" si="437"/>
        <v>107</v>
      </c>
      <c r="F618">
        <f>IF(C618&gt;=$T$2,0,VLOOKUP($E618,'Mortality Table'!$A$3:$C$128,2+AF$2,FALSE))</f>
        <v>0</v>
      </c>
      <c r="G618">
        <f>F618*Assumptions!$B$1</f>
        <v>0</v>
      </c>
      <c r="H618">
        <f t="shared" si="470"/>
        <v>0</v>
      </c>
      <c r="I618">
        <f t="shared" si="471"/>
        <v>0</v>
      </c>
      <c r="J618">
        <f>IF(B618&gt;$AJ$2,0,HLOOKUP(C618,Assumptions!$A$6:$J$7,2,TRUE))</f>
        <v>0</v>
      </c>
      <c r="K618" s="4">
        <f t="shared" si="472"/>
        <v>0</v>
      </c>
      <c r="L618" s="4">
        <f t="shared" si="440"/>
        <v>0</v>
      </c>
      <c r="M618" s="4">
        <f t="shared" si="473"/>
        <v>0</v>
      </c>
      <c r="N618">
        <f t="shared" si="474"/>
        <v>0</v>
      </c>
      <c r="O618" s="21">
        <f t="shared" si="475"/>
        <v>0</v>
      </c>
      <c r="P618">
        <f>IF(B618&gt;$AJ$2,0,HLOOKUP(C618,Assumptions!$A$12:$J$13,2,TRUE))</f>
        <v>0</v>
      </c>
      <c r="Q618">
        <f t="shared" si="476"/>
        <v>0</v>
      </c>
      <c r="R618">
        <f t="shared" si="441"/>
        <v>0</v>
      </c>
      <c r="S618">
        <f t="shared" si="477"/>
        <v>0</v>
      </c>
      <c r="T618">
        <f t="shared" si="478"/>
        <v>0</v>
      </c>
      <c r="U618">
        <f t="shared" si="442"/>
        <v>0</v>
      </c>
      <c r="V618">
        <f t="shared" si="443"/>
        <v>0</v>
      </c>
      <c r="W618">
        <f t="shared" si="444"/>
        <v>0</v>
      </c>
      <c r="X618">
        <f t="shared" si="479"/>
        <v>0</v>
      </c>
      <c r="Y618">
        <f t="shared" si="445"/>
        <v>0</v>
      </c>
      <c r="Z618">
        <f t="shared" si="446"/>
        <v>0</v>
      </c>
      <c r="AA618">
        <f t="shared" si="447"/>
        <v>0</v>
      </c>
      <c r="AB618">
        <f t="shared" si="448"/>
        <v>0</v>
      </c>
      <c r="AC618" s="23">
        <f>IF(B618&gt;$AJ$2,0,HLOOKUP(YEAR(A618),Assumptions!$A$25:$AL$29,4,TRUE)/100)</f>
        <v>0</v>
      </c>
      <c r="AD618">
        <f t="shared" si="449"/>
        <v>0</v>
      </c>
      <c r="AE618">
        <f t="shared" si="450"/>
        <v>0</v>
      </c>
      <c r="AF618">
        <f t="shared" si="451"/>
        <v>0</v>
      </c>
      <c r="AG618">
        <f t="shared" si="452"/>
        <v>0</v>
      </c>
      <c r="AH618">
        <f t="shared" si="453"/>
        <v>0</v>
      </c>
      <c r="AI618">
        <f t="shared" si="454"/>
        <v>0</v>
      </c>
      <c r="AJ618">
        <f t="shared" si="455"/>
        <v>0</v>
      </c>
      <c r="AK618">
        <f t="shared" si="480"/>
        <v>0</v>
      </c>
      <c r="AL618">
        <f t="shared" si="456"/>
        <v>0</v>
      </c>
      <c r="AM618">
        <f t="shared" si="438"/>
        <v>0</v>
      </c>
      <c r="AN618">
        <f>IF($S$2=0,0,(SUMPRODUCT($K$2:$R$2,Assumptions!$B$34:$I$34)/$U$2+$J$2/$U$2*Assumptions!$A$34*G618)*K618*O617)</f>
        <v>0</v>
      </c>
      <c r="AO618">
        <f t="shared" si="457"/>
        <v>0</v>
      </c>
      <c r="AP618">
        <f t="shared" si="458"/>
        <v>0</v>
      </c>
      <c r="AQ618">
        <f>IF(B618&gt;$AJ$2,0,AQ617*(1+Assumptions!$B$43)^(1/12))</f>
        <v>0</v>
      </c>
      <c r="AR618" s="27">
        <f>IF(B618&gt;$AJ$2,0,(O617+R617)*Assumptions!$B$39/12*AQ617+AV618*Assumptions!$B$41/12)</f>
        <v>0</v>
      </c>
      <c r="AS618">
        <f t="shared" si="459"/>
        <v>0</v>
      </c>
      <c r="AT618" s="28">
        <f t="shared" si="460"/>
        <v>0</v>
      </c>
      <c r="AU618">
        <f t="shared" si="461"/>
        <v>0</v>
      </c>
      <c r="AV618" s="28">
        <f t="shared" si="462"/>
        <v>0</v>
      </c>
      <c r="AW618" s="28">
        <f t="shared" si="463"/>
        <v>0</v>
      </c>
      <c r="AX618" s="23">
        <f>HLOOKUP(YEAR(A618),Assumptions!$A$25:$AL$29,2,TRUE)/100</f>
        <v>1.1332999999999999E-2</v>
      </c>
      <c r="AY618" s="29">
        <f>1/(1+HLOOKUP(YEAR(A618),Assumptions!$A$18:$AL$20,3,TRUE))^(1/12)</f>
        <v>0.99906100631170314</v>
      </c>
      <c r="AZ618" s="26">
        <f t="shared" si="464"/>
        <v>0</v>
      </c>
      <c r="BA618">
        <f t="shared" si="465"/>
        <v>0</v>
      </c>
      <c r="BB618">
        <f t="shared" si="466"/>
        <v>0</v>
      </c>
      <c r="BC618">
        <f t="shared" si="467"/>
        <v>0</v>
      </c>
    </row>
    <row r="619" spans="1:55" x14ac:dyDescent="0.2">
      <c r="A619" s="3">
        <f t="shared" si="439"/>
        <v>61606</v>
      </c>
      <c r="B619">
        <f t="shared" si="436"/>
        <v>621</v>
      </c>
      <c r="C619">
        <f t="shared" si="468"/>
        <v>51.666666666666664</v>
      </c>
      <c r="D619">
        <f t="shared" si="469"/>
        <v>0</v>
      </c>
      <c r="E619">
        <f t="shared" si="437"/>
        <v>107</v>
      </c>
      <c r="F619">
        <f>IF(C619&gt;=$T$2,0,VLOOKUP($E619,'Mortality Table'!$A$3:$C$128,2+AF$2,FALSE))</f>
        <v>0</v>
      </c>
      <c r="G619">
        <f>F619*Assumptions!$B$1</f>
        <v>0</v>
      </c>
      <c r="H619">
        <f t="shared" si="470"/>
        <v>0</v>
      </c>
      <c r="I619">
        <f t="shared" si="471"/>
        <v>0</v>
      </c>
      <c r="J619">
        <f>IF(B619&gt;$AJ$2,0,HLOOKUP(C619,Assumptions!$A$6:$J$7,2,TRUE))</f>
        <v>0</v>
      </c>
      <c r="K619" s="4">
        <f t="shared" si="472"/>
        <v>0</v>
      </c>
      <c r="L619" s="4">
        <f t="shared" si="440"/>
        <v>0</v>
      </c>
      <c r="M619" s="4">
        <f t="shared" si="473"/>
        <v>0</v>
      </c>
      <c r="N619">
        <f t="shared" si="474"/>
        <v>0</v>
      </c>
      <c r="O619" s="21">
        <f t="shared" si="475"/>
        <v>0</v>
      </c>
      <c r="P619">
        <f>IF(B619&gt;$AJ$2,0,HLOOKUP(C619,Assumptions!$A$12:$J$13,2,TRUE))</f>
        <v>0</v>
      </c>
      <c r="Q619">
        <f t="shared" si="476"/>
        <v>0</v>
      </c>
      <c r="R619">
        <f t="shared" si="441"/>
        <v>0</v>
      </c>
      <c r="S619">
        <f t="shared" si="477"/>
        <v>0</v>
      </c>
      <c r="T619">
        <f t="shared" si="478"/>
        <v>0</v>
      </c>
      <c r="U619">
        <f t="shared" si="442"/>
        <v>0</v>
      </c>
      <c r="V619">
        <f t="shared" si="443"/>
        <v>0</v>
      </c>
      <c r="W619">
        <f t="shared" si="444"/>
        <v>0</v>
      </c>
      <c r="X619">
        <f t="shared" si="479"/>
        <v>0</v>
      </c>
      <c r="Y619">
        <f t="shared" si="445"/>
        <v>0</v>
      </c>
      <c r="Z619">
        <f t="shared" si="446"/>
        <v>0</v>
      </c>
      <c r="AA619">
        <f t="shared" si="447"/>
        <v>0</v>
      </c>
      <c r="AB619">
        <f t="shared" si="448"/>
        <v>0</v>
      </c>
      <c r="AC619" s="23">
        <f>IF(B619&gt;$AJ$2,0,HLOOKUP(YEAR(A619),Assumptions!$A$25:$AL$29,4,TRUE)/100)</f>
        <v>0</v>
      </c>
      <c r="AD619">
        <f t="shared" si="449"/>
        <v>0</v>
      </c>
      <c r="AE619">
        <f t="shared" si="450"/>
        <v>0</v>
      </c>
      <c r="AF619">
        <f t="shared" si="451"/>
        <v>0</v>
      </c>
      <c r="AG619">
        <f t="shared" si="452"/>
        <v>0</v>
      </c>
      <c r="AH619">
        <f t="shared" si="453"/>
        <v>0</v>
      </c>
      <c r="AI619">
        <f t="shared" si="454"/>
        <v>0</v>
      </c>
      <c r="AJ619">
        <f t="shared" si="455"/>
        <v>0</v>
      </c>
      <c r="AK619">
        <f t="shared" si="480"/>
        <v>0</v>
      </c>
      <c r="AL619">
        <f t="shared" si="456"/>
        <v>0</v>
      </c>
      <c r="AM619">
        <f t="shared" si="438"/>
        <v>0</v>
      </c>
      <c r="AN619">
        <f>IF($S$2=0,0,(SUMPRODUCT($K$2:$R$2,Assumptions!$B$34:$I$34)/$U$2+$J$2/$U$2*Assumptions!$A$34*G619)*K619*O618)</f>
        <v>0</v>
      </c>
      <c r="AO619">
        <f t="shared" si="457"/>
        <v>0</v>
      </c>
      <c r="AP619">
        <f t="shared" si="458"/>
        <v>0</v>
      </c>
      <c r="AQ619">
        <f>IF(B619&gt;$AJ$2,0,AQ618*(1+Assumptions!$B$43)^(1/12))</f>
        <v>0</v>
      </c>
      <c r="AR619" s="27">
        <f>IF(B619&gt;$AJ$2,0,(O618+R618)*Assumptions!$B$39/12*AQ618+AV619*Assumptions!$B$41/12)</f>
        <v>0</v>
      </c>
      <c r="AS619">
        <f t="shared" si="459"/>
        <v>0</v>
      </c>
      <c r="AT619" s="28">
        <f t="shared" si="460"/>
        <v>0</v>
      </c>
      <c r="AU619">
        <f t="shared" si="461"/>
        <v>0</v>
      </c>
      <c r="AV619" s="28">
        <f t="shared" si="462"/>
        <v>0</v>
      </c>
      <c r="AW619" s="28">
        <f t="shared" si="463"/>
        <v>0</v>
      </c>
      <c r="AX619" s="23">
        <f>HLOOKUP(YEAR(A619),Assumptions!$A$25:$AL$29,2,TRUE)/100</f>
        <v>1.1332999999999999E-2</v>
      </c>
      <c r="AY619" s="29">
        <f>1/(1+HLOOKUP(YEAR(A619),Assumptions!$A$18:$AL$20,3,TRUE))^(1/12)</f>
        <v>0.99906100631170314</v>
      </c>
      <c r="AZ619" s="26">
        <f t="shared" si="464"/>
        <v>0</v>
      </c>
      <c r="BA619">
        <f t="shared" si="465"/>
        <v>0</v>
      </c>
      <c r="BB619">
        <f t="shared" si="466"/>
        <v>0</v>
      </c>
      <c r="BC619">
        <f t="shared" si="467"/>
        <v>0</v>
      </c>
    </row>
    <row r="620" spans="1:55" x14ac:dyDescent="0.2">
      <c r="A620" s="3">
        <f t="shared" si="439"/>
        <v>61636</v>
      </c>
      <c r="B620">
        <f t="shared" si="436"/>
        <v>622</v>
      </c>
      <c r="C620">
        <f t="shared" si="468"/>
        <v>51.75</v>
      </c>
      <c r="D620">
        <f t="shared" si="469"/>
        <v>0</v>
      </c>
      <c r="E620">
        <f t="shared" si="437"/>
        <v>107</v>
      </c>
      <c r="F620">
        <f>IF(C620&gt;=$T$2,0,VLOOKUP($E620,'Mortality Table'!$A$3:$C$128,2+AF$2,FALSE))</f>
        <v>0</v>
      </c>
      <c r="G620">
        <f>F620*Assumptions!$B$1</f>
        <v>0</v>
      </c>
      <c r="H620">
        <f t="shared" si="470"/>
        <v>0</v>
      </c>
      <c r="I620">
        <f t="shared" si="471"/>
        <v>0</v>
      </c>
      <c r="J620">
        <f>IF(B620&gt;$AJ$2,0,HLOOKUP(C620,Assumptions!$A$6:$J$7,2,TRUE))</f>
        <v>0</v>
      </c>
      <c r="K620" s="4">
        <f t="shared" si="472"/>
        <v>0</v>
      </c>
      <c r="L620" s="4">
        <f t="shared" si="440"/>
        <v>0</v>
      </c>
      <c r="M620" s="4">
        <f t="shared" si="473"/>
        <v>0</v>
      </c>
      <c r="N620">
        <f t="shared" si="474"/>
        <v>0</v>
      </c>
      <c r="O620" s="21">
        <f t="shared" si="475"/>
        <v>0</v>
      </c>
      <c r="P620">
        <f>IF(B620&gt;$AJ$2,0,HLOOKUP(C620,Assumptions!$A$12:$J$13,2,TRUE))</f>
        <v>0</v>
      </c>
      <c r="Q620">
        <f t="shared" si="476"/>
        <v>0</v>
      </c>
      <c r="R620">
        <f t="shared" si="441"/>
        <v>0</v>
      </c>
      <c r="S620">
        <f t="shared" si="477"/>
        <v>0</v>
      </c>
      <c r="T620">
        <f t="shared" si="478"/>
        <v>0</v>
      </c>
      <c r="U620">
        <f t="shared" si="442"/>
        <v>0</v>
      </c>
      <c r="V620">
        <f t="shared" si="443"/>
        <v>0</v>
      </c>
      <c r="W620">
        <f t="shared" si="444"/>
        <v>0</v>
      </c>
      <c r="X620">
        <f t="shared" si="479"/>
        <v>0</v>
      </c>
      <c r="Y620">
        <f t="shared" si="445"/>
        <v>0</v>
      </c>
      <c r="Z620">
        <f t="shared" si="446"/>
        <v>0</v>
      </c>
      <c r="AA620">
        <f t="shared" si="447"/>
        <v>0</v>
      </c>
      <c r="AB620">
        <f t="shared" si="448"/>
        <v>0</v>
      </c>
      <c r="AC620" s="23">
        <f>IF(B620&gt;$AJ$2,0,HLOOKUP(YEAR(A620),Assumptions!$A$25:$AL$29,4,TRUE)/100)</f>
        <v>0</v>
      </c>
      <c r="AD620">
        <f t="shared" si="449"/>
        <v>0</v>
      </c>
      <c r="AE620">
        <f t="shared" si="450"/>
        <v>0</v>
      </c>
      <c r="AF620">
        <f t="shared" si="451"/>
        <v>0</v>
      </c>
      <c r="AG620">
        <f t="shared" si="452"/>
        <v>0</v>
      </c>
      <c r="AH620">
        <f t="shared" si="453"/>
        <v>0</v>
      </c>
      <c r="AI620">
        <f t="shared" si="454"/>
        <v>0</v>
      </c>
      <c r="AJ620">
        <f t="shared" si="455"/>
        <v>0</v>
      </c>
      <c r="AK620">
        <f t="shared" si="480"/>
        <v>0</v>
      </c>
      <c r="AL620">
        <f t="shared" si="456"/>
        <v>0</v>
      </c>
      <c r="AM620">
        <f t="shared" si="438"/>
        <v>0</v>
      </c>
      <c r="AN620">
        <f>IF($S$2=0,0,(SUMPRODUCT($K$2:$R$2,Assumptions!$B$34:$I$34)/$U$2+$J$2/$U$2*Assumptions!$A$34*G620)*K620*O619)</f>
        <v>0</v>
      </c>
      <c r="AO620">
        <f t="shared" si="457"/>
        <v>0</v>
      </c>
      <c r="AP620">
        <f t="shared" si="458"/>
        <v>0</v>
      </c>
      <c r="AQ620">
        <f>IF(B620&gt;$AJ$2,0,AQ619*(1+Assumptions!$B$43)^(1/12))</f>
        <v>0</v>
      </c>
      <c r="AR620" s="27">
        <f>IF(B620&gt;$AJ$2,0,(O619+R619)*Assumptions!$B$39/12*AQ619+AV620*Assumptions!$B$41/12)</f>
        <v>0</v>
      </c>
      <c r="AS620">
        <f t="shared" si="459"/>
        <v>0</v>
      </c>
      <c r="AT620" s="28">
        <f t="shared" si="460"/>
        <v>0</v>
      </c>
      <c r="AU620">
        <f t="shared" si="461"/>
        <v>0</v>
      </c>
      <c r="AV620" s="28">
        <f t="shared" si="462"/>
        <v>0</v>
      </c>
      <c r="AW620" s="28">
        <f t="shared" si="463"/>
        <v>0</v>
      </c>
      <c r="AX620" s="23">
        <f>HLOOKUP(YEAR(A620),Assumptions!$A$25:$AL$29,2,TRUE)/100</f>
        <v>1.1332999999999999E-2</v>
      </c>
      <c r="AY620" s="29">
        <f>1/(1+HLOOKUP(YEAR(A620),Assumptions!$A$18:$AL$20,3,TRUE))^(1/12)</f>
        <v>0.99906100631170314</v>
      </c>
      <c r="AZ620" s="26">
        <f t="shared" si="464"/>
        <v>0</v>
      </c>
      <c r="BA620">
        <f t="shared" si="465"/>
        <v>0</v>
      </c>
      <c r="BB620">
        <f t="shared" si="466"/>
        <v>0</v>
      </c>
      <c r="BC620">
        <f t="shared" si="467"/>
        <v>0</v>
      </c>
    </row>
    <row r="621" spans="1:55" x14ac:dyDescent="0.2">
      <c r="A621" s="3">
        <f t="shared" si="439"/>
        <v>61667</v>
      </c>
      <c r="B621">
        <f t="shared" si="436"/>
        <v>623</v>
      </c>
      <c r="C621">
        <f t="shared" si="468"/>
        <v>51.833333333333336</v>
      </c>
      <c r="D621">
        <f t="shared" si="469"/>
        <v>0</v>
      </c>
      <c r="E621">
        <f t="shared" si="437"/>
        <v>107</v>
      </c>
      <c r="F621">
        <f>IF(C621&gt;=$T$2,0,VLOOKUP($E621,'Mortality Table'!$A$3:$C$128,2+AF$2,FALSE))</f>
        <v>0</v>
      </c>
      <c r="G621">
        <f>F621*Assumptions!$B$1</f>
        <v>0</v>
      </c>
      <c r="H621">
        <f t="shared" si="470"/>
        <v>0</v>
      </c>
      <c r="I621">
        <f t="shared" si="471"/>
        <v>0</v>
      </c>
      <c r="J621">
        <f>IF(B621&gt;$AJ$2,0,HLOOKUP(C621,Assumptions!$A$6:$J$7,2,TRUE))</f>
        <v>0</v>
      </c>
      <c r="K621" s="4">
        <f t="shared" si="472"/>
        <v>0</v>
      </c>
      <c r="L621" s="4">
        <f t="shared" si="440"/>
        <v>0</v>
      </c>
      <c r="M621" s="4">
        <f t="shared" si="473"/>
        <v>0</v>
      </c>
      <c r="N621">
        <f t="shared" si="474"/>
        <v>0</v>
      </c>
      <c r="O621" s="21">
        <f t="shared" si="475"/>
        <v>0</v>
      </c>
      <c r="P621">
        <f>IF(B621&gt;$AJ$2,0,HLOOKUP(C621,Assumptions!$A$12:$J$13,2,TRUE))</f>
        <v>0</v>
      </c>
      <c r="Q621">
        <f t="shared" si="476"/>
        <v>0</v>
      </c>
      <c r="R621">
        <f t="shared" si="441"/>
        <v>0</v>
      </c>
      <c r="S621">
        <f t="shared" si="477"/>
        <v>0</v>
      </c>
      <c r="T621">
        <f t="shared" si="478"/>
        <v>0</v>
      </c>
      <c r="U621">
        <f t="shared" si="442"/>
        <v>0</v>
      </c>
      <c r="V621">
        <f t="shared" si="443"/>
        <v>0</v>
      </c>
      <c r="W621">
        <f t="shared" si="444"/>
        <v>0</v>
      </c>
      <c r="X621">
        <f t="shared" si="479"/>
        <v>0</v>
      </c>
      <c r="Y621">
        <f t="shared" si="445"/>
        <v>0</v>
      </c>
      <c r="Z621">
        <f t="shared" si="446"/>
        <v>0</v>
      </c>
      <c r="AA621">
        <f t="shared" si="447"/>
        <v>0</v>
      </c>
      <c r="AB621">
        <f t="shared" si="448"/>
        <v>0</v>
      </c>
      <c r="AC621" s="23">
        <f>IF(B621&gt;$AJ$2,0,HLOOKUP(YEAR(A621),Assumptions!$A$25:$AL$29,4,TRUE)/100)</f>
        <v>0</v>
      </c>
      <c r="AD621">
        <f t="shared" si="449"/>
        <v>0</v>
      </c>
      <c r="AE621">
        <f t="shared" si="450"/>
        <v>0</v>
      </c>
      <c r="AF621">
        <f t="shared" si="451"/>
        <v>0</v>
      </c>
      <c r="AG621">
        <f t="shared" si="452"/>
        <v>0</v>
      </c>
      <c r="AH621">
        <f t="shared" si="453"/>
        <v>0</v>
      </c>
      <c r="AI621">
        <f t="shared" si="454"/>
        <v>0</v>
      </c>
      <c r="AJ621">
        <f t="shared" si="455"/>
        <v>0</v>
      </c>
      <c r="AK621">
        <f t="shared" si="480"/>
        <v>0</v>
      </c>
      <c r="AL621">
        <f t="shared" si="456"/>
        <v>0</v>
      </c>
      <c r="AM621">
        <f t="shared" si="438"/>
        <v>0</v>
      </c>
      <c r="AN621">
        <f>IF($S$2=0,0,(SUMPRODUCT($K$2:$R$2,Assumptions!$B$34:$I$34)/$U$2+$J$2/$U$2*Assumptions!$A$34*G621)*K621*O620)</f>
        <v>0</v>
      </c>
      <c r="AO621">
        <f t="shared" si="457"/>
        <v>0</v>
      </c>
      <c r="AP621">
        <f t="shared" si="458"/>
        <v>0</v>
      </c>
      <c r="AQ621">
        <f>IF(B621&gt;$AJ$2,0,AQ620*(1+Assumptions!$B$43)^(1/12))</f>
        <v>0</v>
      </c>
      <c r="AR621" s="27">
        <f>IF(B621&gt;$AJ$2,0,(O620+R620)*Assumptions!$B$39/12*AQ620+AV621*Assumptions!$B$41/12)</f>
        <v>0</v>
      </c>
      <c r="AS621">
        <f t="shared" si="459"/>
        <v>0</v>
      </c>
      <c r="AT621" s="28">
        <f t="shared" si="460"/>
        <v>0</v>
      </c>
      <c r="AU621">
        <f t="shared" si="461"/>
        <v>0</v>
      </c>
      <c r="AV621" s="28">
        <f t="shared" si="462"/>
        <v>0</v>
      </c>
      <c r="AW621" s="28">
        <f t="shared" si="463"/>
        <v>0</v>
      </c>
      <c r="AX621" s="23">
        <f>HLOOKUP(YEAR(A621),Assumptions!$A$25:$AL$29,2,TRUE)/100</f>
        <v>1.1332999999999999E-2</v>
      </c>
      <c r="AY621" s="29">
        <f>1/(1+HLOOKUP(YEAR(A621),Assumptions!$A$18:$AL$20,3,TRUE))^(1/12)</f>
        <v>0.99906100631170314</v>
      </c>
      <c r="AZ621" s="26">
        <f t="shared" si="464"/>
        <v>0</v>
      </c>
      <c r="BA621">
        <f t="shared" si="465"/>
        <v>0</v>
      </c>
      <c r="BB621">
        <f t="shared" si="466"/>
        <v>0</v>
      </c>
      <c r="BC621">
        <f t="shared" si="467"/>
        <v>0</v>
      </c>
    </row>
    <row r="622" spans="1:55" x14ac:dyDescent="0.2">
      <c r="A622" s="3">
        <f t="shared" si="439"/>
        <v>61697</v>
      </c>
      <c r="B622">
        <f t="shared" si="436"/>
        <v>624</v>
      </c>
      <c r="C622">
        <f t="shared" si="468"/>
        <v>51.916666666666664</v>
      </c>
      <c r="D622">
        <f t="shared" si="469"/>
        <v>0</v>
      </c>
      <c r="E622">
        <f t="shared" si="437"/>
        <v>107</v>
      </c>
      <c r="F622">
        <f>IF(C622&gt;=$T$2,0,VLOOKUP($E622,'Mortality Table'!$A$3:$C$128,2+AF$2,FALSE))</f>
        <v>0</v>
      </c>
      <c r="G622">
        <f>F622*Assumptions!$B$1</f>
        <v>0</v>
      </c>
      <c r="H622">
        <f t="shared" si="470"/>
        <v>0</v>
      </c>
      <c r="I622">
        <f t="shared" si="471"/>
        <v>0</v>
      </c>
      <c r="J622">
        <f>IF(B622&gt;$AJ$2,0,HLOOKUP(C622,Assumptions!$A$6:$J$7,2,TRUE))</f>
        <v>0</v>
      </c>
      <c r="K622" s="4">
        <f t="shared" si="472"/>
        <v>0</v>
      </c>
      <c r="L622" s="4">
        <f t="shared" si="440"/>
        <v>0</v>
      </c>
      <c r="M622" s="4">
        <f t="shared" si="473"/>
        <v>0</v>
      </c>
      <c r="N622">
        <f t="shared" si="474"/>
        <v>0</v>
      </c>
      <c r="O622" s="21">
        <f t="shared" si="475"/>
        <v>0</v>
      </c>
      <c r="P622">
        <f>IF(B622&gt;$AJ$2,0,HLOOKUP(C622,Assumptions!$A$12:$J$13,2,TRUE))</f>
        <v>0</v>
      </c>
      <c r="Q622">
        <f t="shared" si="476"/>
        <v>0</v>
      </c>
      <c r="R622">
        <f t="shared" si="441"/>
        <v>0</v>
      </c>
      <c r="S622">
        <f t="shared" si="477"/>
        <v>0</v>
      </c>
      <c r="T622">
        <f t="shared" si="478"/>
        <v>0</v>
      </c>
      <c r="U622">
        <f t="shared" si="442"/>
        <v>0</v>
      </c>
      <c r="V622">
        <f t="shared" si="443"/>
        <v>0</v>
      </c>
      <c r="W622">
        <f t="shared" si="444"/>
        <v>0</v>
      </c>
      <c r="X622">
        <f t="shared" si="479"/>
        <v>0</v>
      </c>
      <c r="Y622">
        <f t="shared" si="445"/>
        <v>0</v>
      </c>
      <c r="Z622">
        <f t="shared" si="446"/>
        <v>0</v>
      </c>
      <c r="AA622">
        <f t="shared" si="447"/>
        <v>0</v>
      </c>
      <c r="AB622">
        <f t="shared" si="448"/>
        <v>0</v>
      </c>
      <c r="AC622" s="23">
        <f>IF(B622&gt;$AJ$2,0,HLOOKUP(YEAR(A622),Assumptions!$A$25:$AL$29,4,TRUE)/100)</f>
        <v>0</v>
      </c>
      <c r="AD622">
        <f t="shared" si="449"/>
        <v>0</v>
      </c>
      <c r="AE622">
        <f t="shared" si="450"/>
        <v>0</v>
      </c>
      <c r="AF622">
        <f t="shared" si="451"/>
        <v>0</v>
      </c>
      <c r="AG622">
        <f t="shared" si="452"/>
        <v>0</v>
      </c>
      <c r="AH622">
        <f t="shared" si="453"/>
        <v>0</v>
      </c>
      <c r="AI622">
        <f t="shared" si="454"/>
        <v>0</v>
      </c>
      <c r="AJ622">
        <f t="shared" si="455"/>
        <v>0</v>
      </c>
      <c r="AK622">
        <f t="shared" si="480"/>
        <v>0</v>
      </c>
      <c r="AL622">
        <f t="shared" si="456"/>
        <v>0</v>
      </c>
      <c r="AM622">
        <f t="shared" si="438"/>
        <v>0</v>
      </c>
      <c r="AN622">
        <f>IF($S$2=0,0,(SUMPRODUCT($K$2:$R$2,Assumptions!$B$34:$I$34)/$U$2+$J$2/$U$2*Assumptions!$A$34*G622)*K622*O621)</f>
        <v>0</v>
      </c>
      <c r="AO622">
        <f t="shared" si="457"/>
        <v>0</v>
      </c>
      <c r="AP622">
        <f t="shared" si="458"/>
        <v>0</v>
      </c>
      <c r="AQ622">
        <f>IF(B622&gt;$AJ$2,0,AQ621*(1+Assumptions!$B$43)^(1/12))</f>
        <v>0</v>
      </c>
      <c r="AR622" s="27">
        <f>IF(B622&gt;$AJ$2,0,(O621+R621)*Assumptions!$B$39/12*AQ621+AV622*Assumptions!$B$41/12)</f>
        <v>0</v>
      </c>
      <c r="AS622">
        <f t="shared" si="459"/>
        <v>0</v>
      </c>
      <c r="AT622" s="28">
        <f t="shared" si="460"/>
        <v>0</v>
      </c>
      <c r="AU622">
        <f t="shared" si="461"/>
        <v>0</v>
      </c>
      <c r="AV622" s="28">
        <f t="shared" si="462"/>
        <v>0</v>
      </c>
      <c r="AW622" s="28">
        <f t="shared" si="463"/>
        <v>0</v>
      </c>
      <c r="AX622" s="23">
        <f>HLOOKUP(YEAR(A622),Assumptions!$A$25:$AL$29,2,TRUE)/100</f>
        <v>1.1332999999999999E-2</v>
      </c>
      <c r="AY622" s="29">
        <f>1/(1+HLOOKUP(YEAR(A622),Assumptions!$A$18:$AL$20,3,TRUE))^(1/12)</f>
        <v>0.99906100631170314</v>
      </c>
      <c r="AZ622" s="26">
        <f t="shared" si="464"/>
        <v>0</v>
      </c>
      <c r="BA622">
        <f t="shared" si="465"/>
        <v>0</v>
      </c>
      <c r="BB622">
        <f t="shared" si="466"/>
        <v>0</v>
      </c>
      <c r="BC622">
        <f t="shared" si="467"/>
        <v>0</v>
      </c>
    </row>
    <row r="623" spans="1:55" x14ac:dyDescent="0.2">
      <c r="A623" s="3">
        <f t="shared" si="439"/>
        <v>61728</v>
      </c>
      <c r="B623">
        <f t="shared" si="436"/>
        <v>625</v>
      </c>
      <c r="C623">
        <f t="shared" si="468"/>
        <v>52</v>
      </c>
      <c r="D623">
        <f t="shared" si="469"/>
        <v>1</v>
      </c>
      <c r="E623">
        <f t="shared" si="437"/>
        <v>108</v>
      </c>
      <c r="F623">
        <f>IF(C623&gt;=$T$2,0,VLOOKUP($E623,'Mortality Table'!$A$3:$C$128,2+AF$2,FALSE))</f>
        <v>0</v>
      </c>
      <c r="G623">
        <f>F623*Assumptions!$B$1</f>
        <v>0</v>
      </c>
      <c r="H623">
        <f t="shared" si="470"/>
        <v>0</v>
      </c>
      <c r="I623">
        <f t="shared" si="471"/>
        <v>0</v>
      </c>
      <c r="J623">
        <f>IF(B623&gt;$AJ$2,0,HLOOKUP(C623,Assumptions!$A$6:$J$7,2,TRUE))</f>
        <v>0</v>
      </c>
      <c r="K623" s="4">
        <f t="shared" si="472"/>
        <v>0</v>
      </c>
      <c r="L623" s="4">
        <f t="shared" si="440"/>
        <v>0</v>
      </c>
      <c r="M623" s="4">
        <f t="shared" si="473"/>
        <v>0</v>
      </c>
      <c r="N623">
        <f t="shared" si="474"/>
        <v>0</v>
      </c>
      <c r="O623" s="21">
        <f t="shared" si="475"/>
        <v>0</v>
      </c>
      <c r="P623">
        <f>IF(B623&gt;$AJ$2,0,HLOOKUP(C623,Assumptions!$A$12:$J$13,2,TRUE))</f>
        <v>0</v>
      </c>
      <c r="Q623">
        <f t="shared" si="476"/>
        <v>0</v>
      </c>
      <c r="R623">
        <f t="shared" si="441"/>
        <v>0</v>
      </c>
      <c r="S623">
        <f t="shared" si="477"/>
        <v>0</v>
      </c>
      <c r="T623">
        <f t="shared" si="478"/>
        <v>0</v>
      </c>
      <c r="U623">
        <f t="shared" si="442"/>
        <v>0</v>
      </c>
      <c r="V623">
        <f t="shared" si="443"/>
        <v>0</v>
      </c>
      <c r="W623">
        <f t="shared" si="444"/>
        <v>0</v>
      </c>
      <c r="X623">
        <f t="shared" si="479"/>
        <v>0</v>
      </c>
      <c r="Y623">
        <f t="shared" si="445"/>
        <v>0</v>
      </c>
      <c r="Z623">
        <f t="shared" si="446"/>
        <v>0</v>
      </c>
      <c r="AA623">
        <f t="shared" si="447"/>
        <v>0</v>
      </c>
      <c r="AB623">
        <f t="shared" si="448"/>
        <v>0</v>
      </c>
      <c r="AC623" s="23">
        <f>IF(B623&gt;$AJ$2,0,HLOOKUP(YEAR(A623),Assumptions!$A$25:$AL$29,4,TRUE)/100)</f>
        <v>0</v>
      </c>
      <c r="AD623">
        <f t="shared" si="449"/>
        <v>0</v>
      </c>
      <c r="AE623">
        <f t="shared" si="450"/>
        <v>0</v>
      </c>
      <c r="AF623">
        <f t="shared" si="451"/>
        <v>0</v>
      </c>
      <c r="AG623">
        <f t="shared" si="452"/>
        <v>0</v>
      </c>
      <c r="AH623">
        <f t="shared" si="453"/>
        <v>0</v>
      </c>
      <c r="AI623">
        <f t="shared" si="454"/>
        <v>0</v>
      </c>
      <c r="AJ623">
        <f t="shared" si="455"/>
        <v>0</v>
      </c>
      <c r="AK623">
        <f t="shared" si="480"/>
        <v>0</v>
      </c>
      <c r="AL623">
        <f t="shared" si="456"/>
        <v>0</v>
      </c>
      <c r="AM623">
        <f t="shared" si="438"/>
        <v>0</v>
      </c>
      <c r="AN623">
        <f>IF($S$2=0,0,(SUMPRODUCT($K$2:$R$2,Assumptions!$B$34:$I$34)/$U$2+$J$2/$U$2*Assumptions!$A$34*G623)*K623*O622)</f>
        <v>0</v>
      </c>
      <c r="AO623">
        <f t="shared" si="457"/>
        <v>0</v>
      </c>
      <c r="AP623">
        <f t="shared" si="458"/>
        <v>0</v>
      </c>
      <c r="AQ623">
        <f>IF(B623&gt;$AJ$2,0,AQ622*(1+Assumptions!$B$43)^(1/12))</f>
        <v>0</v>
      </c>
      <c r="AR623" s="27">
        <f>IF(B623&gt;$AJ$2,0,(O622+R622)*Assumptions!$B$39/12*AQ622+AV623*Assumptions!$B$41/12)</f>
        <v>0</v>
      </c>
      <c r="AS623">
        <f t="shared" si="459"/>
        <v>0</v>
      </c>
      <c r="AT623" s="28">
        <f t="shared" si="460"/>
        <v>0</v>
      </c>
      <c r="AU623">
        <f t="shared" si="461"/>
        <v>0</v>
      </c>
      <c r="AV623" s="28">
        <f t="shared" si="462"/>
        <v>0</v>
      </c>
      <c r="AW623" s="28">
        <f t="shared" si="463"/>
        <v>0</v>
      </c>
      <c r="AX623" s="23">
        <f>HLOOKUP(YEAR(A623),Assumptions!$A$25:$AL$29,2,TRUE)/100</f>
        <v>1.1332999999999999E-2</v>
      </c>
      <c r="AY623" s="29">
        <f>1/(1+HLOOKUP(YEAR(A623),Assumptions!$A$18:$AL$20,3,TRUE))^(1/12)</f>
        <v>0.99906100631170314</v>
      </c>
      <c r="AZ623" s="26">
        <f t="shared" si="464"/>
        <v>0</v>
      </c>
      <c r="BA623">
        <f t="shared" si="465"/>
        <v>0</v>
      </c>
      <c r="BB623">
        <f t="shared" si="466"/>
        <v>0</v>
      </c>
      <c r="BC623">
        <f t="shared" si="467"/>
        <v>0</v>
      </c>
    </row>
    <row r="624" spans="1:55" x14ac:dyDescent="0.2">
      <c r="A624" s="3">
        <f t="shared" si="439"/>
        <v>61759</v>
      </c>
      <c r="B624">
        <f t="shared" si="436"/>
        <v>626</v>
      </c>
      <c r="C624">
        <f t="shared" si="468"/>
        <v>52.083333333333336</v>
      </c>
      <c r="D624">
        <f t="shared" si="469"/>
        <v>0</v>
      </c>
      <c r="E624">
        <f t="shared" si="437"/>
        <v>108</v>
      </c>
      <c r="F624">
        <f>IF(C624&gt;=$T$2,0,VLOOKUP($E624,'Mortality Table'!$A$3:$C$128,2+AF$2,FALSE))</f>
        <v>0</v>
      </c>
      <c r="G624">
        <f>F624*Assumptions!$B$1</f>
        <v>0</v>
      </c>
      <c r="H624">
        <f t="shared" si="470"/>
        <v>0</v>
      </c>
      <c r="I624">
        <f t="shared" si="471"/>
        <v>0</v>
      </c>
      <c r="J624">
        <f>IF(B624&gt;$AJ$2,0,HLOOKUP(C624,Assumptions!$A$6:$J$7,2,TRUE))</f>
        <v>0</v>
      </c>
      <c r="K624" s="4">
        <f t="shared" si="472"/>
        <v>0</v>
      </c>
      <c r="L624" s="4">
        <f t="shared" si="440"/>
        <v>0</v>
      </c>
      <c r="M624" s="4">
        <f t="shared" si="473"/>
        <v>0</v>
      </c>
      <c r="N624">
        <f t="shared" si="474"/>
        <v>0</v>
      </c>
      <c r="O624" s="21">
        <f t="shared" si="475"/>
        <v>0</v>
      </c>
      <c r="P624">
        <f>IF(B624&gt;$AJ$2,0,HLOOKUP(C624,Assumptions!$A$12:$J$13,2,TRUE))</f>
        <v>0</v>
      </c>
      <c r="Q624">
        <f t="shared" si="476"/>
        <v>0</v>
      </c>
      <c r="R624">
        <f t="shared" si="441"/>
        <v>0</v>
      </c>
      <c r="S624">
        <f t="shared" si="477"/>
        <v>0</v>
      </c>
      <c r="T624">
        <f t="shared" si="478"/>
        <v>0</v>
      </c>
      <c r="U624">
        <f t="shared" si="442"/>
        <v>0</v>
      </c>
      <c r="V624">
        <f t="shared" si="443"/>
        <v>0</v>
      </c>
      <c r="W624">
        <f t="shared" si="444"/>
        <v>0</v>
      </c>
      <c r="X624">
        <f t="shared" si="479"/>
        <v>0</v>
      </c>
      <c r="Y624">
        <f t="shared" si="445"/>
        <v>0</v>
      </c>
      <c r="Z624">
        <f t="shared" si="446"/>
        <v>0</v>
      </c>
      <c r="AA624">
        <f t="shared" si="447"/>
        <v>0</v>
      </c>
      <c r="AB624">
        <f t="shared" si="448"/>
        <v>0</v>
      </c>
      <c r="AC624" s="23">
        <f>IF(B624&gt;$AJ$2,0,HLOOKUP(YEAR(A624),Assumptions!$A$25:$AL$29,4,TRUE)/100)</f>
        <v>0</v>
      </c>
      <c r="AD624">
        <f t="shared" si="449"/>
        <v>0</v>
      </c>
      <c r="AE624">
        <f t="shared" si="450"/>
        <v>0</v>
      </c>
      <c r="AF624">
        <f t="shared" si="451"/>
        <v>0</v>
      </c>
      <c r="AG624">
        <f t="shared" si="452"/>
        <v>0</v>
      </c>
      <c r="AH624">
        <f t="shared" si="453"/>
        <v>0</v>
      </c>
      <c r="AI624">
        <f t="shared" si="454"/>
        <v>0</v>
      </c>
      <c r="AJ624">
        <f t="shared" si="455"/>
        <v>0</v>
      </c>
      <c r="AK624">
        <f t="shared" si="480"/>
        <v>0</v>
      </c>
      <c r="AL624">
        <f t="shared" si="456"/>
        <v>0</v>
      </c>
      <c r="AM624">
        <f t="shared" si="438"/>
        <v>0</v>
      </c>
      <c r="AN624">
        <f>IF($S$2=0,0,(SUMPRODUCT($K$2:$R$2,Assumptions!$B$34:$I$34)/$U$2+$J$2/$U$2*Assumptions!$A$34*G624)*K624*O623)</f>
        <v>0</v>
      </c>
      <c r="AO624">
        <f t="shared" si="457"/>
        <v>0</v>
      </c>
      <c r="AP624">
        <f t="shared" si="458"/>
        <v>0</v>
      </c>
      <c r="AQ624">
        <f>IF(B624&gt;$AJ$2,0,AQ623*(1+Assumptions!$B$43)^(1/12))</f>
        <v>0</v>
      </c>
      <c r="AR624" s="27">
        <f>IF(B624&gt;$AJ$2,0,(O623+R623)*Assumptions!$B$39/12*AQ623+AV624*Assumptions!$B$41/12)</f>
        <v>0</v>
      </c>
      <c r="AS624">
        <f t="shared" si="459"/>
        <v>0</v>
      </c>
      <c r="AT624" s="28">
        <f t="shared" si="460"/>
        <v>0</v>
      </c>
      <c r="AU624">
        <f t="shared" si="461"/>
        <v>0</v>
      </c>
      <c r="AV624" s="28">
        <f t="shared" si="462"/>
        <v>0</v>
      </c>
      <c r="AW624" s="28">
        <f t="shared" si="463"/>
        <v>0</v>
      </c>
      <c r="AX624" s="23">
        <f>HLOOKUP(YEAR(A624),Assumptions!$A$25:$AL$29,2,TRUE)/100</f>
        <v>1.1332999999999999E-2</v>
      </c>
      <c r="AY624" s="29">
        <f>1/(1+HLOOKUP(YEAR(A624),Assumptions!$A$18:$AL$20,3,TRUE))^(1/12)</f>
        <v>0.99906100631170314</v>
      </c>
      <c r="AZ624" s="26">
        <f t="shared" si="464"/>
        <v>0</v>
      </c>
      <c r="BA624">
        <f t="shared" si="465"/>
        <v>0</v>
      </c>
      <c r="BB624">
        <f t="shared" si="466"/>
        <v>0</v>
      </c>
      <c r="BC624">
        <f t="shared" si="467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C128"/>
  <sheetViews>
    <sheetView workbookViewId="0">
      <selection activeCell="F40" sqref="F40"/>
    </sheetView>
  </sheetViews>
  <sheetFormatPr baseColWidth="10" defaultRowHeight="12.75" x14ac:dyDescent="0.2"/>
  <sheetData>
    <row r="1" spans="1:3" x14ac:dyDescent="0.2">
      <c r="A1" s="6"/>
      <c r="B1" s="7" t="s">
        <v>56</v>
      </c>
      <c r="C1" s="8" t="s">
        <v>57</v>
      </c>
    </row>
    <row r="2" spans="1:3" x14ac:dyDescent="0.2">
      <c r="A2" s="9" t="s">
        <v>58</v>
      </c>
      <c r="B2" s="10" t="s">
        <v>59</v>
      </c>
      <c r="C2" s="11" t="s">
        <v>60</v>
      </c>
    </row>
    <row r="3" spans="1:3" x14ac:dyDescent="0.2">
      <c r="A3" s="12">
        <v>0</v>
      </c>
      <c r="B3" s="13">
        <v>5.3379999999999999E-3</v>
      </c>
      <c r="C3" s="13">
        <v>4.1719999999999995E-3</v>
      </c>
    </row>
    <row r="4" spans="1:3" x14ac:dyDescent="0.2">
      <c r="A4" s="12">
        <f>A3+1</f>
        <v>1</v>
      </c>
      <c r="B4" s="14">
        <v>4.0300000000000004E-4</v>
      </c>
      <c r="C4" s="14">
        <v>3.501E-4</v>
      </c>
    </row>
    <row r="5" spans="1:3" x14ac:dyDescent="0.2">
      <c r="A5" s="12">
        <f t="shared" ref="A5:A68" si="0">A4+1</f>
        <v>2</v>
      </c>
      <c r="B5" s="14">
        <v>3.703E-4</v>
      </c>
      <c r="C5" s="14">
        <v>3.1359999999999998E-4</v>
      </c>
    </row>
    <row r="6" spans="1:3" x14ac:dyDescent="0.2">
      <c r="A6" s="12">
        <f t="shared" si="0"/>
        <v>3</v>
      </c>
      <c r="B6" s="14">
        <v>3.436E-4</v>
      </c>
      <c r="C6" s="14">
        <v>2.8599999999999996E-4</v>
      </c>
    </row>
    <row r="7" spans="1:3" x14ac:dyDescent="0.2">
      <c r="A7" s="12">
        <f t="shared" si="0"/>
        <v>4</v>
      </c>
      <c r="B7" s="14">
        <v>3.234E-4</v>
      </c>
      <c r="C7" s="14">
        <v>2.6679999999999998E-4</v>
      </c>
    </row>
    <row r="8" spans="1:3" x14ac:dyDescent="0.2">
      <c r="A8" s="12">
        <f t="shared" si="0"/>
        <v>5</v>
      </c>
      <c r="B8" s="14">
        <v>3.1069999999999996E-4</v>
      </c>
      <c r="C8" s="14">
        <v>2.5519999999999997E-4</v>
      </c>
    </row>
    <row r="9" spans="1:3" x14ac:dyDescent="0.2">
      <c r="A9" s="12">
        <f t="shared" si="0"/>
        <v>6</v>
      </c>
      <c r="B9" s="14">
        <v>3.0680000000000003E-4</v>
      </c>
      <c r="C9" s="14">
        <v>2.5019999999999996E-4</v>
      </c>
    </row>
    <row r="10" spans="1:3" x14ac:dyDescent="0.2">
      <c r="A10" s="12">
        <f t="shared" si="0"/>
        <v>7</v>
      </c>
      <c r="B10" s="14">
        <v>3.1319999999999997E-4</v>
      </c>
      <c r="C10" s="14">
        <v>2.5130000000000004E-4</v>
      </c>
    </row>
    <row r="11" spans="1:3" x14ac:dyDescent="0.2">
      <c r="A11" s="12">
        <f t="shared" si="0"/>
        <v>8</v>
      </c>
      <c r="B11" s="14">
        <v>3.3150000000000003E-4</v>
      </c>
      <c r="C11" s="14">
        <v>2.5769999999999998E-4</v>
      </c>
    </row>
    <row r="12" spans="1:3" x14ac:dyDescent="0.2">
      <c r="A12" s="12">
        <f t="shared" si="0"/>
        <v>9</v>
      </c>
      <c r="B12" s="14">
        <v>3.6289999999999998E-4</v>
      </c>
      <c r="C12" s="14">
        <v>2.6900000000000003E-4</v>
      </c>
    </row>
    <row r="13" spans="1:3" x14ac:dyDescent="0.2">
      <c r="A13" s="12">
        <f t="shared" si="0"/>
        <v>10</v>
      </c>
      <c r="B13" s="14">
        <v>4.0789999999999999E-4</v>
      </c>
      <c r="C13" s="14">
        <v>2.8439999999999997E-4</v>
      </c>
    </row>
    <row r="14" spans="1:3" x14ac:dyDescent="0.2">
      <c r="A14" s="12">
        <f t="shared" si="0"/>
        <v>11</v>
      </c>
      <c r="B14" s="14">
        <v>4.6550000000000004E-4</v>
      </c>
      <c r="C14" s="14">
        <v>3.035E-4</v>
      </c>
    </row>
    <row r="15" spans="1:3" x14ac:dyDescent="0.2">
      <c r="A15" s="12">
        <f t="shared" si="0"/>
        <v>12</v>
      </c>
      <c r="B15" s="14">
        <v>5.3350000000000001E-4</v>
      </c>
      <c r="C15" s="14">
        <v>3.258E-4</v>
      </c>
    </row>
    <row r="16" spans="1:3" x14ac:dyDescent="0.2">
      <c r="A16" s="12">
        <f t="shared" si="0"/>
        <v>13</v>
      </c>
      <c r="B16" s="14">
        <v>6.0860000000000005E-4</v>
      </c>
      <c r="C16" s="14">
        <v>3.503E-4</v>
      </c>
    </row>
    <row r="17" spans="1:3" x14ac:dyDescent="0.2">
      <c r="A17" s="12">
        <f t="shared" si="0"/>
        <v>14</v>
      </c>
      <c r="B17" s="14">
        <v>6.8589999999999992E-4</v>
      </c>
      <c r="C17" s="14">
        <v>3.7490000000000001E-4</v>
      </c>
    </row>
    <row r="18" spans="1:3" x14ac:dyDescent="0.2">
      <c r="A18" s="12">
        <f t="shared" si="0"/>
        <v>15</v>
      </c>
      <c r="B18" s="14">
        <v>7.5970000000000009E-4</v>
      </c>
      <c r="C18" s="14">
        <v>3.9730000000000001E-4</v>
      </c>
    </row>
    <row r="19" spans="1:3" x14ac:dyDescent="0.2">
      <c r="A19" s="12">
        <f t="shared" si="0"/>
        <v>16</v>
      </c>
      <c r="B19" s="14">
        <v>8.2399999999999997E-4</v>
      </c>
      <c r="C19" s="14">
        <v>4.1520000000000001E-4</v>
      </c>
    </row>
    <row r="20" spans="1:3" x14ac:dyDescent="0.2">
      <c r="A20" s="12">
        <f t="shared" si="0"/>
        <v>17</v>
      </c>
      <c r="B20" s="14">
        <v>8.7280000000000007E-4</v>
      </c>
      <c r="C20" s="14">
        <v>4.2659999999999996E-4</v>
      </c>
    </row>
    <row r="21" spans="1:3" x14ac:dyDescent="0.2">
      <c r="A21" s="12">
        <f t="shared" si="0"/>
        <v>18</v>
      </c>
      <c r="B21" s="14">
        <v>9.012E-4</v>
      </c>
      <c r="C21" s="14">
        <v>4.2959999999999998E-4</v>
      </c>
    </row>
    <row r="22" spans="1:3" x14ac:dyDescent="0.2">
      <c r="A22" s="12">
        <f t="shared" si="0"/>
        <v>19</v>
      </c>
      <c r="B22" s="14">
        <v>9.0590000000000006E-4</v>
      </c>
      <c r="C22" s="14">
        <v>4.2329999999999999E-4</v>
      </c>
    </row>
    <row r="23" spans="1:3" x14ac:dyDescent="0.2">
      <c r="A23" s="12">
        <f t="shared" si="0"/>
        <v>20</v>
      </c>
      <c r="B23" s="14">
        <v>8.8639999999999997E-4</v>
      </c>
      <c r="C23" s="14">
        <v>4.0749999999999998E-4</v>
      </c>
    </row>
    <row r="24" spans="1:3" x14ac:dyDescent="0.2">
      <c r="A24" s="12">
        <f t="shared" si="0"/>
        <v>21</v>
      </c>
      <c r="B24" s="14">
        <v>8.4550000000000001E-4</v>
      </c>
      <c r="C24" s="14">
        <v>3.8309999999999999E-4</v>
      </c>
    </row>
    <row r="25" spans="1:3" x14ac:dyDescent="0.2">
      <c r="A25" s="12">
        <f t="shared" si="0"/>
        <v>22</v>
      </c>
      <c r="B25" s="14">
        <v>7.8890000000000004E-4</v>
      </c>
      <c r="C25" s="14">
        <v>3.5199999999999999E-4</v>
      </c>
    </row>
    <row r="26" spans="1:3" x14ac:dyDescent="0.2">
      <c r="A26" s="12">
        <f t="shared" si="0"/>
        <v>23</v>
      </c>
      <c r="B26" s="14">
        <v>7.2409999999999998E-4</v>
      </c>
      <c r="C26" s="14">
        <v>3.1700000000000001E-4</v>
      </c>
    </row>
    <row r="27" spans="1:3" x14ac:dyDescent="0.2">
      <c r="A27" s="12">
        <f t="shared" si="0"/>
        <v>24</v>
      </c>
      <c r="B27" s="14">
        <v>6.5859999999999996E-4</v>
      </c>
      <c r="C27" s="14">
        <v>2.8140000000000001E-4</v>
      </c>
    </row>
    <row r="28" spans="1:3" x14ac:dyDescent="0.2">
      <c r="A28" s="12">
        <f t="shared" si="0"/>
        <v>25</v>
      </c>
      <c r="B28" s="14">
        <v>5.9850000000000007E-4</v>
      </c>
      <c r="C28" s="14">
        <v>2.4870000000000003E-4</v>
      </c>
    </row>
    <row r="29" spans="1:3" x14ac:dyDescent="0.2">
      <c r="A29" s="12">
        <f t="shared" si="0"/>
        <v>26</v>
      </c>
      <c r="B29" s="14">
        <v>5.4779999999999998E-4</v>
      </c>
      <c r="C29" s="14">
        <v>2.2120000000000001E-4</v>
      </c>
    </row>
    <row r="30" spans="1:3" x14ac:dyDescent="0.2">
      <c r="A30" s="12">
        <f t="shared" si="0"/>
        <v>27</v>
      </c>
      <c r="B30" s="14">
        <v>5.084E-4</v>
      </c>
      <c r="C30" s="14">
        <v>2.0039999999999999E-4</v>
      </c>
    </row>
    <row r="31" spans="1:3" x14ac:dyDescent="0.2">
      <c r="A31" s="12">
        <f t="shared" si="0"/>
        <v>28</v>
      </c>
      <c r="B31" s="14">
        <v>4.8089999999999998E-4</v>
      </c>
      <c r="C31" s="14">
        <v>1.8759999999999998E-4</v>
      </c>
    </row>
    <row r="32" spans="1:3" x14ac:dyDescent="0.2">
      <c r="A32" s="12">
        <f t="shared" si="0"/>
        <v>29</v>
      </c>
      <c r="B32" s="14">
        <v>4.6460000000000002E-4</v>
      </c>
      <c r="C32" s="14">
        <v>1.8340000000000001E-4</v>
      </c>
    </row>
    <row r="33" spans="1:3" x14ac:dyDescent="0.2">
      <c r="A33" s="12">
        <f t="shared" si="0"/>
        <v>30</v>
      </c>
      <c r="B33" s="14">
        <v>4.5829999999999997E-4</v>
      </c>
      <c r="C33" s="14">
        <v>1.8759999999999998E-4</v>
      </c>
    </row>
    <row r="34" spans="1:3" x14ac:dyDescent="0.2">
      <c r="A34" s="12">
        <f t="shared" si="0"/>
        <v>31</v>
      </c>
      <c r="B34" s="14">
        <v>4.6139999999999999E-4</v>
      </c>
      <c r="C34" s="14">
        <v>1.9909999999999999E-4</v>
      </c>
    </row>
    <row r="35" spans="1:3" x14ac:dyDescent="0.2">
      <c r="A35" s="12">
        <f t="shared" si="0"/>
        <v>32</v>
      </c>
      <c r="B35" s="14">
        <v>4.7410000000000003E-4</v>
      </c>
      <c r="C35" s="14">
        <v>2.162E-4</v>
      </c>
    </row>
    <row r="36" spans="1:3" x14ac:dyDescent="0.2">
      <c r="A36" s="12">
        <f t="shared" si="0"/>
        <v>33</v>
      </c>
      <c r="B36" s="14">
        <v>4.973E-4</v>
      </c>
      <c r="C36" s="14">
        <v>2.3670000000000001E-4</v>
      </c>
    </row>
    <row r="37" spans="1:3" x14ac:dyDescent="0.2">
      <c r="A37" s="12">
        <f t="shared" si="0"/>
        <v>34</v>
      </c>
      <c r="B37" s="14">
        <v>5.3140000000000001E-4</v>
      </c>
      <c r="C37" s="14">
        <v>2.5950000000000002E-4</v>
      </c>
    </row>
    <row r="38" spans="1:3" x14ac:dyDescent="0.2">
      <c r="A38" s="12">
        <f t="shared" si="0"/>
        <v>35</v>
      </c>
      <c r="B38" s="14">
        <v>5.7509999999999994E-4</v>
      </c>
      <c r="C38" s="14">
        <v>2.856E-4</v>
      </c>
    </row>
    <row r="39" spans="1:3" x14ac:dyDescent="0.2">
      <c r="A39" s="12">
        <f t="shared" si="0"/>
        <v>36</v>
      </c>
      <c r="B39" s="14">
        <v>6.2549999999999997E-4</v>
      </c>
      <c r="C39" s="14">
        <v>3.1780000000000003E-4</v>
      </c>
    </row>
    <row r="40" spans="1:3" x14ac:dyDescent="0.2">
      <c r="A40" s="12">
        <f t="shared" si="0"/>
        <v>37</v>
      </c>
      <c r="B40" s="14">
        <v>6.7969999999999999E-4</v>
      </c>
      <c r="C40" s="14">
        <v>3.6020000000000003E-4</v>
      </c>
    </row>
    <row r="41" spans="1:3" x14ac:dyDescent="0.2">
      <c r="A41" s="12">
        <f t="shared" si="0"/>
        <v>38</v>
      </c>
      <c r="B41" s="14">
        <v>7.3609999999999995E-4</v>
      </c>
      <c r="C41" s="14">
        <v>4.1549999999999996E-4</v>
      </c>
    </row>
    <row r="42" spans="1:3" x14ac:dyDescent="0.2">
      <c r="A42" s="12">
        <f t="shared" si="0"/>
        <v>39</v>
      </c>
      <c r="B42" s="14">
        <v>7.9579999999999994E-4</v>
      </c>
      <c r="C42" s="14">
        <v>4.8289999999999997E-4</v>
      </c>
    </row>
    <row r="43" spans="1:3" x14ac:dyDescent="0.2">
      <c r="A43" s="12">
        <f t="shared" si="0"/>
        <v>40</v>
      </c>
      <c r="B43" s="14">
        <v>8.6180000000000002E-4</v>
      </c>
      <c r="C43" s="14">
        <v>5.5900000000000004E-4</v>
      </c>
    </row>
    <row r="44" spans="1:3" x14ac:dyDescent="0.2">
      <c r="A44" s="12">
        <f t="shared" si="0"/>
        <v>41</v>
      </c>
      <c r="B44" s="14">
        <v>9.3829999999999998E-4</v>
      </c>
      <c r="C44" s="14">
        <v>6.3929999999999998E-4</v>
      </c>
    </row>
    <row r="45" spans="1:3" x14ac:dyDescent="0.2">
      <c r="A45" s="12">
        <f t="shared" si="0"/>
        <v>42</v>
      </c>
      <c r="B45" s="14">
        <v>1.0290999999999998E-3</v>
      </c>
      <c r="C45" s="14">
        <v>7.203E-4</v>
      </c>
    </row>
    <row r="46" spans="1:3" x14ac:dyDescent="0.2">
      <c r="A46" s="12">
        <f t="shared" si="0"/>
        <v>43</v>
      </c>
      <c r="B46" s="14">
        <v>1.1359999999999999E-3</v>
      </c>
      <c r="C46" s="14">
        <v>8.0059999999999994E-4</v>
      </c>
    </row>
    <row r="47" spans="1:3" x14ac:dyDescent="0.2">
      <c r="A47" s="12">
        <f t="shared" si="0"/>
        <v>44</v>
      </c>
      <c r="B47" s="14">
        <v>1.2584999999999999E-3</v>
      </c>
      <c r="C47" s="14">
        <v>8.8049999999999999E-4</v>
      </c>
    </row>
    <row r="48" spans="1:3" x14ac:dyDescent="0.2">
      <c r="A48" s="12">
        <f t="shared" si="0"/>
        <v>45</v>
      </c>
      <c r="B48" s="14">
        <v>1.3949000000000001E-3</v>
      </c>
      <c r="C48" s="14">
        <v>9.6170000000000001E-4</v>
      </c>
    </row>
    <row r="49" spans="1:3" x14ac:dyDescent="0.2">
      <c r="A49" s="12">
        <f t="shared" si="0"/>
        <v>46</v>
      </c>
      <c r="B49" s="14">
        <v>1.5444E-3</v>
      </c>
      <c r="C49" s="14">
        <v>1.0457000000000001E-3</v>
      </c>
    </row>
    <row r="50" spans="1:3" x14ac:dyDescent="0.2">
      <c r="A50" s="12">
        <f t="shared" si="0"/>
        <v>47</v>
      </c>
      <c r="B50" s="14">
        <v>1.7098999999999999E-3</v>
      </c>
      <c r="C50" s="14">
        <v>1.1355999999999998E-3</v>
      </c>
    </row>
    <row r="51" spans="1:3" x14ac:dyDescent="0.2">
      <c r="A51" s="12">
        <f t="shared" si="0"/>
        <v>48</v>
      </c>
      <c r="B51" s="14">
        <v>1.8961E-3</v>
      </c>
      <c r="C51" s="14">
        <v>1.2356000000000001E-3</v>
      </c>
    </row>
    <row r="52" spans="1:3" x14ac:dyDescent="0.2">
      <c r="A52" s="12">
        <f t="shared" si="0"/>
        <v>49</v>
      </c>
      <c r="B52" s="14">
        <v>2.1078999999999998E-3</v>
      </c>
      <c r="C52" s="14">
        <v>1.3505000000000001E-3</v>
      </c>
    </row>
    <row r="53" spans="1:3" x14ac:dyDescent="0.2">
      <c r="A53" s="12">
        <f t="shared" si="0"/>
        <v>50</v>
      </c>
      <c r="B53" s="14">
        <v>2.3466999999999997E-3</v>
      </c>
      <c r="C53" s="14">
        <v>1.4852000000000001E-3</v>
      </c>
    </row>
    <row r="54" spans="1:3" x14ac:dyDescent="0.2">
      <c r="A54" s="12">
        <f t="shared" si="0"/>
        <v>51</v>
      </c>
      <c r="B54" s="14">
        <v>2.6094E-3</v>
      </c>
      <c r="C54" s="14">
        <v>1.6440999999999999E-3</v>
      </c>
    </row>
    <row r="55" spans="1:3" x14ac:dyDescent="0.2">
      <c r="A55" s="12">
        <f t="shared" si="0"/>
        <v>52</v>
      </c>
      <c r="B55" s="14">
        <v>2.8907E-3</v>
      </c>
      <c r="C55" s="14">
        <v>1.8298000000000001E-3</v>
      </c>
    </row>
    <row r="56" spans="1:3" x14ac:dyDescent="0.2">
      <c r="A56" s="12">
        <f t="shared" si="0"/>
        <v>53</v>
      </c>
      <c r="B56" s="14">
        <v>3.1871999999999998E-3</v>
      </c>
      <c r="C56" s="14">
        <v>2.0413000000000002E-3</v>
      </c>
    </row>
    <row r="57" spans="1:3" x14ac:dyDescent="0.2">
      <c r="A57" s="12">
        <f t="shared" si="0"/>
        <v>54</v>
      </c>
      <c r="B57" s="14">
        <v>3.5024000000000001E-3</v>
      </c>
      <c r="C57" s="14">
        <v>2.2740999999999998E-3</v>
      </c>
    </row>
    <row r="58" spans="1:3" x14ac:dyDescent="0.2">
      <c r="A58" s="12">
        <f t="shared" si="0"/>
        <v>55</v>
      </c>
      <c r="B58" s="14">
        <v>3.8455E-3</v>
      </c>
      <c r="C58" s="14">
        <v>2.5233E-3</v>
      </c>
    </row>
    <row r="59" spans="1:3" x14ac:dyDescent="0.2">
      <c r="A59" s="12">
        <f t="shared" si="0"/>
        <v>56</v>
      </c>
      <c r="B59" s="14">
        <v>4.2255000000000001E-3</v>
      </c>
      <c r="C59" s="14">
        <v>2.7833999999999997E-3</v>
      </c>
    </row>
    <row r="60" spans="1:3" x14ac:dyDescent="0.2">
      <c r="A60" s="12">
        <f t="shared" si="0"/>
        <v>57</v>
      </c>
      <c r="B60" s="14">
        <v>4.6439000000000003E-3</v>
      </c>
      <c r="C60" s="14">
        <v>3.0477E-3</v>
      </c>
    </row>
    <row r="61" spans="1:3" x14ac:dyDescent="0.2">
      <c r="A61" s="12">
        <f t="shared" si="0"/>
        <v>58</v>
      </c>
      <c r="B61" s="14">
        <v>5.0921999999999999E-3</v>
      </c>
      <c r="C61" s="14">
        <v>3.3078000000000001E-3</v>
      </c>
    </row>
    <row r="62" spans="1:3" x14ac:dyDescent="0.2">
      <c r="A62" s="12">
        <f t="shared" si="0"/>
        <v>59</v>
      </c>
      <c r="B62" s="14">
        <v>5.5557999999999996E-3</v>
      </c>
      <c r="C62" s="14">
        <v>3.5561E-3</v>
      </c>
    </row>
    <row r="63" spans="1:3" x14ac:dyDescent="0.2">
      <c r="A63" s="12">
        <f t="shared" si="0"/>
        <v>60</v>
      </c>
      <c r="B63" s="14">
        <v>6.0185999999999998E-3</v>
      </c>
      <c r="C63" s="14">
        <v>3.7886999999999999E-3</v>
      </c>
    </row>
    <row r="64" spans="1:3" x14ac:dyDescent="0.2">
      <c r="A64" s="12">
        <f t="shared" si="0"/>
        <v>61</v>
      </c>
      <c r="B64" s="14">
        <v>6.4713000000000001E-3</v>
      </c>
      <c r="C64" s="14">
        <v>4.0088999999999993E-3</v>
      </c>
    </row>
    <row r="65" spans="1:3" x14ac:dyDescent="0.2">
      <c r="A65" s="12">
        <f t="shared" si="0"/>
        <v>62</v>
      </c>
      <c r="B65" s="14">
        <v>6.9176000000000003E-3</v>
      </c>
      <c r="C65" s="14">
        <v>4.2285000000000005E-3</v>
      </c>
    </row>
    <row r="66" spans="1:3" x14ac:dyDescent="0.2">
      <c r="A66" s="12">
        <f t="shared" si="0"/>
        <v>63</v>
      </c>
      <c r="B66" s="14">
        <v>7.3750999999999999E-3</v>
      </c>
      <c r="C66" s="14">
        <v>4.4637000000000001E-3</v>
      </c>
    </row>
    <row r="67" spans="1:3" x14ac:dyDescent="0.2">
      <c r="A67" s="12">
        <f t="shared" si="0"/>
        <v>64</v>
      </c>
      <c r="B67" s="14">
        <v>7.7819000000000004E-3</v>
      </c>
      <c r="C67" s="14">
        <v>4.7300000000000007E-3</v>
      </c>
    </row>
    <row r="68" spans="1:3" x14ac:dyDescent="0.2">
      <c r="A68" s="12">
        <f t="shared" si="0"/>
        <v>65</v>
      </c>
      <c r="B68" s="14">
        <v>8.4460000000000004E-3</v>
      </c>
      <c r="C68" s="14">
        <v>5.0397999999999997E-3</v>
      </c>
    </row>
    <row r="69" spans="1:3" x14ac:dyDescent="0.2">
      <c r="A69" s="12">
        <f t="shared" ref="A69:A128" si="1">A68+1</f>
        <v>66</v>
      </c>
      <c r="B69" s="14">
        <v>8.1419999999999999E-3</v>
      </c>
      <c r="C69" s="14">
        <v>5.4032000000000004E-3</v>
      </c>
    </row>
    <row r="70" spans="1:3" x14ac:dyDescent="0.2">
      <c r="A70" s="12">
        <f t="shared" si="1"/>
        <v>67</v>
      </c>
      <c r="B70" s="14">
        <v>1.00047E-2</v>
      </c>
      <c r="C70" s="14">
        <v>5.8288000000000003E-3</v>
      </c>
    </row>
    <row r="71" spans="1:3" x14ac:dyDescent="0.2">
      <c r="A71" s="12">
        <f t="shared" si="1"/>
        <v>68</v>
      </c>
      <c r="B71" s="14">
        <v>1.10735E-2</v>
      </c>
      <c r="C71" s="14">
        <v>6.3263999999999994E-3</v>
      </c>
    </row>
    <row r="72" spans="1:3" x14ac:dyDescent="0.2">
      <c r="A72" s="12">
        <f t="shared" si="1"/>
        <v>69</v>
      </c>
      <c r="B72" s="14">
        <v>1.2380200000000001E-2</v>
      </c>
      <c r="C72" s="14">
        <v>6.9088999999999999E-3</v>
      </c>
    </row>
    <row r="73" spans="1:3" x14ac:dyDescent="0.2">
      <c r="A73" s="12">
        <f t="shared" si="1"/>
        <v>70</v>
      </c>
      <c r="B73" s="14">
        <v>1.39483E-2</v>
      </c>
      <c r="C73" s="14">
        <v>7.5944999999999997E-3</v>
      </c>
    </row>
    <row r="74" spans="1:3" x14ac:dyDescent="0.2">
      <c r="A74" s="12">
        <f t="shared" si="1"/>
        <v>71</v>
      </c>
      <c r="B74" s="14">
        <v>1.57944E-2</v>
      </c>
      <c r="C74" s="14">
        <v>8.4105000000000013E-3</v>
      </c>
    </row>
    <row r="75" spans="1:3" x14ac:dyDescent="0.2">
      <c r="A75" s="12">
        <f t="shared" si="1"/>
        <v>72</v>
      </c>
      <c r="B75" s="14">
        <v>1.7928799999999998E-2</v>
      </c>
      <c r="C75" s="14">
        <v>9.3939000000000002E-3</v>
      </c>
    </row>
    <row r="76" spans="1:3" x14ac:dyDescent="0.2">
      <c r="A76" s="12">
        <f t="shared" si="1"/>
        <v>73</v>
      </c>
      <c r="B76" s="14">
        <v>2.0356800000000001E-2</v>
      </c>
      <c r="C76" s="14">
        <v>1.0590400000000002E-2</v>
      </c>
    </row>
    <row r="77" spans="1:3" x14ac:dyDescent="0.2">
      <c r="A77" s="12">
        <f t="shared" si="1"/>
        <v>74</v>
      </c>
      <c r="B77" s="14">
        <v>2.3079699999999998E-2</v>
      </c>
      <c r="C77" s="14">
        <v>1.20521E-2</v>
      </c>
    </row>
    <row r="78" spans="1:3" x14ac:dyDescent="0.2">
      <c r="A78" s="12">
        <f t="shared" si="1"/>
        <v>75</v>
      </c>
      <c r="B78" s="14">
        <v>2.6097000000000002E-2</v>
      </c>
      <c r="C78" s="14">
        <v>1.38361E-2</v>
      </c>
    </row>
    <row r="79" spans="1:3" x14ac:dyDescent="0.2">
      <c r="A79" s="12">
        <f t="shared" si="1"/>
        <v>76</v>
      </c>
      <c r="B79" s="14">
        <v>2.94081E-2</v>
      </c>
      <c r="C79" s="14">
        <v>1.6002300000000001E-2</v>
      </c>
    </row>
    <row r="80" spans="1:3" x14ac:dyDescent="0.2">
      <c r="A80" s="12">
        <f t="shared" si="1"/>
        <v>77</v>
      </c>
      <c r="B80" s="14">
        <v>3.3012399999999997E-2</v>
      </c>
      <c r="C80" s="14">
        <v>1.86114E-2</v>
      </c>
    </row>
    <row r="81" spans="1:3" x14ac:dyDescent="0.2">
      <c r="A81" s="12">
        <f t="shared" si="1"/>
        <v>78</v>
      </c>
      <c r="B81" s="14">
        <v>3.6910600000000002E-2</v>
      </c>
      <c r="C81" s="14">
        <v>2.1722100000000001E-2</v>
      </c>
    </row>
    <row r="82" spans="1:3" x14ac:dyDescent="0.2">
      <c r="A82" s="12">
        <f t="shared" si="1"/>
        <v>79</v>
      </c>
      <c r="B82" s="14">
        <v>4.11066E-2</v>
      </c>
      <c r="C82" s="14">
        <v>2.5388899999999999E-2</v>
      </c>
    </row>
    <row r="83" spans="1:3" x14ac:dyDescent="0.2">
      <c r="A83" s="12">
        <f t="shared" si="1"/>
        <v>80</v>
      </c>
      <c r="B83" s="14">
        <v>4.5610399999999995E-2</v>
      </c>
      <c r="C83" s="14">
        <v>2.9660200000000001E-2</v>
      </c>
    </row>
    <row r="84" spans="1:3" x14ac:dyDescent="0.2">
      <c r="A84" s="12">
        <f t="shared" si="1"/>
        <v>81</v>
      </c>
      <c r="B84" s="14">
        <v>5.0439999999999999E-2</v>
      </c>
      <c r="C84" s="14">
        <v>3.4579399999999996E-2</v>
      </c>
    </row>
    <row r="85" spans="1:3" x14ac:dyDescent="0.2">
      <c r="A85" s="12">
        <f t="shared" si="1"/>
        <v>82</v>
      </c>
      <c r="B85" s="14">
        <v>5.5623800000000001E-2</v>
      </c>
      <c r="C85" s="14">
        <v>4.0185600000000002E-2</v>
      </c>
    </row>
    <row r="86" spans="1:3" x14ac:dyDescent="0.2">
      <c r="A86" s="12">
        <f t="shared" si="1"/>
        <v>83</v>
      </c>
      <c r="B86" s="14">
        <v>6.1201999999999999E-2</v>
      </c>
      <c r="C86" s="14">
        <v>4.6515300000000002E-2</v>
      </c>
    </row>
    <row r="87" spans="1:3" x14ac:dyDescent="0.2">
      <c r="A87" s="12">
        <f t="shared" si="1"/>
        <v>84</v>
      </c>
      <c r="B87" s="14">
        <v>6.7227500000000009E-2</v>
      </c>
      <c r="C87" s="14">
        <v>5.3603200000000004E-2</v>
      </c>
    </row>
    <row r="88" spans="1:3" x14ac:dyDescent="0.2">
      <c r="A88" s="12">
        <f t="shared" si="1"/>
        <v>85</v>
      </c>
      <c r="B88" s="14">
        <v>7.376640000000001E-2</v>
      </c>
      <c r="C88" s="14">
        <v>6.14846E-2</v>
      </c>
    </row>
    <row r="89" spans="1:3" x14ac:dyDescent="0.2">
      <c r="A89" s="12">
        <f t="shared" si="1"/>
        <v>86</v>
      </c>
      <c r="B89" s="14">
        <v>8.0897499999999997E-2</v>
      </c>
      <c r="C89" s="14">
        <v>7.0197200000000001E-2</v>
      </c>
    </row>
    <row r="90" spans="1:3" x14ac:dyDescent="0.2">
      <c r="A90" s="12">
        <f t="shared" si="1"/>
        <v>87</v>
      </c>
      <c r="B90" s="14">
        <v>8.8712100000000002E-2</v>
      </c>
      <c r="C90" s="14">
        <v>7.9782700000000012E-2</v>
      </c>
    </row>
    <row r="91" spans="1:3" x14ac:dyDescent="0.2">
      <c r="A91" s="12">
        <f t="shared" si="1"/>
        <v>88</v>
      </c>
      <c r="B91" s="14">
        <v>9.7312599999999999E-2</v>
      </c>
      <c r="C91" s="14">
        <v>9.0285799999999999E-2</v>
      </c>
    </row>
    <row r="92" spans="1:3" x14ac:dyDescent="0.2">
      <c r="A92" s="12">
        <f t="shared" si="1"/>
        <v>89</v>
      </c>
      <c r="B92" s="14">
        <v>0.10681109999999999</v>
      </c>
      <c r="C92" s="14">
        <v>0.10175379999999999</v>
      </c>
    </row>
    <row r="93" spans="1:3" x14ac:dyDescent="0.2">
      <c r="A93" s="12">
        <f t="shared" si="1"/>
        <v>90</v>
      </c>
      <c r="B93" s="14">
        <v>0.11732769999999999</v>
      </c>
      <c r="C93" s="14">
        <v>0.1142358</v>
      </c>
    </row>
    <row r="94" spans="1:3" x14ac:dyDescent="0.2">
      <c r="A94" s="12">
        <f t="shared" si="1"/>
        <v>91</v>
      </c>
      <c r="B94" s="14">
        <v>0.12898869999999998</v>
      </c>
      <c r="C94" s="14">
        <v>0.12778249999999999</v>
      </c>
    </row>
    <row r="95" spans="1:3" x14ac:dyDescent="0.2">
      <c r="A95" s="12">
        <f t="shared" si="1"/>
        <v>92</v>
      </c>
      <c r="B95" s="14">
        <v>0.1419241</v>
      </c>
      <c r="C95" s="14">
        <v>0.14244589999999999</v>
      </c>
    </row>
    <row r="96" spans="1:3" x14ac:dyDescent="0.2">
      <c r="A96" s="12">
        <f t="shared" si="1"/>
        <v>93</v>
      </c>
      <c r="B96" s="14">
        <v>0.15626580000000001</v>
      </c>
      <c r="C96" s="14">
        <v>0.1582789</v>
      </c>
    </row>
    <row r="97" spans="1:3" x14ac:dyDescent="0.2">
      <c r="A97" s="12">
        <f t="shared" si="1"/>
        <v>94</v>
      </c>
      <c r="B97" s="14">
        <v>0.17214490000000002</v>
      </c>
      <c r="C97" s="14">
        <v>0.1753344</v>
      </c>
    </row>
    <row r="98" spans="1:3" x14ac:dyDescent="0.2">
      <c r="A98" s="12">
        <f t="shared" si="1"/>
        <v>95</v>
      </c>
      <c r="B98" s="14">
        <v>0.1896901</v>
      </c>
      <c r="C98" s="14">
        <v>0.19366460000000002</v>
      </c>
    </row>
    <row r="99" spans="1:3" x14ac:dyDescent="0.2">
      <c r="A99" s="12">
        <f t="shared" si="1"/>
        <v>96</v>
      </c>
      <c r="B99" s="14">
        <v>0.20902560000000001</v>
      </c>
      <c r="C99" s="14">
        <v>0.21332039999999999</v>
      </c>
    </row>
    <row r="100" spans="1:3" x14ac:dyDescent="0.2">
      <c r="A100" s="12">
        <f t="shared" si="1"/>
        <v>97</v>
      </c>
      <c r="B100" s="14">
        <v>0.2302699</v>
      </c>
      <c r="C100" s="14">
        <v>0.23435110000000001</v>
      </c>
    </row>
    <row r="101" spans="1:3" x14ac:dyDescent="0.2">
      <c r="A101" s="12">
        <f t="shared" si="1"/>
        <v>98</v>
      </c>
      <c r="B101" s="14">
        <v>0.2535346</v>
      </c>
      <c r="C101" s="14">
        <v>0.25680360000000002</v>
      </c>
    </row>
    <row r="102" spans="1:3" x14ac:dyDescent="0.2">
      <c r="A102" s="12">
        <f t="shared" si="1"/>
        <v>99</v>
      </c>
      <c r="B102" s="14">
        <v>0.27892309999999998</v>
      </c>
      <c r="C102" s="14">
        <v>0.28072219999999998</v>
      </c>
    </row>
    <row r="103" spans="1:3" x14ac:dyDescent="0.2">
      <c r="A103" s="12">
        <f t="shared" si="1"/>
        <v>100</v>
      </c>
      <c r="B103" s="14">
        <v>0.30653039999999998</v>
      </c>
      <c r="C103" s="14">
        <v>0.30614809999999998</v>
      </c>
    </row>
    <row r="104" spans="1:3" x14ac:dyDescent="0.2">
      <c r="A104" s="12">
        <f t="shared" si="1"/>
        <v>101</v>
      </c>
      <c r="B104" s="14">
        <v>0.33644279999999999</v>
      </c>
      <c r="C104" s="14">
        <v>0.3331191</v>
      </c>
    </row>
    <row r="105" spans="1:3" x14ac:dyDescent="0.2">
      <c r="A105" s="12">
        <f t="shared" si="1"/>
        <v>102</v>
      </c>
      <c r="B105" s="14">
        <v>0.36873729999999999</v>
      </c>
      <c r="C105" s="14">
        <v>0.36166919999999997</v>
      </c>
    </row>
    <row r="106" spans="1:3" x14ac:dyDescent="0.2">
      <c r="A106" s="12">
        <f t="shared" si="1"/>
        <v>103</v>
      </c>
      <c r="B106" s="14">
        <v>0.40348219999999996</v>
      </c>
      <c r="C106" s="14">
        <v>0.39182899999999998</v>
      </c>
    </row>
    <row r="107" spans="1:3" x14ac:dyDescent="0.2">
      <c r="A107" s="12">
        <f t="shared" si="1"/>
        <v>104</v>
      </c>
      <c r="B107" s="14">
        <v>0.44073660000000003</v>
      </c>
      <c r="C107" s="14">
        <v>0.42362540000000004</v>
      </c>
    </row>
    <row r="108" spans="1:3" x14ac:dyDescent="0.2">
      <c r="A108" s="12">
        <f t="shared" si="1"/>
        <v>105</v>
      </c>
      <c r="B108" s="14">
        <v>0.48055059999999999</v>
      </c>
      <c r="C108" s="14">
        <v>0.45708159999999998</v>
      </c>
    </row>
    <row r="109" spans="1:3" x14ac:dyDescent="0.2">
      <c r="A109" s="12">
        <f t="shared" si="1"/>
        <v>106</v>
      </c>
      <c r="B109" s="14">
        <v>0.52296640000000005</v>
      </c>
      <c r="C109" s="14">
        <v>0.49221759999999998</v>
      </c>
    </row>
    <row r="110" spans="1:3" x14ac:dyDescent="0.2">
      <c r="A110" s="12">
        <f t="shared" si="1"/>
        <v>107</v>
      </c>
      <c r="B110" s="14">
        <v>0.56801809999999997</v>
      </c>
      <c r="C110" s="14">
        <v>0.52905010000000008</v>
      </c>
    </row>
    <row r="111" spans="1:3" x14ac:dyDescent="0.2">
      <c r="A111" s="12">
        <f t="shared" si="1"/>
        <v>108</v>
      </c>
      <c r="B111" s="14">
        <v>0.61573270000000002</v>
      </c>
      <c r="C111" s="14">
        <v>0.56759280000000001</v>
      </c>
    </row>
    <row r="112" spans="1:3" x14ac:dyDescent="0.2">
      <c r="A112" s="12">
        <f t="shared" si="1"/>
        <v>109</v>
      </c>
      <c r="B112" s="14">
        <v>0.66613099999999992</v>
      </c>
      <c r="C112" s="14">
        <v>0.60785699999999998</v>
      </c>
    </row>
    <row r="113" spans="1:3" x14ac:dyDescent="0.2">
      <c r="A113" s="12">
        <f t="shared" si="1"/>
        <v>110</v>
      </c>
      <c r="B113" s="14">
        <v>0.71922819999999998</v>
      </c>
      <c r="C113" s="14">
        <v>0.64985150000000003</v>
      </c>
    </row>
    <row r="114" spans="1:3" x14ac:dyDescent="0.2">
      <c r="A114" s="12">
        <f t="shared" si="1"/>
        <v>111</v>
      </c>
      <c r="B114" s="14">
        <v>0.77503480000000002</v>
      </c>
      <c r="C114" s="14">
        <v>0.6935830999999999</v>
      </c>
    </row>
    <row r="115" spans="1:3" x14ac:dyDescent="0.2">
      <c r="A115" s="12">
        <f t="shared" si="1"/>
        <v>112</v>
      </c>
      <c r="B115" s="14">
        <v>0.83355760000000001</v>
      </c>
      <c r="C115" s="14">
        <v>0.73905670000000001</v>
      </c>
    </row>
    <row r="116" spans="1:3" x14ac:dyDescent="0.2">
      <c r="A116" s="12">
        <f t="shared" si="1"/>
        <v>113</v>
      </c>
      <c r="B116" s="14">
        <v>0.89480039999999994</v>
      </c>
      <c r="C116" s="14">
        <v>0.78627579999999997</v>
      </c>
    </row>
    <row r="117" spans="1:3" x14ac:dyDescent="0.2">
      <c r="A117" s="12">
        <f t="shared" si="1"/>
        <v>114</v>
      </c>
      <c r="B117" s="14">
        <v>0.95876490000000003</v>
      </c>
      <c r="C117" s="14">
        <v>0.8352427</v>
      </c>
    </row>
    <row r="118" spans="1:3" x14ac:dyDescent="0.2">
      <c r="A118" s="12">
        <f t="shared" si="1"/>
        <v>115</v>
      </c>
      <c r="B118" s="14">
        <v>0.99571389999999993</v>
      </c>
      <c r="C118" s="14">
        <v>0.88595840000000003</v>
      </c>
    </row>
    <row r="119" spans="1:3" x14ac:dyDescent="0.2">
      <c r="A119" s="12">
        <f t="shared" si="1"/>
        <v>116</v>
      </c>
      <c r="B119" s="14">
        <v>1</v>
      </c>
      <c r="C119" s="14">
        <v>0.93842370000000008</v>
      </c>
    </row>
    <row r="120" spans="1:3" x14ac:dyDescent="0.2">
      <c r="A120" s="12">
        <f t="shared" si="1"/>
        <v>117</v>
      </c>
      <c r="B120" s="15"/>
      <c r="C120" s="15"/>
    </row>
    <row r="121" spans="1:3" x14ac:dyDescent="0.2">
      <c r="A121" s="12">
        <f t="shared" si="1"/>
        <v>118</v>
      </c>
      <c r="B121" s="15"/>
      <c r="C121" s="15"/>
    </row>
    <row r="122" spans="1:3" x14ac:dyDescent="0.2">
      <c r="A122" s="12">
        <f t="shared" si="1"/>
        <v>119</v>
      </c>
      <c r="B122" s="15"/>
      <c r="C122" s="15"/>
    </row>
    <row r="123" spans="1:3" x14ac:dyDescent="0.2">
      <c r="A123" s="12">
        <f t="shared" si="1"/>
        <v>120</v>
      </c>
      <c r="B123" s="15"/>
      <c r="C123" s="15"/>
    </row>
    <row r="124" spans="1:3" x14ac:dyDescent="0.2">
      <c r="A124" s="12">
        <f t="shared" si="1"/>
        <v>121</v>
      </c>
      <c r="B124" s="15"/>
      <c r="C124" s="15"/>
    </row>
    <row r="125" spans="1:3" x14ac:dyDescent="0.2">
      <c r="A125" s="12">
        <f t="shared" si="1"/>
        <v>122</v>
      </c>
      <c r="B125" s="16"/>
      <c r="C125" s="15"/>
    </row>
    <row r="126" spans="1:3" x14ac:dyDescent="0.2">
      <c r="A126" s="12">
        <f t="shared" si="1"/>
        <v>123</v>
      </c>
      <c r="B126" s="15"/>
      <c r="C126" s="15"/>
    </row>
    <row r="127" spans="1:3" x14ac:dyDescent="0.2">
      <c r="A127" s="12">
        <f t="shared" si="1"/>
        <v>124</v>
      </c>
      <c r="B127" s="15"/>
      <c r="C127" s="15"/>
    </row>
    <row r="128" spans="1:3" x14ac:dyDescent="0.2">
      <c r="A128" s="17">
        <f t="shared" si="1"/>
        <v>125</v>
      </c>
      <c r="B128" s="18"/>
      <c r="C128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L43"/>
  <sheetViews>
    <sheetView workbookViewId="0">
      <selection activeCell="F37" sqref="F37"/>
    </sheetView>
  </sheetViews>
  <sheetFormatPr baseColWidth="10" defaultRowHeight="12.75" x14ac:dyDescent="0.2"/>
  <cols>
    <col min="1" max="1" width="26" bestFit="1" customWidth="1"/>
  </cols>
  <sheetData>
    <row r="1" spans="1:10" x14ac:dyDescent="0.2">
      <c r="A1" s="2" t="s">
        <v>62</v>
      </c>
      <c r="B1" s="20">
        <v>1</v>
      </c>
    </row>
    <row r="4" spans="1:10" x14ac:dyDescent="0.2">
      <c r="A4" s="2" t="s">
        <v>63</v>
      </c>
    </row>
    <row r="6" spans="1:10" x14ac:dyDescent="0.2">
      <c r="A6">
        <v>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</row>
    <row r="7" spans="1:10" x14ac:dyDescent="0.2">
      <c r="A7" s="20">
        <v>0</v>
      </c>
      <c r="B7" s="20">
        <v>0.124</v>
      </c>
      <c r="C7" s="20">
        <v>6.7299999999999999E-2</v>
      </c>
      <c r="D7" s="20">
        <v>5.67E-2</v>
      </c>
      <c r="E7" s="20">
        <v>0.14219999999999999</v>
      </c>
      <c r="F7" s="20">
        <v>6.54E-2</v>
      </c>
      <c r="G7" s="20">
        <v>8.4500000000000006E-2</v>
      </c>
      <c r="H7" s="20">
        <v>7.5200000000000003E-2</v>
      </c>
      <c r="I7" s="20">
        <v>3.2800000000000003E-2</v>
      </c>
      <c r="J7" s="20">
        <v>6.4199999999999993E-2</v>
      </c>
    </row>
    <row r="10" spans="1:10" x14ac:dyDescent="0.2">
      <c r="A10" s="2" t="s">
        <v>64</v>
      </c>
    </row>
    <row r="12" spans="1:10" x14ac:dyDescent="0.2">
      <c r="A12">
        <v>0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>
        <v>7</v>
      </c>
      <c r="I12">
        <v>8</v>
      </c>
      <c r="J12">
        <v>9</v>
      </c>
    </row>
    <row r="13" spans="1:10" x14ac:dyDescent="0.2">
      <c r="A13" s="20">
        <v>0</v>
      </c>
      <c r="B13" s="20">
        <v>5.2600000000000001E-2</v>
      </c>
      <c r="C13" s="20">
        <v>5.8200000000000002E-2</v>
      </c>
      <c r="D13" s="20">
        <v>9.2999999999999992E-3</v>
      </c>
      <c r="E13" s="20">
        <v>2.98E-2</v>
      </c>
      <c r="F13" s="20">
        <v>4.7E-2</v>
      </c>
      <c r="G13" s="20">
        <v>8.2000000000000007E-3</v>
      </c>
      <c r="H13" s="20">
        <v>6.6E-3</v>
      </c>
      <c r="I13" s="20">
        <v>1.5800000000000002E-2</v>
      </c>
      <c r="J13" s="20">
        <v>5.3E-3</v>
      </c>
    </row>
    <row r="16" spans="1:10" x14ac:dyDescent="0.2">
      <c r="A16" s="2" t="s">
        <v>93</v>
      </c>
    </row>
    <row r="18" spans="1:38" x14ac:dyDescent="0.2">
      <c r="A18">
        <v>2017</v>
      </c>
      <c r="B18">
        <v>2018</v>
      </c>
      <c r="C18">
        <v>2019</v>
      </c>
      <c r="D18">
        <v>2020</v>
      </c>
      <c r="E18">
        <v>2021</v>
      </c>
      <c r="F18">
        <v>2022</v>
      </c>
      <c r="G18">
        <v>2023</v>
      </c>
      <c r="H18">
        <v>2024</v>
      </c>
      <c r="I18">
        <v>2025</v>
      </c>
      <c r="J18">
        <v>2026</v>
      </c>
      <c r="K18">
        <v>2027</v>
      </c>
      <c r="L18">
        <v>2028</v>
      </c>
      <c r="M18">
        <v>2029</v>
      </c>
      <c r="N18">
        <v>2030</v>
      </c>
      <c r="O18">
        <v>2031</v>
      </c>
      <c r="P18">
        <v>2032</v>
      </c>
      <c r="Q18">
        <v>2033</v>
      </c>
      <c r="R18">
        <v>2034</v>
      </c>
      <c r="S18">
        <v>2035</v>
      </c>
      <c r="T18">
        <v>2036</v>
      </c>
      <c r="U18">
        <v>2037</v>
      </c>
      <c r="V18">
        <v>2038</v>
      </c>
      <c r="W18">
        <v>2039</v>
      </c>
      <c r="X18">
        <v>2040</v>
      </c>
      <c r="Y18">
        <v>2041</v>
      </c>
      <c r="Z18">
        <v>2042</v>
      </c>
      <c r="AA18">
        <v>2043</v>
      </c>
      <c r="AB18">
        <v>2044</v>
      </c>
      <c r="AC18">
        <v>2045</v>
      </c>
      <c r="AD18">
        <v>2046</v>
      </c>
      <c r="AE18">
        <v>2047</v>
      </c>
      <c r="AF18">
        <v>2048</v>
      </c>
      <c r="AG18">
        <v>2049</v>
      </c>
      <c r="AH18">
        <v>2050</v>
      </c>
      <c r="AI18">
        <v>2051</v>
      </c>
      <c r="AJ18">
        <v>2052</v>
      </c>
      <c r="AK18">
        <v>2053</v>
      </c>
      <c r="AL18">
        <v>2053</v>
      </c>
    </row>
    <row r="19" spans="1:38" x14ac:dyDescent="0.2">
      <c r="A19">
        <v>1.6410810547830086</v>
      </c>
      <c r="B19">
        <v>1.5941624097996383</v>
      </c>
      <c r="C19">
        <v>1.4716069572989721</v>
      </c>
      <c r="D19">
        <v>1.4125406486522902</v>
      </c>
      <c r="E19">
        <v>1.3213538858771499</v>
      </c>
      <c r="F19">
        <v>1.3155782593707916</v>
      </c>
      <c r="G19">
        <v>1.2170892171022298</v>
      </c>
      <c r="H19">
        <v>1.2417122893938131</v>
      </c>
      <c r="I19">
        <v>1.2779909020902427</v>
      </c>
      <c r="J19">
        <v>1.2775749333083852</v>
      </c>
      <c r="K19">
        <v>1.3044982637255766</v>
      </c>
      <c r="L19">
        <v>1.2722302534933154</v>
      </c>
      <c r="M19">
        <v>1.2789450573183982</v>
      </c>
      <c r="N19">
        <v>1.2928841760851972</v>
      </c>
      <c r="O19">
        <v>1.2862309825595946</v>
      </c>
      <c r="P19">
        <v>1.2896092433022464</v>
      </c>
      <c r="Q19">
        <v>1.205754711495947</v>
      </c>
      <c r="R19">
        <v>1.1744374498523904</v>
      </c>
      <c r="S19">
        <v>1.1744374498523904</v>
      </c>
      <c r="T19">
        <v>1.1744374498523904</v>
      </c>
      <c r="U19">
        <v>1.1744374498523904</v>
      </c>
      <c r="V19">
        <v>1.1744374498523904</v>
      </c>
      <c r="W19">
        <v>1.1744374498523904</v>
      </c>
      <c r="X19">
        <v>1.1744374498523904</v>
      </c>
      <c r="Y19">
        <v>1.1744374498523904</v>
      </c>
      <c r="Z19">
        <v>1.1744374498523904</v>
      </c>
      <c r="AA19">
        <v>1.1744374498523904</v>
      </c>
      <c r="AB19">
        <v>1.1744374498523904</v>
      </c>
      <c r="AC19">
        <v>1.1744374498523904</v>
      </c>
      <c r="AD19">
        <v>1.1744374498523904</v>
      </c>
      <c r="AE19">
        <v>1.1744374498523904</v>
      </c>
      <c r="AF19">
        <v>1.1744374498523904</v>
      </c>
      <c r="AG19">
        <v>1.1343668685755846</v>
      </c>
      <c r="AH19">
        <v>1.1336971652673369</v>
      </c>
      <c r="AI19">
        <v>1.1336971652673369</v>
      </c>
      <c r="AJ19">
        <v>1.1336971652673369</v>
      </c>
      <c r="AK19">
        <v>1.1336971652673369</v>
      </c>
      <c r="AL19">
        <v>1.1336971652673369</v>
      </c>
    </row>
    <row r="20" spans="1:38" x14ac:dyDescent="0.2">
      <c r="A20">
        <f>ROUND(A19,4)/100</f>
        <v>1.6410999999999999E-2</v>
      </c>
      <c r="B20">
        <f t="shared" ref="B20:AL20" si="0">ROUND(B19,4)/100</f>
        <v>1.5942000000000001E-2</v>
      </c>
      <c r="C20">
        <f t="shared" si="0"/>
        <v>1.4716E-2</v>
      </c>
      <c r="D20">
        <f t="shared" si="0"/>
        <v>1.4125E-2</v>
      </c>
      <c r="E20">
        <f t="shared" si="0"/>
        <v>1.3213999999999998E-2</v>
      </c>
      <c r="F20">
        <f t="shared" si="0"/>
        <v>1.3156000000000001E-2</v>
      </c>
      <c r="G20">
        <f t="shared" si="0"/>
        <v>1.2171000000000001E-2</v>
      </c>
      <c r="H20">
        <f t="shared" si="0"/>
        <v>1.2417000000000001E-2</v>
      </c>
      <c r="I20">
        <f t="shared" si="0"/>
        <v>1.278E-2</v>
      </c>
      <c r="J20">
        <f t="shared" si="0"/>
        <v>1.2776000000000001E-2</v>
      </c>
      <c r="K20">
        <f t="shared" si="0"/>
        <v>1.3044999999999999E-2</v>
      </c>
      <c r="L20">
        <f t="shared" si="0"/>
        <v>1.2722000000000001E-2</v>
      </c>
      <c r="M20">
        <f t="shared" si="0"/>
        <v>1.2789E-2</v>
      </c>
      <c r="N20">
        <f t="shared" si="0"/>
        <v>1.2929E-2</v>
      </c>
      <c r="O20">
        <f t="shared" si="0"/>
        <v>1.2862E-2</v>
      </c>
      <c r="P20">
        <f t="shared" si="0"/>
        <v>1.2896000000000001E-2</v>
      </c>
      <c r="Q20">
        <f t="shared" si="0"/>
        <v>1.2057999999999999E-2</v>
      </c>
      <c r="R20">
        <f t="shared" si="0"/>
        <v>1.1744000000000001E-2</v>
      </c>
      <c r="S20">
        <f t="shared" si="0"/>
        <v>1.1744000000000001E-2</v>
      </c>
      <c r="T20">
        <f t="shared" si="0"/>
        <v>1.1744000000000001E-2</v>
      </c>
      <c r="U20">
        <f t="shared" si="0"/>
        <v>1.1744000000000001E-2</v>
      </c>
      <c r="V20">
        <f t="shared" si="0"/>
        <v>1.1744000000000001E-2</v>
      </c>
      <c r="W20">
        <f t="shared" si="0"/>
        <v>1.1744000000000001E-2</v>
      </c>
      <c r="X20">
        <f t="shared" si="0"/>
        <v>1.1744000000000001E-2</v>
      </c>
      <c r="Y20">
        <f t="shared" si="0"/>
        <v>1.1744000000000001E-2</v>
      </c>
      <c r="Z20">
        <f t="shared" si="0"/>
        <v>1.1744000000000001E-2</v>
      </c>
      <c r="AA20">
        <f t="shared" si="0"/>
        <v>1.1744000000000001E-2</v>
      </c>
      <c r="AB20">
        <f t="shared" si="0"/>
        <v>1.1744000000000001E-2</v>
      </c>
      <c r="AC20">
        <f t="shared" si="0"/>
        <v>1.1744000000000001E-2</v>
      </c>
      <c r="AD20">
        <f t="shared" si="0"/>
        <v>1.1744000000000001E-2</v>
      </c>
      <c r="AE20">
        <f t="shared" si="0"/>
        <v>1.1744000000000001E-2</v>
      </c>
      <c r="AF20">
        <f t="shared" si="0"/>
        <v>1.1744000000000001E-2</v>
      </c>
      <c r="AG20">
        <f t="shared" si="0"/>
        <v>1.1344E-2</v>
      </c>
      <c r="AH20">
        <f t="shared" si="0"/>
        <v>1.1337E-2</v>
      </c>
      <c r="AI20">
        <f t="shared" si="0"/>
        <v>1.1337E-2</v>
      </c>
      <c r="AJ20">
        <f t="shared" si="0"/>
        <v>1.1337E-2</v>
      </c>
      <c r="AK20">
        <f t="shared" si="0"/>
        <v>1.1337E-2</v>
      </c>
      <c r="AL20">
        <f t="shared" si="0"/>
        <v>1.1337E-2</v>
      </c>
    </row>
    <row r="23" spans="1:38" x14ac:dyDescent="0.2">
      <c r="A23" s="2" t="s">
        <v>94</v>
      </c>
    </row>
    <row r="25" spans="1:38" x14ac:dyDescent="0.2">
      <c r="A25">
        <v>2016</v>
      </c>
      <c r="B25">
        <v>2017</v>
      </c>
      <c r="C25">
        <v>2018</v>
      </c>
      <c r="D25">
        <v>2019</v>
      </c>
      <c r="E25">
        <v>2020</v>
      </c>
      <c r="F25">
        <v>2021</v>
      </c>
      <c r="G25">
        <v>2022</v>
      </c>
      <c r="H25">
        <v>2023</v>
      </c>
      <c r="I25">
        <v>2024</v>
      </c>
      <c r="J25">
        <v>2025</v>
      </c>
      <c r="K25">
        <v>2026</v>
      </c>
      <c r="L25">
        <v>2027</v>
      </c>
      <c r="M25">
        <v>2028</v>
      </c>
      <c r="N25">
        <v>2029</v>
      </c>
      <c r="O25">
        <v>2030</v>
      </c>
      <c r="P25">
        <v>2031</v>
      </c>
      <c r="Q25">
        <v>2032</v>
      </c>
      <c r="R25">
        <v>2033</v>
      </c>
      <c r="S25">
        <v>2034</v>
      </c>
      <c r="T25">
        <v>2035</v>
      </c>
      <c r="U25">
        <v>2036</v>
      </c>
      <c r="V25">
        <v>2037</v>
      </c>
      <c r="W25">
        <v>2038</v>
      </c>
      <c r="X25">
        <v>2039</v>
      </c>
      <c r="Y25">
        <v>2040</v>
      </c>
      <c r="Z25">
        <v>2041</v>
      </c>
      <c r="AA25">
        <v>2042</v>
      </c>
      <c r="AB25">
        <v>2043</v>
      </c>
      <c r="AC25">
        <v>2044</v>
      </c>
      <c r="AD25">
        <v>2045</v>
      </c>
      <c r="AE25">
        <v>2046</v>
      </c>
      <c r="AF25">
        <v>2047</v>
      </c>
      <c r="AG25">
        <v>2048</v>
      </c>
      <c r="AH25">
        <v>2049</v>
      </c>
      <c r="AI25">
        <v>2050</v>
      </c>
      <c r="AJ25">
        <v>2051</v>
      </c>
      <c r="AK25">
        <v>2052</v>
      </c>
      <c r="AL25">
        <v>2053</v>
      </c>
    </row>
    <row r="26" spans="1:38" x14ac:dyDescent="0.2">
      <c r="A26">
        <v>1.6415</v>
      </c>
      <c r="B26">
        <v>1.5942000000000001</v>
      </c>
      <c r="C26">
        <v>1.4716</v>
      </c>
      <c r="D26">
        <v>1.4124000000000001</v>
      </c>
      <c r="E26">
        <v>1.3212999999999999</v>
      </c>
      <c r="F26">
        <v>1.3154999999999999</v>
      </c>
      <c r="G26">
        <v>1.2171000000000001</v>
      </c>
      <c r="H26">
        <v>1.2417</v>
      </c>
      <c r="I26">
        <v>1.2779</v>
      </c>
      <c r="J26">
        <v>1.2775000000000001</v>
      </c>
      <c r="K26">
        <v>1.3044</v>
      </c>
      <c r="L26">
        <v>1.2718</v>
      </c>
      <c r="M26">
        <v>1.2785</v>
      </c>
      <c r="N26">
        <v>1.2924</v>
      </c>
      <c r="O26">
        <v>1.2858000000000001</v>
      </c>
      <c r="P26">
        <v>1.2891999999999999</v>
      </c>
      <c r="Q26">
        <v>1.2053</v>
      </c>
      <c r="R26">
        <v>1.1739999999999999</v>
      </c>
      <c r="S26">
        <v>1.1739999999999999</v>
      </c>
      <c r="T26">
        <v>1.1739999999999999</v>
      </c>
      <c r="U26">
        <v>1.1739999999999999</v>
      </c>
      <c r="V26">
        <v>1.1739999999999999</v>
      </c>
      <c r="W26">
        <v>1.1739999999999999</v>
      </c>
      <c r="X26">
        <v>1.1739999999999999</v>
      </c>
      <c r="Y26">
        <v>1.1739999999999999</v>
      </c>
      <c r="Z26">
        <v>1.1739999999999999</v>
      </c>
      <c r="AA26">
        <v>1.1739999999999999</v>
      </c>
      <c r="AB26">
        <v>1.1739999999999999</v>
      </c>
      <c r="AC26">
        <v>1.1739999999999999</v>
      </c>
      <c r="AD26">
        <v>1.1739999999999999</v>
      </c>
      <c r="AE26">
        <v>1.1739999999999999</v>
      </c>
      <c r="AF26">
        <v>1.1739999999999999</v>
      </c>
      <c r="AG26">
        <v>1.1339999999999999</v>
      </c>
      <c r="AH26">
        <v>1.1333</v>
      </c>
      <c r="AI26">
        <v>1.1333</v>
      </c>
      <c r="AJ26">
        <v>1.1333</v>
      </c>
      <c r="AK26">
        <v>1.1333</v>
      </c>
      <c r="AL26">
        <v>1.1333</v>
      </c>
    </row>
    <row r="27" spans="1:38" x14ac:dyDescent="0.2">
      <c r="A27">
        <v>4</v>
      </c>
      <c r="B27">
        <v>4</v>
      </c>
      <c r="C27">
        <v>4</v>
      </c>
      <c r="D27">
        <v>4</v>
      </c>
      <c r="E27">
        <v>4</v>
      </c>
      <c r="F27">
        <v>4</v>
      </c>
      <c r="G27">
        <v>4</v>
      </c>
      <c r="H27">
        <v>4</v>
      </c>
      <c r="I27">
        <v>4</v>
      </c>
      <c r="J27">
        <v>4</v>
      </c>
      <c r="K27">
        <v>4</v>
      </c>
      <c r="L27">
        <v>4</v>
      </c>
      <c r="M27">
        <v>4</v>
      </c>
      <c r="N27">
        <v>4</v>
      </c>
      <c r="O27">
        <v>4</v>
      </c>
      <c r="P27">
        <v>4</v>
      </c>
      <c r="Q27">
        <v>4</v>
      </c>
      <c r="R27">
        <v>4</v>
      </c>
      <c r="S27">
        <v>4</v>
      </c>
      <c r="T27">
        <v>4</v>
      </c>
      <c r="U27">
        <v>4</v>
      </c>
      <c r="V27">
        <v>4</v>
      </c>
      <c r="W27">
        <v>4</v>
      </c>
      <c r="X27">
        <v>4</v>
      </c>
      <c r="Y27">
        <v>4</v>
      </c>
      <c r="Z27">
        <v>4</v>
      </c>
      <c r="AA27">
        <v>4</v>
      </c>
      <c r="AB27">
        <v>4</v>
      </c>
      <c r="AC27">
        <v>4</v>
      </c>
      <c r="AD27">
        <v>4</v>
      </c>
      <c r="AE27">
        <v>4</v>
      </c>
      <c r="AF27">
        <v>4</v>
      </c>
      <c r="AG27">
        <v>4</v>
      </c>
      <c r="AH27">
        <v>4</v>
      </c>
      <c r="AI27">
        <v>4</v>
      </c>
      <c r="AJ27">
        <v>4</v>
      </c>
      <c r="AK27">
        <v>4</v>
      </c>
      <c r="AL27">
        <v>4</v>
      </c>
    </row>
    <row r="28" spans="1:38" x14ac:dyDescent="0.2">
      <c r="A28">
        <v>1.0415000000000001</v>
      </c>
      <c r="B28">
        <v>0.99419999999999997</v>
      </c>
      <c r="C28">
        <v>0.87160000000000004</v>
      </c>
      <c r="D28">
        <v>0.81240000000000001</v>
      </c>
      <c r="E28">
        <v>0.72130000000000005</v>
      </c>
      <c r="F28">
        <v>0.71550000000000002</v>
      </c>
      <c r="G28">
        <v>0.61709999999999998</v>
      </c>
      <c r="H28">
        <v>0.64170000000000005</v>
      </c>
      <c r="I28">
        <v>0.67789999999999995</v>
      </c>
      <c r="J28">
        <v>0.67749999999999999</v>
      </c>
      <c r="K28">
        <v>0.70440000000000003</v>
      </c>
      <c r="L28">
        <v>0.67179999999999995</v>
      </c>
      <c r="M28">
        <v>0.67849999999999999</v>
      </c>
      <c r="N28">
        <v>0.69240000000000002</v>
      </c>
      <c r="O28">
        <v>0.68579999999999997</v>
      </c>
      <c r="P28">
        <v>0.68920000000000003</v>
      </c>
      <c r="Q28">
        <v>0.60529999999999995</v>
      </c>
      <c r="R28">
        <v>0.57399999999999995</v>
      </c>
      <c r="S28">
        <v>0.57399999999999995</v>
      </c>
      <c r="T28">
        <v>0.57399999999999995</v>
      </c>
      <c r="U28">
        <v>0.57399999999999995</v>
      </c>
      <c r="V28">
        <v>0.57399999999999995</v>
      </c>
      <c r="W28">
        <v>0.57399999999999995</v>
      </c>
      <c r="X28">
        <v>0.57399999999999995</v>
      </c>
      <c r="Y28">
        <v>0.57399999999999995</v>
      </c>
      <c r="Z28">
        <v>0.57399999999999995</v>
      </c>
      <c r="AA28">
        <v>0.57399999999999995</v>
      </c>
      <c r="AB28">
        <v>0.57399999999999995</v>
      </c>
      <c r="AC28">
        <v>0.57399999999999995</v>
      </c>
      <c r="AD28">
        <v>0.57399999999999995</v>
      </c>
      <c r="AE28">
        <v>0.57399999999999995</v>
      </c>
      <c r="AF28">
        <v>0.57399999999999995</v>
      </c>
      <c r="AG28">
        <v>0.53400000000000003</v>
      </c>
      <c r="AH28">
        <v>0.5333</v>
      </c>
      <c r="AI28">
        <v>0.5333</v>
      </c>
      <c r="AJ28">
        <v>0.5333</v>
      </c>
      <c r="AK28">
        <v>0.5333</v>
      </c>
      <c r="AL28">
        <v>0.5333</v>
      </c>
    </row>
    <row r="29" spans="1:38" x14ac:dyDescent="0.2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</row>
    <row r="31" spans="1:38" x14ac:dyDescent="0.2">
      <c r="A31" s="2" t="s">
        <v>95</v>
      </c>
    </row>
    <row r="33" spans="1:9" x14ac:dyDescent="0.2">
      <c r="A33" t="s">
        <v>17</v>
      </c>
      <c r="B33" t="s">
        <v>18</v>
      </c>
      <c r="C33" t="s">
        <v>19</v>
      </c>
      <c r="D33" t="s">
        <v>20</v>
      </c>
      <c r="E33" t="s">
        <v>21</v>
      </c>
      <c r="F33" t="s">
        <v>22</v>
      </c>
      <c r="G33" t="s">
        <v>23</v>
      </c>
      <c r="H33" t="s">
        <v>24</v>
      </c>
      <c r="I33" t="s">
        <v>25</v>
      </c>
    </row>
    <row r="34" spans="1:9" x14ac:dyDescent="0.2">
      <c r="A34" s="20">
        <v>1</v>
      </c>
      <c r="B34" s="25">
        <v>0</v>
      </c>
      <c r="C34" s="24">
        <v>0.25</v>
      </c>
      <c r="D34" s="20">
        <v>0.3</v>
      </c>
      <c r="E34" s="25">
        <v>0</v>
      </c>
      <c r="F34" s="25">
        <v>0</v>
      </c>
      <c r="G34" s="20">
        <v>0.29010000000000002</v>
      </c>
      <c r="H34" s="25">
        <v>0</v>
      </c>
      <c r="I34" s="20">
        <v>0.25</v>
      </c>
    </row>
    <row r="39" spans="1:9" x14ac:dyDescent="0.2">
      <c r="A39" t="s">
        <v>98</v>
      </c>
      <c r="B39">
        <v>142</v>
      </c>
    </row>
    <row r="41" spans="1:9" x14ac:dyDescent="0.2">
      <c r="A41" t="s">
        <v>99</v>
      </c>
      <c r="B41" s="20">
        <v>2.7000000000000001E-3</v>
      </c>
    </row>
    <row r="43" spans="1:9" x14ac:dyDescent="0.2">
      <c r="A43" t="s">
        <v>100</v>
      </c>
      <c r="B43" s="25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Resumo</vt:lpstr>
      <vt:lpstr>Portfolio</vt:lpstr>
      <vt:lpstr>Proj Cash Flows</vt:lpstr>
      <vt:lpstr>Mortality Table</vt:lpstr>
      <vt:lpstr>Assumptions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Crispim</dc:creator>
  <cp:lastModifiedBy>Ricardo Crispim</cp:lastModifiedBy>
  <dcterms:created xsi:type="dcterms:W3CDTF">2018-04-16T15:26:20Z</dcterms:created>
  <dcterms:modified xsi:type="dcterms:W3CDTF">2018-05-09T08:39:43Z</dcterms:modified>
</cp:coreProperties>
</file>